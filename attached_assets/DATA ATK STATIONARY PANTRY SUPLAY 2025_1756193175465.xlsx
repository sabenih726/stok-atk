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ility HO\2025\ATK\"/>
    </mc:Choice>
  </mc:AlternateContent>
  <xr:revisionPtr revIDLastSave="0" documentId="13_ncr:1_{1AF57F1F-6E86-44D1-8623-A083624486F6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ATK 2025" sheetId="21" r:id="rId1"/>
    <sheet name="Pantry Supplies" sheetId="20" r:id="rId2"/>
    <sheet name="MM" sheetId="18" r:id="rId3"/>
  </sheets>
  <externalReferences>
    <externalReference r:id="rId4"/>
  </externalReferences>
  <definedNames>
    <definedName name="_xlnm._FilterDatabase" localSheetId="0" hidden="1">'ATK 2025'!$B$3:$H$227</definedName>
    <definedName name="_xlnm._FilterDatabase" localSheetId="1" hidden="1">'Pantry Supplies'!$B$3:$J$5</definedName>
    <definedName name="AAC" localSheetId="0">#REF!</definedName>
    <definedName name="AAC" localSheetId="1">#REF!</definedName>
    <definedName name="AAC">#REF!</definedName>
    <definedName name="ACCOUNT" localSheetId="0">#REF!</definedName>
    <definedName name="ACCOUNT" localSheetId="1">#REF!</definedName>
    <definedName name="ACCOUNT">#REF!</definedName>
    <definedName name="ASSET" localSheetId="0">#REF!</definedName>
    <definedName name="ASSET" localSheetId="1">#REF!</definedName>
    <definedName name="ASSET">#REF!</definedName>
    <definedName name="CC_Other_personal_services" localSheetId="0">[1]Sheet2!#REF!</definedName>
    <definedName name="CC_Other_personal_services" localSheetId="1">[1]Sheet2!#REF!</definedName>
    <definedName name="CC_Other_personal_services">[1]Sheet2!#REF!</definedName>
    <definedName name="CC_Other_Professional_Services" localSheetId="0">[1]Sheet2!#REF!</definedName>
    <definedName name="CC_Other_Professional_Services" localSheetId="1">[1]Sheet2!#REF!</definedName>
    <definedName name="CC_Other_Professional_Services">[1]Sheet2!#REF!</definedName>
    <definedName name="DATA1" localSheetId="0">#REF!</definedName>
    <definedName name="DATA1" localSheetId="1">#REF!</definedName>
    <definedName name="DATA1">#REF!</definedName>
    <definedName name="DATA2" localSheetId="0">#REF!</definedName>
    <definedName name="DATA2" localSheetId="1">#REF!</definedName>
    <definedName name="DATA2">#REF!</definedName>
    <definedName name="DATA3" localSheetId="0">#REF!</definedName>
    <definedName name="DATA3" localSheetId="1">#REF!</definedName>
    <definedName name="DATA3">#REF!</definedName>
    <definedName name="DATA4" localSheetId="0">#REF!</definedName>
    <definedName name="DATA4" localSheetId="1">#REF!</definedName>
    <definedName name="DATA4">#REF!</definedName>
    <definedName name="DATA5" localSheetId="0">#REF!</definedName>
    <definedName name="DATA5" localSheetId="1">#REF!</definedName>
    <definedName name="DATA5">#REF!</definedName>
    <definedName name="DATA6" localSheetId="0">#REF!</definedName>
    <definedName name="DATA6" localSheetId="1">#REF!</definedName>
    <definedName name="DATA6">#REF!</definedName>
    <definedName name="facility" localSheetId="0">[1]Sheet2!#REF!</definedName>
    <definedName name="facility" localSheetId="1">[1]Sheet2!#REF!</definedName>
    <definedName name="facility">[1]Sheet2!#REF!</definedName>
    <definedName name="k" localSheetId="0">[1]Sheet2!#REF!</definedName>
    <definedName name="k" localSheetId="1">[1]Sheet2!#REF!</definedName>
    <definedName name="k">[1]Sheet2!#REF!</definedName>
    <definedName name="MATGRO" localSheetId="0">#REF!</definedName>
    <definedName name="MATGRO" localSheetId="1">#REF!</definedName>
    <definedName name="MATGRO">#REF!</definedName>
    <definedName name="PLANT" localSheetId="0">#REF!</definedName>
    <definedName name="PLANT" localSheetId="1">#REF!</definedName>
    <definedName name="PLANT">#REF!</definedName>
    <definedName name="PRTYPE" localSheetId="0">#REF!</definedName>
    <definedName name="PRTYPE" localSheetId="1">#REF!</definedName>
    <definedName name="PRTYPE">#REF!</definedName>
    <definedName name="PURCHORG" localSheetId="0">#REF!</definedName>
    <definedName name="PURCHORG" localSheetId="1">#REF!</definedName>
    <definedName name="PURCHORG">#REF!</definedName>
    <definedName name="SSR_Sales_Demos_Promoters" localSheetId="0">[1]Sheet2!#REF!</definedName>
    <definedName name="SSR_Sales_Demos_Promoters" localSheetId="1">[1]Sheet2!#REF!</definedName>
    <definedName name="SSR_Sales_Demos_Promoters">[1]Sheet2!#REF!</definedName>
    <definedName name="steker" localSheetId="0">[1]Sheet2!#REF!</definedName>
    <definedName name="steker" localSheetId="1">[1]Sheet2!#REF!</definedName>
    <definedName name="steker">[1]Sheet2!#REF!</definedName>
    <definedName name="TC_Application_Development" localSheetId="0">[1]Sheet2!#REF!</definedName>
    <definedName name="TC_Application_Development" localSheetId="1">[1]Sheet2!#REF!</definedName>
    <definedName name="TC_Application_Development">[1]Sheet2!#REF!</definedName>
    <definedName name="TEST1" localSheetId="0">#REF!</definedName>
    <definedName name="TEST1" localSheetId="1">#REF!</definedName>
    <definedName name="TEST1">#REF!</definedName>
    <definedName name="TEST2" localSheetId="0">#REF!</definedName>
    <definedName name="TEST2" localSheetId="1">#REF!</definedName>
    <definedName name="TEST2">#REF!</definedName>
    <definedName name="TESTHKEY" localSheetId="0">#REF!</definedName>
    <definedName name="TESTHKEY" localSheetId="1">#REF!</definedName>
    <definedName name="TESTHKEY">#REF!</definedName>
    <definedName name="TESTKEYS" localSheetId="0">#REF!</definedName>
    <definedName name="TESTKEYS" localSheetId="1">#REF!</definedName>
    <definedName name="TESTKEYS">#REF!</definedName>
    <definedName name="TESTVKEY" localSheetId="0">#REF!</definedName>
    <definedName name="TESTVKEY" localSheetId="1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21" l="1"/>
  <c r="E117" i="21"/>
  <c r="E101" i="21"/>
  <c r="E15" i="21"/>
  <c r="E91" i="21"/>
  <c r="E92" i="21"/>
  <c r="E147" i="21"/>
  <c r="E98" i="21"/>
  <c r="E173" i="21"/>
  <c r="M172" i="21"/>
  <c r="E172" i="21"/>
  <c r="E170" i="21"/>
  <c r="E169" i="21"/>
  <c r="E168" i="21"/>
  <c r="E19" i="21" l="1"/>
  <c r="E13" i="21"/>
  <c r="E215" i="21"/>
  <c r="H9" i="20"/>
  <c r="G10" i="20"/>
  <c r="G11" i="20"/>
  <c r="I9" i="20" l="1"/>
  <c r="E150" i="21"/>
  <c r="E149" i="21"/>
  <c r="E189" i="21"/>
  <c r="E214" i="21"/>
  <c r="E193" i="21"/>
  <c r="E146" i="21"/>
  <c r="E145" i="21"/>
  <c r="F218" i="21" l="1"/>
  <c r="F219" i="21"/>
  <c r="G219" i="21" s="1"/>
  <c r="F220" i="21"/>
  <c r="G220" i="21" s="1"/>
  <c r="F221" i="21"/>
  <c r="G221" i="21" s="1"/>
  <c r="F222" i="21"/>
  <c r="G222" i="21" s="1"/>
  <c r="F223" i="21"/>
  <c r="G223" i="21" s="1"/>
  <c r="F224" i="21"/>
  <c r="G224" i="21" s="1"/>
  <c r="F225" i="21"/>
  <c r="G225" i="21" s="1"/>
  <c r="F226" i="21"/>
  <c r="G226" i="21" s="1"/>
  <c r="F227" i="21"/>
  <c r="G227" i="21" s="1"/>
  <c r="F217" i="21"/>
  <c r="G217" i="21" s="1"/>
  <c r="F7" i="21"/>
  <c r="G7" i="21" s="1"/>
  <c r="F8" i="21"/>
  <c r="G8" i="21" s="1"/>
  <c r="F9" i="21"/>
  <c r="G9" i="21" s="1"/>
  <c r="F10" i="21"/>
  <c r="G10" i="21" s="1"/>
  <c r="F11" i="21"/>
  <c r="G11" i="21" s="1"/>
  <c r="F12" i="21"/>
  <c r="G12" i="21" s="1"/>
  <c r="F13" i="21"/>
  <c r="G13" i="21" s="1"/>
  <c r="F14" i="21"/>
  <c r="G14" i="21" s="1"/>
  <c r="F15" i="21"/>
  <c r="G15" i="21" s="1"/>
  <c r="F16" i="21"/>
  <c r="G16" i="21" s="1"/>
  <c r="F17" i="21"/>
  <c r="G17" i="21" s="1"/>
  <c r="F18" i="21"/>
  <c r="G18" i="21" s="1"/>
  <c r="F19" i="21"/>
  <c r="G19" i="21" s="1"/>
  <c r="F20" i="21"/>
  <c r="G20" i="21" s="1"/>
  <c r="F21" i="21"/>
  <c r="G21" i="21" s="1"/>
  <c r="F22" i="21"/>
  <c r="G22" i="21" s="1"/>
  <c r="F23" i="21"/>
  <c r="G23" i="21" s="1"/>
  <c r="F24" i="21"/>
  <c r="G24" i="21" s="1"/>
  <c r="F25" i="21"/>
  <c r="G25" i="21" s="1"/>
  <c r="F26" i="21"/>
  <c r="G26" i="21" s="1"/>
  <c r="F27" i="21"/>
  <c r="G27" i="21" s="1"/>
  <c r="F28" i="21"/>
  <c r="G28" i="21" s="1"/>
  <c r="F29" i="21"/>
  <c r="G29" i="21" s="1"/>
  <c r="F30" i="21"/>
  <c r="G30" i="21" s="1"/>
  <c r="F31" i="21"/>
  <c r="G31" i="21" s="1"/>
  <c r="F32" i="21"/>
  <c r="G32" i="21" s="1"/>
  <c r="F33" i="21"/>
  <c r="G33" i="21" s="1"/>
  <c r="F34" i="21"/>
  <c r="G34" i="21" s="1"/>
  <c r="F35" i="21"/>
  <c r="G35" i="21" s="1"/>
  <c r="F36" i="21"/>
  <c r="G36" i="21" s="1"/>
  <c r="F37" i="21"/>
  <c r="G37" i="21" s="1"/>
  <c r="F38" i="21"/>
  <c r="G38" i="21" s="1"/>
  <c r="F39" i="21"/>
  <c r="G39" i="21" s="1"/>
  <c r="F40" i="21"/>
  <c r="G40" i="21" s="1"/>
  <c r="F41" i="21"/>
  <c r="G41" i="21" s="1"/>
  <c r="F42" i="21"/>
  <c r="G42" i="21" s="1"/>
  <c r="F43" i="21"/>
  <c r="G43" i="21" s="1"/>
  <c r="F44" i="21"/>
  <c r="G44" i="21" s="1"/>
  <c r="F45" i="21"/>
  <c r="G45" i="21" s="1"/>
  <c r="F46" i="21"/>
  <c r="G46" i="21" s="1"/>
  <c r="F47" i="21"/>
  <c r="G47" i="21" s="1"/>
  <c r="F48" i="21"/>
  <c r="G48" i="21" s="1"/>
  <c r="F49" i="21"/>
  <c r="G49" i="21" s="1"/>
  <c r="F50" i="21"/>
  <c r="G50" i="21" s="1"/>
  <c r="F51" i="21"/>
  <c r="G51" i="21" s="1"/>
  <c r="F52" i="21"/>
  <c r="G52" i="21" s="1"/>
  <c r="F53" i="21"/>
  <c r="G53" i="21" s="1"/>
  <c r="F54" i="21"/>
  <c r="G54" i="21" s="1"/>
  <c r="F55" i="21"/>
  <c r="G55" i="21" s="1"/>
  <c r="F56" i="21"/>
  <c r="G56" i="21" s="1"/>
  <c r="F57" i="21"/>
  <c r="G57" i="21" s="1"/>
  <c r="F58" i="21"/>
  <c r="G58" i="21" s="1"/>
  <c r="F59" i="21"/>
  <c r="G59" i="21" s="1"/>
  <c r="F60" i="21"/>
  <c r="G60" i="21" s="1"/>
  <c r="F61" i="21"/>
  <c r="G61" i="21" s="1"/>
  <c r="F62" i="21"/>
  <c r="G62" i="21" s="1"/>
  <c r="F63" i="21"/>
  <c r="G63" i="21" s="1"/>
  <c r="F64" i="21"/>
  <c r="G64" i="21" s="1"/>
  <c r="F65" i="21"/>
  <c r="G65" i="21" s="1"/>
  <c r="F66" i="21"/>
  <c r="G66" i="21" s="1"/>
  <c r="F67" i="21"/>
  <c r="G67" i="21" s="1"/>
  <c r="F68" i="21"/>
  <c r="G68" i="21" s="1"/>
  <c r="F69" i="21"/>
  <c r="G69" i="21" s="1"/>
  <c r="F70" i="21"/>
  <c r="G70" i="21" s="1"/>
  <c r="F71" i="21"/>
  <c r="G71" i="21" s="1"/>
  <c r="F72" i="21"/>
  <c r="G72" i="21" s="1"/>
  <c r="F73" i="21"/>
  <c r="G73" i="21" s="1"/>
  <c r="F74" i="21"/>
  <c r="G74" i="21" s="1"/>
  <c r="F75" i="21"/>
  <c r="G75" i="21" s="1"/>
  <c r="F76" i="21"/>
  <c r="G76" i="21" s="1"/>
  <c r="F77" i="21"/>
  <c r="G77" i="21" s="1"/>
  <c r="F78" i="21"/>
  <c r="G78" i="21" s="1"/>
  <c r="F79" i="21"/>
  <c r="G79" i="21" s="1"/>
  <c r="F80" i="21"/>
  <c r="G80" i="21" s="1"/>
  <c r="F81" i="21"/>
  <c r="G81" i="21" s="1"/>
  <c r="F82" i="21"/>
  <c r="G82" i="21" s="1"/>
  <c r="F83" i="21"/>
  <c r="G83" i="21" s="1"/>
  <c r="F84" i="21"/>
  <c r="G84" i="21" s="1"/>
  <c r="F85" i="21"/>
  <c r="G85" i="21" s="1"/>
  <c r="F86" i="21"/>
  <c r="G86" i="21" s="1"/>
  <c r="F87" i="21"/>
  <c r="G87" i="21" s="1"/>
  <c r="F88" i="21"/>
  <c r="G88" i="21" s="1"/>
  <c r="F89" i="21"/>
  <c r="G89" i="21" s="1"/>
  <c r="F90" i="21"/>
  <c r="G90" i="21" s="1"/>
  <c r="F91" i="21"/>
  <c r="G91" i="21" s="1"/>
  <c r="F92" i="21"/>
  <c r="G92" i="21" s="1"/>
  <c r="F93" i="21"/>
  <c r="G93" i="21" s="1"/>
  <c r="F94" i="21"/>
  <c r="G94" i="21" s="1"/>
  <c r="F95" i="21"/>
  <c r="G95" i="21" s="1"/>
  <c r="F96" i="21"/>
  <c r="G96" i="21" s="1"/>
  <c r="F97" i="21"/>
  <c r="G97" i="21" s="1"/>
  <c r="F98" i="21"/>
  <c r="G98" i="21" s="1"/>
  <c r="F99" i="21"/>
  <c r="G99" i="21" s="1"/>
  <c r="F100" i="21"/>
  <c r="G100" i="21" s="1"/>
  <c r="F101" i="21"/>
  <c r="G101" i="21" s="1"/>
  <c r="F102" i="21"/>
  <c r="G102" i="21" s="1"/>
  <c r="F103" i="21"/>
  <c r="G103" i="21" s="1"/>
  <c r="F104" i="21"/>
  <c r="G104" i="21" s="1"/>
  <c r="F105" i="21"/>
  <c r="G105" i="21" s="1"/>
  <c r="F106" i="21"/>
  <c r="G106" i="21" s="1"/>
  <c r="F107" i="21"/>
  <c r="G107" i="21" s="1"/>
  <c r="F108" i="21"/>
  <c r="G108" i="21" s="1"/>
  <c r="F109" i="21"/>
  <c r="G109" i="21" s="1"/>
  <c r="F110" i="21"/>
  <c r="G110" i="21" s="1"/>
  <c r="F111" i="21"/>
  <c r="G111" i="21" s="1"/>
  <c r="F112" i="21"/>
  <c r="G112" i="21" s="1"/>
  <c r="F113" i="21"/>
  <c r="G113" i="21" s="1"/>
  <c r="F114" i="21"/>
  <c r="G114" i="21" s="1"/>
  <c r="F115" i="21"/>
  <c r="G115" i="21" s="1"/>
  <c r="F116" i="21"/>
  <c r="G116" i="21" s="1"/>
  <c r="F117" i="21"/>
  <c r="G117" i="21" s="1"/>
  <c r="F118" i="21"/>
  <c r="G118" i="21" s="1"/>
  <c r="F119" i="21"/>
  <c r="G119" i="21" s="1"/>
  <c r="F120" i="21"/>
  <c r="G120" i="21" s="1"/>
  <c r="F121" i="21"/>
  <c r="G121" i="21" s="1"/>
  <c r="F122" i="21"/>
  <c r="G122" i="21" s="1"/>
  <c r="F123" i="21"/>
  <c r="G123" i="21" s="1"/>
  <c r="F124" i="21"/>
  <c r="G124" i="21" s="1"/>
  <c r="F125" i="21"/>
  <c r="G125" i="21" s="1"/>
  <c r="F126" i="21"/>
  <c r="G126" i="21" s="1"/>
  <c r="F127" i="21"/>
  <c r="G127" i="21" s="1"/>
  <c r="F128" i="21"/>
  <c r="G128" i="21" s="1"/>
  <c r="F129" i="21"/>
  <c r="G129" i="21" s="1"/>
  <c r="F130" i="21"/>
  <c r="G130" i="21" s="1"/>
  <c r="F131" i="21"/>
  <c r="G131" i="21" s="1"/>
  <c r="F132" i="21"/>
  <c r="G132" i="21" s="1"/>
  <c r="F133" i="21"/>
  <c r="G133" i="21" s="1"/>
  <c r="F134" i="21"/>
  <c r="G134" i="21" s="1"/>
  <c r="F135" i="21"/>
  <c r="G135" i="21" s="1"/>
  <c r="F136" i="21"/>
  <c r="G136" i="21" s="1"/>
  <c r="F137" i="21"/>
  <c r="G137" i="21" s="1"/>
  <c r="F138" i="21"/>
  <c r="G138" i="21" s="1"/>
  <c r="F139" i="21"/>
  <c r="G139" i="21" s="1"/>
  <c r="F140" i="21"/>
  <c r="G140" i="21" s="1"/>
  <c r="F141" i="21"/>
  <c r="G141" i="21" s="1"/>
  <c r="F142" i="21"/>
  <c r="G142" i="21" s="1"/>
  <c r="F143" i="21"/>
  <c r="G143" i="21" s="1"/>
  <c r="F144" i="21"/>
  <c r="G144" i="21" s="1"/>
  <c r="F145" i="21"/>
  <c r="G145" i="21" s="1"/>
  <c r="F146" i="21"/>
  <c r="G146" i="21" s="1"/>
  <c r="F147" i="21"/>
  <c r="G147" i="21" s="1"/>
  <c r="F148" i="21"/>
  <c r="G148" i="21" s="1"/>
  <c r="F149" i="21"/>
  <c r="G149" i="21" s="1"/>
  <c r="F150" i="21"/>
  <c r="G150" i="21" s="1"/>
  <c r="F151" i="21"/>
  <c r="G151" i="21" s="1"/>
  <c r="F152" i="21"/>
  <c r="G152" i="21" s="1"/>
  <c r="F153" i="21"/>
  <c r="G153" i="21" s="1"/>
  <c r="F154" i="21"/>
  <c r="G154" i="21" s="1"/>
  <c r="F155" i="21"/>
  <c r="G155" i="21" s="1"/>
  <c r="F156" i="21"/>
  <c r="G156" i="21" s="1"/>
  <c r="F157" i="21"/>
  <c r="G157" i="21" s="1"/>
  <c r="F158" i="21"/>
  <c r="G158" i="21" s="1"/>
  <c r="F159" i="21"/>
  <c r="G159" i="21" s="1"/>
  <c r="F160" i="21"/>
  <c r="G160" i="21" s="1"/>
  <c r="F161" i="21"/>
  <c r="G161" i="21" s="1"/>
  <c r="F162" i="21"/>
  <c r="G162" i="21" s="1"/>
  <c r="F163" i="21"/>
  <c r="G163" i="21" s="1"/>
  <c r="F164" i="21"/>
  <c r="G164" i="21" s="1"/>
  <c r="F165" i="21"/>
  <c r="G165" i="21" s="1"/>
  <c r="F166" i="21"/>
  <c r="G166" i="21" s="1"/>
  <c r="F167" i="21"/>
  <c r="G167" i="21" s="1"/>
  <c r="F168" i="21"/>
  <c r="G168" i="21" s="1"/>
  <c r="F169" i="21"/>
  <c r="G169" i="21" s="1"/>
  <c r="F170" i="21"/>
  <c r="G170" i="21" s="1"/>
  <c r="F171" i="21"/>
  <c r="G171" i="21" s="1"/>
  <c r="F172" i="21"/>
  <c r="G172" i="21" s="1"/>
  <c r="F173" i="21"/>
  <c r="G173" i="21" s="1"/>
  <c r="F174" i="21"/>
  <c r="G174" i="21" s="1"/>
  <c r="F175" i="21"/>
  <c r="G175" i="21" s="1"/>
  <c r="F176" i="21"/>
  <c r="G176" i="21" s="1"/>
  <c r="F177" i="21"/>
  <c r="G177" i="21" s="1"/>
  <c r="F178" i="21"/>
  <c r="G178" i="21" s="1"/>
  <c r="F179" i="21"/>
  <c r="G179" i="21" s="1"/>
  <c r="F180" i="21"/>
  <c r="G180" i="21" s="1"/>
  <c r="F181" i="21"/>
  <c r="G181" i="21" s="1"/>
  <c r="F182" i="21"/>
  <c r="G182" i="21" s="1"/>
  <c r="F183" i="21"/>
  <c r="G183" i="21" s="1"/>
  <c r="F184" i="21"/>
  <c r="G184" i="21" s="1"/>
  <c r="F185" i="21"/>
  <c r="G185" i="21" s="1"/>
  <c r="F186" i="21"/>
  <c r="G186" i="21" s="1"/>
  <c r="F187" i="21"/>
  <c r="G187" i="21" s="1"/>
  <c r="F188" i="21"/>
  <c r="G188" i="21" s="1"/>
  <c r="F189" i="21"/>
  <c r="G189" i="21" s="1"/>
  <c r="F190" i="21"/>
  <c r="G190" i="21" s="1"/>
  <c r="F191" i="21"/>
  <c r="G191" i="21" s="1"/>
  <c r="F192" i="21"/>
  <c r="G192" i="21" s="1"/>
  <c r="F193" i="21"/>
  <c r="G193" i="21" s="1"/>
  <c r="F194" i="21"/>
  <c r="G194" i="21" s="1"/>
  <c r="F195" i="21"/>
  <c r="G195" i="21" s="1"/>
  <c r="F196" i="21"/>
  <c r="G196" i="21" s="1"/>
  <c r="F197" i="21"/>
  <c r="G197" i="21" s="1"/>
  <c r="F198" i="21"/>
  <c r="G198" i="21" s="1"/>
  <c r="F199" i="21"/>
  <c r="G199" i="21" s="1"/>
  <c r="F200" i="21"/>
  <c r="G200" i="21" s="1"/>
  <c r="F201" i="21"/>
  <c r="G201" i="21" s="1"/>
  <c r="F202" i="21"/>
  <c r="G202" i="21" s="1"/>
  <c r="F203" i="21"/>
  <c r="G203" i="21" s="1"/>
  <c r="F204" i="21"/>
  <c r="G204" i="21" s="1"/>
  <c r="F205" i="21"/>
  <c r="G205" i="21" s="1"/>
  <c r="F206" i="21"/>
  <c r="G206" i="21" s="1"/>
  <c r="F207" i="21"/>
  <c r="G207" i="21" s="1"/>
  <c r="F208" i="21"/>
  <c r="G208" i="21" s="1"/>
  <c r="F209" i="21"/>
  <c r="G209" i="21" s="1"/>
  <c r="F210" i="21"/>
  <c r="G210" i="21" s="1"/>
  <c r="F211" i="21"/>
  <c r="G211" i="21" s="1"/>
  <c r="F212" i="21"/>
  <c r="G212" i="21" s="1"/>
  <c r="F213" i="21"/>
  <c r="G213" i="21" s="1"/>
  <c r="F214" i="21"/>
  <c r="G214" i="21" s="1"/>
  <c r="F215" i="21"/>
  <c r="G215" i="21" s="1"/>
  <c r="F216" i="21"/>
  <c r="G216" i="21" s="1"/>
  <c r="F6" i="21"/>
  <c r="G6" i="21" s="1"/>
  <c r="I23" i="20" l="1"/>
  <c r="I22" i="20"/>
  <c r="I21" i="20"/>
  <c r="I20" i="20"/>
  <c r="I19" i="20"/>
  <c r="I18" i="20"/>
  <c r="I17" i="20"/>
  <c r="I16" i="20"/>
  <c r="I15" i="20"/>
  <c r="I14" i="20"/>
  <c r="H12" i="20"/>
  <c r="I12" i="20" s="1"/>
  <c r="H11" i="20"/>
  <c r="I11" i="20" s="1"/>
  <c r="H10" i="20"/>
  <c r="I10" i="20" s="1"/>
  <c r="H8" i="20"/>
  <c r="H6" i="20"/>
  <c r="I6" i="20" s="1"/>
  <c r="I8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Facility Maintenance HO</author>
  </authors>
  <commentList>
    <comment ref="E11" authorId="0" shapeId="0" xr:uid="{04C6EC3A-6FC3-4BFD-89F5-562B0D7691A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10 : 23-4-24
</t>
        </r>
      </text>
    </comment>
    <comment ref="E13" authorId="0" shapeId="0" xr:uid="{3D71B39C-15B8-4B94-BB90-0DBECDEBFC9B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6
8 Apr : 10</t>
        </r>
      </text>
    </comment>
    <comment ref="E15" authorId="0" shapeId="0" xr:uid="{89058618-0996-43D2-80CE-D50BF25E180E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15 May
</t>
        </r>
      </text>
    </comment>
    <comment ref="E19" authorId="0" shapeId="0" xr:uid="{3255ECB4-DF4C-4E33-BB2F-F2FD01621F2A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14 Feb 2025
8 Apr 2025</t>
        </r>
      </text>
    </comment>
    <comment ref="E92" authorId="0" shapeId="0" xr:uid="{A7C570FD-C225-4CCF-8EAD-4050A6BB9D5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28 Feb : 36 </t>
        </r>
      </text>
    </comment>
    <comment ref="E96" authorId="0" shapeId="0" xr:uid="{43835086-DB2C-4138-B2EA-80A24A94028E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Sep 2023: 25 pcs</t>
        </r>
      </text>
    </comment>
    <comment ref="E98" authorId="0" shapeId="0" xr:uid="{9E29917F-4D3A-4211-AD4D-E0C53C1D596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17 Apr : 6</t>
        </r>
      </text>
    </comment>
    <comment ref="E99" authorId="0" shapeId="0" xr:uid="{55437118-B1B2-461F-ACFA-22959DBF3C56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0" authorId="0" shapeId="0" xr:uid="{55D4BBBC-45AA-467A-AC9A-9A5CCD98DF33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1" authorId="0" shapeId="0" xr:uid="{1B1F4E36-E5AB-4866-85D1-B68BAB35ABC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5 Juni
</t>
        </r>
      </text>
    </comment>
    <comment ref="E103" authorId="0" shapeId="0" xr:uid="{0B2617C6-2B42-4348-AD5A-353B5FA618EE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Sep 2023: 20 pcs</t>
        </r>
      </text>
    </comment>
    <comment ref="T103" authorId="0" shapeId="0" xr:uid="{4936BC38-BB14-4726-A663-42FD00A4E93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Ivana rue
</t>
        </r>
      </text>
    </comment>
    <comment ref="E114" authorId="0" shapeId="0" xr:uid="{06E3FFAE-9A8C-4290-A6D8-E2A531660E04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9 Feb 2024</t>
        </r>
      </text>
    </comment>
    <comment ref="E117" authorId="0" shapeId="0" xr:uid="{4B7BA002-D5EF-4ADC-A645-906AE58576BC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5 Jun
</t>
        </r>
      </text>
    </comment>
    <comment ref="T117" authorId="0" shapeId="0" xr:uid="{B72C0611-889C-4688-9A26-BBAB730245B3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Nouly C&amp;F
</t>
        </r>
      </text>
    </comment>
    <comment ref="AH117" authorId="0" shapeId="0" xr:uid="{B98C5065-AD17-4917-AA4B-40F455B3FEAA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Meeting Room
</t>
        </r>
      </text>
    </comment>
    <comment ref="E120" authorId="0" shapeId="0" xr:uid="{478770B2-F7DB-4377-8655-07EF20A2C9C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Sep 2023: 36 pcs</t>
        </r>
      </text>
    </comment>
    <comment ref="E141" authorId="0" shapeId="0" xr:uid="{D7E5746F-BB9B-459D-939D-58788BDB652A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Sep 2023: 10 pcs</t>
        </r>
      </text>
    </comment>
    <comment ref="E143" authorId="0" shapeId="0" xr:uid="{22DE0444-CC4F-46AC-95C9-4974549DD39D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15 Mar 2024 : 10pc</t>
        </r>
      </text>
    </comment>
    <comment ref="E145" authorId="0" shapeId="0" xr:uid="{AD36733B-B06E-46F1-9F52-C1C108F265F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24
</t>
        </r>
      </text>
    </comment>
    <comment ref="E146" authorId="0" shapeId="0" xr:uid="{D0424FC9-193F-4C9B-9B14-5D50157338A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24
</t>
        </r>
      </text>
    </comment>
    <comment ref="E147" authorId="0" shapeId="0" xr:uid="{24E120D3-AD75-4A36-B0BE-DF83A089330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5 Jun : 24
</t>
        </r>
      </text>
    </comment>
    <comment ref="E148" authorId="0" shapeId="0" xr:uid="{E3579CAC-4677-4BAB-9021-9BFD7EA668DC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Apr</t>
        </r>
      </text>
    </comment>
    <comment ref="E149" authorId="0" shapeId="0" xr:uid="{3CA93838-EB34-47F0-96A4-090F24F9CD2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24
28 Feb : 36</t>
        </r>
      </text>
    </comment>
    <comment ref="E150" authorId="0" shapeId="0" xr:uid="{4F308598-7B88-4F49-9148-C0DE61A21051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24
28 Feb : 36</t>
        </r>
      </text>
    </comment>
    <comment ref="T150" authorId="0" shapeId="0" xr:uid="{F4045FD0-E32A-4EE2-B44A-2399CD9F3DDF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11 Mar : Tifanny</t>
        </r>
      </text>
    </comment>
    <comment ref="E152" authorId="0" shapeId="0" xr:uid="{0E3D8206-5A54-41BF-9D0F-304FFCFC51B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19 Feb 24 : 24</t>
        </r>
      </text>
    </comment>
    <comment ref="I153" authorId="0" shapeId="0" xr:uid="{65D5411D-5327-4E40-9B6E-9337F92AB0B1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Agnes Stok
</t>
        </r>
      </text>
    </comment>
    <comment ref="E168" authorId="0" shapeId="0" xr:uid="{13099467-2A15-47CC-92EA-A9B6DF3D6203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68" authorId="0" shapeId="0" xr:uid="{56782846-9E76-4AB8-ABD4-1F64A03B823D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AP FInance</t>
        </r>
      </text>
    </comment>
    <comment ref="AD168" authorId="0" shapeId="0" xr:uid="{21D7D45C-17AB-4133-8320-24FF6355923E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D&amp;IT
</t>
        </r>
      </text>
    </comment>
    <comment ref="AH168" authorId="0" shapeId="0" xr:uid="{FF220185-DC79-4070-9F5E-58A4587BB26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HR Service
</t>
        </r>
      </text>
    </comment>
    <comment ref="AI168" authorId="0" shapeId="0" xr:uid="{2B30A598-F29F-4306-AFFE-24902AD95EA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Silmi wafa
</t>
        </r>
      </text>
    </comment>
    <comment ref="E169" authorId="0" shapeId="0" xr:uid="{328EE9AB-E5DE-4906-BBCC-D207F542F91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3 Jul 2024 : 100
25 Nov : 100
</t>
        </r>
      </text>
    </comment>
    <comment ref="AA169" authorId="0" shapeId="0" xr:uid="{0DAC8E2E-88CF-439D-8729-3EE4FDDBC176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Agnes Dewi
</t>
        </r>
      </text>
    </comment>
    <comment ref="AC169" authorId="0" shapeId="0" xr:uid="{8604C01C-CE1E-416F-B55A-019EB41C404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Ade Selvia
</t>
        </r>
      </text>
    </comment>
    <comment ref="E170" authorId="0" shapeId="0" xr:uid="{2C495133-0D82-45FC-9836-22A161E30FAC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7 Jan : 200
21 Apr : 200
</t>
        </r>
      </text>
    </comment>
    <comment ref="Y170" authorId="0" shapeId="0" xr:uid="{65747497-4009-4F4C-B978-E5C350553B1F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Dhisa Merlan
</t>
        </r>
      </text>
    </comment>
    <comment ref="AD170" authorId="0" shapeId="0" xr:uid="{5DA15F42-4CD8-4983-BC96-EF8849BEA1BF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Rani Maharani
</t>
        </r>
      </text>
    </comment>
    <comment ref="E172" authorId="0" shapeId="0" xr:uid="{F7D70EEF-326F-4CFF-835E-8BB74E45A17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9 Feb 2024 : 200 pcs
15 Mar 2024 : 200 pcs
23 Apr 2024; 100 pcs
11 Juni 2024 : 200 Pcs</t>
        </r>
      </text>
    </comment>
    <comment ref="M172" authorId="0" shapeId="0" xr:uid="{F61FD0C1-567C-422C-A29D-8AE2C4DC914D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AP Finance</t>
        </r>
      </text>
    </comment>
    <comment ref="P172" authorId="0" shapeId="0" xr:uid="{28D83076-1AC2-42FC-BEC7-5C1C0D63661C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Mailroom</t>
        </r>
      </text>
    </comment>
    <comment ref="R172" authorId="0" shapeId="0" xr:uid="{EB577B05-746C-43BA-832F-78E55E5E103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AP Filling</t>
        </r>
      </text>
    </comment>
    <comment ref="W172" authorId="0" shapeId="0" xr:uid="{E58CDEA1-4DAE-4236-8964-643EAF5FB03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AP Finance</t>
        </r>
      </text>
    </comment>
    <comment ref="E173" authorId="0" shapeId="0" xr:uid="{E5C95AEE-38F6-461F-9F0D-3C6F82AAF2E3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15 Feb 2024 : 300</t>
        </r>
      </text>
    </comment>
    <comment ref="L173" authorId="0" shapeId="0" xr:uid="{71798723-C586-4BB7-BC24-96956D672D1E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Treasurry</t>
        </r>
      </text>
    </comment>
    <comment ref="R173" authorId="0" shapeId="0" xr:uid="{5BCA96E3-2D09-43A4-B7D9-700F0DF64AD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Treasurry</t>
        </r>
      </text>
    </comment>
    <comment ref="X173" authorId="0" shapeId="0" xr:uid="{16969845-D964-413D-9AAC-CFD4757E9B4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Treasurry</t>
        </r>
      </text>
    </comment>
    <comment ref="AC173" authorId="0" shapeId="0" xr:uid="{9E5AA649-463A-490F-8FDE-5B24E974308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Legal</t>
        </r>
      </text>
    </comment>
    <comment ref="AH173" authorId="0" shapeId="0" xr:uid="{9D9F39A0-FA48-4929-A501-762F56D5296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Legal</t>
        </r>
      </text>
    </comment>
    <comment ref="AJ173" authorId="0" shapeId="0" xr:uid="{C5D87204-CDBC-4A38-B4A2-30B9A8ED8EC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Mailroom
</t>
        </r>
      </text>
    </comment>
    <comment ref="E179" authorId="0" shapeId="0" xr:uid="{7E7291F3-A666-466E-9820-AE31D3B2567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15 Mar 2024 : 10pcs</t>
        </r>
      </text>
    </comment>
    <comment ref="E189" authorId="0" shapeId="0" xr:uid="{900AD2A7-DB96-4798-B5D5-C5BC6157120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28 Feb : 12</t>
        </r>
      </text>
    </comment>
    <comment ref="E193" authorId="0" shapeId="0" xr:uid="{FB8D633B-3A4B-430B-BE17-7DD9A3793BB6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 Jan : 120
</t>
        </r>
      </text>
    </comment>
    <comment ref="AD194" authorId="0" shapeId="0" xr:uid="{903F49D5-1C22-4367-9C84-99135DB5439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S&amp;P
</t>
        </r>
      </text>
    </comment>
    <comment ref="E204" authorId="0" shapeId="0" xr:uid="{1C193DB7-A7A6-465B-9F5F-CAAFA0EC857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5 Juni 2024 : 300pcs</t>
        </r>
      </text>
    </comment>
    <comment ref="E205" authorId="0" shapeId="0" xr:uid="{621761D2-7CD2-4035-B667-D7AFCBE5010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25 May 2024 : 300pcs
28 Agustus 2024 : 200pcs</t>
        </r>
      </text>
    </comment>
    <comment ref="E206" authorId="0" shapeId="0" xr:uid="{7A9C79AF-AFF4-4E17-BDD8-35A0CF3819D4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3" authorId="0" shapeId="0" xr:uid="{0B05EDA9-8678-47EC-9FB7-4A66758B266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8 Jan 25 = 65
10 Mar 25 = 65
14 Apr 25 = 65
27 May 25 = 65</t>
        </r>
      </text>
    </comment>
    <comment ref="E217" authorId="0" shapeId="0" xr:uid="{93374B79-4810-4672-8068-1D8D8FDAAD5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6 Juni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Facility Maintenance HO</author>
    <author>User Account</author>
  </authors>
  <commentList>
    <comment ref="G6" authorId="0" shapeId="0" xr:uid="{D6401453-6165-4FFA-9351-07C029A6152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tgl 2/1/25 : 72
tgl 10/3/25 : 48
tgl 18/3/25 : 48
tgl 14/4/25 : 48
28 May 25 = 48</t>
        </r>
      </text>
    </comment>
    <comment ref="F8" authorId="0" shapeId="0" xr:uid="{9211BBC6-6ACA-44E9-A8BB-7AEF5D185C24}">
      <text>
        <r>
          <rPr>
            <b/>
            <sz val="9"/>
            <color indexed="81"/>
            <rFont val="Tahoma"/>
            <family val="2"/>
          </rPr>
          <t xml:space="preserve">Facility Maintenance HO:
</t>
        </r>
        <r>
          <rPr>
            <sz val="9"/>
            <color indexed="81"/>
            <rFont val="Tahoma"/>
            <family val="2"/>
          </rPr>
          <t>Awal : 2 Jan : 49
17-Jan : 36 pcs
28 May 25 = 24 Pcs</t>
        </r>
      </text>
    </comment>
    <comment ref="G8" authorId="0" shapeId="0" xr:uid="{7B65C99E-E228-454B-AA2C-C23DD36C04B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17 Jan : 36 pcs
28 May 25 = 24 Pcs</t>
        </r>
      </text>
    </comment>
    <comment ref="N8" authorId="0" shapeId="0" xr:uid="{5BC79523-D831-4C7F-9E32-96BE059E4ED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2 &amp; 15</t>
        </r>
      </text>
    </comment>
    <comment ref="O8" authorId="0" shapeId="0" xr:uid="{6A697F74-2DB8-4C0F-BC80-7CC46A5EDF48}">
      <text>
        <r>
          <rPr>
            <b/>
            <sz val="9"/>
            <color indexed="81"/>
            <rFont val="Tahoma"/>
            <family val="2"/>
          </rPr>
          <t>Facility Maintenance HO:
Lt 16,10,11</t>
        </r>
      </text>
    </comment>
    <comment ref="Q8" authorId="0" shapeId="0" xr:uid="{99DE278A-4237-44A2-9AB8-1AD4B872594F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12 &amp; 17</t>
        </r>
      </text>
    </comment>
    <comment ref="F9" authorId="0" shapeId="0" xr:uid="{5040FC84-9388-4856-AAD8-61172F4ED8F3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17 Jan : 14 Pcs
28 May 25 = 24</t>
        </r>
      </text>
    </comment>
    <comment ref="K9" authorId="0" shapeId="0" xr:uid="{77B9A691-FE93-4BC1-8559-E2AF831B3A4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11</t>
        </r>
      </text>
    </comment>
    <comment ref="L9" authorId="0" shapeId="0" xr:uid="{4DE0B021-A06C-4E8D-8F56-B3CEE1FC2A22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17 &amp; 10</t>
        </r>
      </text>
    </comment>
    <comment ref="M9" authorId="0" shapeId="0" xr:uid="{1460F46B-7B17-442A-B3EE-E101B8714280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12</t>
        </r>
      </text>
    </comment>
    <comment ref="N9" authorId="0" shapeId="0" xr:uid="{4A20118E-66CE-447A-BE04-AF28B120E91B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15</t>
        </r>
      </text>
    </comment>
    <comment ref="O9" authorId="0" shapeId="0" xr:uid="{F1C96321-C3BA-4835-9E6B-0DABB025F1CC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10</t>
        </r>
      </text>
    </comment>
    <comment ref="Q9" authorId="0" shapeId="0" xr:uid="{82832273-2155-4FC1-AC07-9D76B01E56BD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12 &amp; 17</t>
        </r>
      </text>
    </comment>
    <comment ref="F10" authorId="0" shapeId="0" xr:uid="{5B45ECCF-8DA5-4924-8525-D77C523D0EC0}">
      <text>
        <r>
          <rPr>
            <b/>
            <sz val="9"/>
            <color indexed="81"/>
            <rFont val="Tahoma"/>
            <family val="2"/>
          </rPr>
          <t xml:space="preserve">Facility Maintenance HO:
</t>
        </r>
        <r>
          <rPr>
            <sz val="9"/>
            <color indexed="81"/>
            <rFont val="Tahoma"/>
            <family val="2"/>
          </rPr>
          <t>17 Jan : 7 Pcs</t>
        </r>
      </text>
    </comment>
    <comment ref="Q10" authorId="0" shapeId="0" xr:uid="{B9EBEC74-3D07-46C1-8B5C-97D2A2AE35F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2 s/d 17</t>
        </r>
      </text>
    </comment>
    <comment ref="F11" authorId="0" shapeId="0" xr:uid="{ABBE44E7-BD77-4085-B82D-18946689CE58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28 Nov 2023 : 24pcs
19 Des 2023 : 24pcs
15 Feb 2024 : 4pcs/20kg
21  Feb 2024 : 28 Kg
28 21 -2-24 
24 Pcs 4-424
25 Pcs 29/05/24
24 pcs 4/7/24
24 Pcs 5/8/24
24 Pcs 14/10/24
24 Pcs 2/12/24
24 Pcs 28/5/25</t>
        </r>
      </text>
    </comment>
    <comment ref="L11" authorId="0" shapeId="0" xr:uid="{9E5F59A6-0B9E-40D8-B2ED-B33DC36A4E94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11</t>
        </r>
      </text>
    </comment>
    <comment ref="M11" authorId="0" shapeId="0" xr:uid="{0CAA5B8A-7113-4C21-9E7C-76D4F2B2EAB7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12</t>
        </r>
      </text>
    </comment>
    <comment ref="N11" authorId="0" shapeId="0" xr:uid="{87A7C768-4E3F-44EA-A7EE-BD580C751AB9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2 (2) &amp; Lt 15</t>
        </r>
      </text>
    </comment>
    <comment ref="Q11" authorId="0" shapeId="0" xr:uid="{D8F2E8D8-42E1-49A0-9CEC-E03E23EAD285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Lt 15 (2), 2 &amp; 17 (1)</t>
        </r>
      </text>
    </comment>
    <comment ref="F14" authorId="1" shapeId="0" xr:uid="{E1ACE4C7-73AE-4CA8-B61D-800C51F01244}">
      <text>
        <r>
          <rPr>
            <b/>
            <sz val="9"/>
            <color indexed="81"/>
            <rFont val="Tahoma"/>
            <family val="2"/>
          </rPr>
          <t xml:space="preserve">Muhammad Sodikin:
</t>
        </r>
        <r>
          <rPr>
            <sz val="9"/>
            <color indexed="81"/>
            <rFont val="Tahoma"/>
            <family val="2"/>
          </rPr>
          <t xml:space="preserve">GA/MANGKOK/001 </t>
        </r>
        <r>
          <rPr>
            <sz val="9"/>
            <color indexed="81"/>
            <rFont val="Tahoma"/>
            <family val="2"/>
          </rPr>
          <t xml:space="preserve">
24 Jul 20: 6 box</t>
        </r>
      </text>
    </comment>
    <comment ref="F15" authorId="1" shapeId="0" xr:uid="{7A35DAAB-3390-44CE-990B-EB67F2500CEE}">
      <text>
        <r>
          <rPr>
            <b/>
            <sz val="9"/>
            <color indexed="81"/>
            <rFont val="Tahoma"/>
            <family val="2"/>
          </rPr>
          <t xml:space="preserve">Muhammad Sodikin:
</t>
        </r>
        <r>
          <rPr>
            <sz val="9"/>
            <color indexed="81"/>
            <rFont val="Tahoma"/>
            <family val="2"/>
          </rPr>
          <t>GA/GELAS MEETING/001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24 Jul 20: 10 box</t>
        </r>
      </text>
    </comment>
    <comment ref="F16" authorId="1" shapeId="0" xr:uid="{0A2D2139-30B1-4EA0-B0E2-93161BE1E2D3}">
      <text>
        <r>
          <rPr>
            <b/>
            <sz val="9"/>
            <color indexed="81"/>
            <rFont val="Tahoma"/>
            <family val="2"/>
          </rPr>
          <t>Facility:</t>
        </r>
        <r>
          <rPr>
            <sz val="9"/>
            <color indexed="81"/>
            <rFont val="Tahoma"/>
            <family val="2"/>
          </rPr>
          <t xml:space="preserve">
GA/GELAS KAKI/001
16 Jan : 40 Box</t>
        </r>
      </text>
    </comment>
    <comment ref="H16" authorId="0" shapeId="0" xr:uid="{61A32436-D2DE-4ABB-BB8D-7CD3DAB58DDF}">
      <text>
        <r>
          <rPr>
            <b/>
            <sz val="9"/>
            <color indexed="81"/>
            <rFont val="Tahoma"/>
            <family val="2"/>
          </rPr>
          <t>Facility Maintenance HO:</t>
        </r>
        <r>
          <rPr>
            <sz val="9"/>
            <color indexed="81"/>
            <rFont val="Tahoma"/>
            <family val="2"/>
          </rPr>
          <t xml:space="preserve">
Untuk 7 Lantai</t>
        </r>
      </text>
    </comment>
    <comment ref="F17" authorId="1" shapeId="0" xr:uid="{80CD7CAE-81D8-407C-8DDF-ACFD9CCD460F}">
      <text>
        <r>
          <rPr>
            <b/>
            <sz val="9"/>
            <color indexed="81"/>
            <rFont val="Tahoma"/>
            <family val="2"/>
          </rPr>
          <t>Muhammad Sodikin:</t>
        </r>
        <r>
          <rPr>
            <sz val="9"/>
            <color indexed="81"/>
            <rFont val="Tahoma"/>
            <family val="2"/>
          </rPr>
          <t xml:space="preserve">
GA/SENDOK/001
24 Jul 20: 52 box</t>
        </r>
      </text>
    </comment>
    <comment ref="F18" authorId="1" shapeId="0" xr:uid="{8FA8F994-C15A-4F3D-BBEC-5A849DD01419}">
      <text>
        <r>
          <rPr>
            <b/>
            <sz val="9"/>
            <color indexed="81"/>
            <rFont val="Tahoma"/>
            <family val="2"/>
          </rPr>
          <t>Muhammad Sodikin:</t>
        </r>
        <r>
          <rPr>
            <sz val="9"/>
            <color indexed="81"/>
            <rFont val="Tahoma"/>
            <family val="2"/>
          </rPr>
          <t xml:space="preserve">
24 Jul 20: 8 box</t>
        </r>
      </text>
    </comment>
  </commentList>
</comments>
</file>

<file path=xl/sharedStrings.xml><?xml version="1.0" encoding="utf-8"?>
<sst xmlns="http://schemas.openxmlformats.org/spreadsheetml/2006/main" count="29202" uniqueCount="7509">
  <si>
    <t xml:space="preserve">Mangkok </t>
  </si>
  <si>
    <t xml:space="preserve">Gelas Kaki Meeting </t>
  </si>
  <si>
    <t xml:space="preserve">Sendok Makan </t>
  </si>
  <si>
    <t xml:space="preserve">Gelas Cangkir Meeting </t>
  </si>
  <si>
    <t xml:space="preserve">No </t>
  </si>
  <si>
    <t xml:space="preserve">Rak </t>
  </si>
  <si>
    <t xml:space="preserve">Detail Item Barang </t>
  </si>
  <si>
    <t xml:space="preserve">Satuan </t>
  </si>
  <si>
    <t>Joyko paper clips no.5</t>
  </si>
  <si>
    <t>Atom paper clips no.5</t>
  </si>
  <si>
    <t>Kenko paper clips no.5</t>
  </si>
  <si>
    <t>pcs</t>
  </si>
  <si>
    <t>Lem stick panjang</t>
  </si>
  <si>
    <t>Casio el-label printer 9mm XR-9WE white/black</t>
  </si>
  <si>
    <t>Casio el-label printer 9mm XR-9WE  white /blue</t>
  </si>
  <si>
    <t>Casio el label printer 9mm XR-9X1 Black /Clear</t>
  </si>
  <si>
    <t>Casio el label printer 9mm XR-9YW1 Black/Yellow</t>
  </si>
  <si>
    <t>Casio el lebel printer 18 mm XR-18YW1 Black/Yellow</t>
  </si>
  <si>
    <t>Casio el lebel printer 18 mm XR-18WE1 Black/ White</t>
  </si>
  <si>
    <t>Casio el lebel printer 12mm XR- 12WE1 Black/White</t>
  </si>
  <si>
    <t>Casio el lebel printer 12mm XR -12BU1 Black/Blue</t>
  </si>
  <si>
    <t>Casio el lebel printer 18mm XR-18RD1 Black/Red</t>
  </si>
  <si>
    <t>Casio el lebel printer 24mm XR-24YW1 Black/Yellow</t>
  </si>
  <si>
    <t>Casio el lebel printer 9mm IR-9WER1 White/Red</t>
  </si>
  <si>
    <t>Casio el lebel printer 18mm IR-18X1 Clear/Black</t>
  </si>
  <si>
    <t>Casio el lebel printer 18mm IR-18WE1 Black White</t>
  </si>
  <si>
    <t>Casio el lebel printer 18mm IR-18WER1 Red /White</t>
  </si>
  <si>
    <t xml:space="preserve">Casio el lebel printer 18mm IR-18WEB1 Blue/White </t>
  </si>
  <si>
    <t>KWITANSI</t>
  </si>
  <si>
    <t>Maxell Window/MS DOS 2MD</t>
  </si>
  <si>
    <t xml:space="preserve">Maxell DVDR VIDEO 30 Min </t>
  </si>
  <si>
    <t>Vibratim DVD+RW</t>
  </si>
  <si>
    <t xml:space="preserve">Vibratim DVD-R1,4 GB </t>
  </si>
  <si>
    <t xml:space="preserve">VibratimDVD-RW </t>
  </si>
  <si>
    <t>Vibratim DVD -RW</t>
  </si>
  <si>
    <t>Vibrtim CD -R</t>
  </si>
  <si>
    <t>Vibratim 700 mb cd-rw</t>
  </si>
  <si>
    <t xml:space="preserve">Vibratim CD-RW </t>
  </si>
  <si>
    <t>Vibratim DVD-R 4,7GB</t>
  </si>
  <si>
    <t xml:space="preserve">Mitsubisi DVD-RW 30min </t>
  </si>
  <si>
    <t>Full Mark Alder Gabriele 9009</t>
  </si>
  <si>
    <t>Full Mark Conon AP.200/300/400/550</t>
  </si>
  <si>
    <t>Full Mark Conon AP.800</t>
  </si>
  <si>
    <t>Epson Cartridge 143 Cyan</t>
  </si>
  <si>
    <t>Epson Cartridge 143 magenta</t>
  </si>
  <si>
    <t>Epson Cartridge 143 yellow</t>
  </si>
  <si>
    <t>Epson Cartridge 73N cyan</t>
  </si>
  <si>
    <t>Epson Cartridge 73N BLACK</t>
  </si>
  <si>
    <t>Epson Cartridge 73N/73 Magenta</t>
  </si>
  <si>
    <t>Epson Cartridge 73 yellow</t>
  </si>
  <si>
    <t>Epson Cartridge 91N cyan</t>
  </si>
  <si>
    <t>Epson Cartridge 143 black</t>
  </si>
  <si>
    <t>HP Cartridge 18 hitam</t>
  </si>
  <si>
    <t>HP Cartridge 18 kuning</t>
  </si>
  <si>
    <t>HP Cartridge 18 cyan</t>
  </si>
  <si>
    <t>HP Cartridge 18 magenta</t>
  </si>
  <si>
    <t>HP Cartridge 940XL Magenta</t>
  </si>
  <si>
    <t>HP Cartridge 940XL kuning</t>
  </si>
  <si>
    <t>HP Cartridge 940XL biru</t>
  </si>
  <si>
    <t>HP Cartridge 940XL hitam</t>
  </si>
  <si>
    <t>ASUS External slim DVD RW</t>
  </si>
  <si>
    <t>ACCO Average contens fasteners</t>
  </si>
  <si>
    <t>pack</t>
  </si>
  <si>
    <t>SRM Papper fastener</t>
  </si>
  <si>
    <t>SDI Fasteners</t>
  </si>
  <si>
    <t>BONA Papper fastener</t>
  </si>
  <si>
    <t>ACCO Fastener</t>
  </si>
  <si>
    <t>Hologram CD label kecil</t>
  </si>
  <si>
    <t>Hologram CD label besar</t>
  </si>
  <si>
    <t>Amplop surat coklat polos</t>
  </si>
  <si>
    <t>Baterai energizer AAA</t>
  </si>
  <si>
    <t>PCS</t>
  </si>
  <si>
    <t>Baterai energizer AA</t>
  </si>
  <si>
    <t>Stampad Ink biru</t>
  </si>
  <si>
    <t>Stampad Ink hitam</t>
  </si>
  <si>
    <t>Stampad Ink merah</t>
  </si>
  <si>
    <t>Lakban hitam</t>
  </si>
  <si>
    <t>Lakban bening besar</t>
  </si>
  <si>
    <t>Double tape sedeng</t>
  </si>
  <si>
    <t>Double tape kecil</t>
  </si>
  <si>
    <t>Lakban kertas besar</t>
  </si>
  <si>
    <t>Scotch magic tape</t>
  </si>
  <si>
    <t>Amplop Confidential</t>
  </si>
  <si>
    <t>Amplop JAYA</t>
  </si>
  <si>
    <t>Amplop Royal</t>
  </si>
  <si>
    <t>Amplop GARDA</t>
  </si>
  <si>
    <t xml:space="preserve">Isi staples No. 3-1M </t>
  </si>
  <si>
    <t xml:space="preserve">Isi staples No. 10-1M </t>
  </si>
  <si>
    <t>Stapler heavy dutty 1/2 staples</t>
  </si>
  <si>
    <t>Stapler HD-10</t>
  </si>
  <si>
    <t>Stapler HD-50</t>
  </si>
  <si>
    <t>Spidol besar snowman hitam</t>
  </si>
  <si>
    <t>Spidol besar snowman biru</t>
  </si>
  <si>
    <t>Spidol besar snowman merah</t>
  </si>
  <si>
    <t>Spidol kecil snowman merah</t>
  </si>
  <si>
    <t>Spidol kecil snowman hijau</t>
  </si>
  <si>
    <t>Spidol kecil snowman biru</t>
  </si>
  <si>
    <t>Spidol kecil snowman hitam</t>
  </si>
  <si>
    <t>Artline 70 high performance 1,5 m biru</t>
  </si>
  <si>
    <t>Artline 70 high performance 1,5 m merah</t>
  </si>
  <si>
    <t>Artline 70 high performance 1,5 m hitam</t>
  </si>
  <si>
    <t>Etona staples 23/17 (5/8)</t>
  </si>
  <si>
    <t xml:space="preserve">Dispenser Tape </t>
  </si>
  <si>
    <t xml:space="preserve">pcs </t>
  </si>
  <si>
    <t xml:space="preserve">Tape Holder </t>
  </si>
  <si>
    <t xml:space="preserve">Penghapus White Board </t>
  </si>
  <si>
    <t xml:space="preserve">Pembolong kertas </t>
  </si>
  <si>
    <t xml:space="preserve">box </t>
  </si>
  <si>
    <t>Pcs</t>
  </si>
  <si>
    <t xml:space="preserve">Eraser pensil </t>
  </si>
  <si>
    <t xml:space="preserve">Jarum Mading Papan </t>
  </si>
  <si>
    <t xml:space="preserve">Gunting </t>
  </si>
  <si>
    <t xml:space="preserve">Pcs </t>
  </si>
  <si>
    <t xml:space="preserve">Rautan roll Mesin </t>
  </si>
  <si>
    <t xml:space="preserve">Pensil 2B </t>
  </si>
  <si>
    <t xml:space="preserve">Stabillo Boss </t>
  </si>
  <si>
    <t xml:space="preserve">Ballpoint  Sarasa 0.7 black </t>
  </si>
  <si>
    <t xml:space="preserve">Ballpoint  Sarasa 0.7 blue </t>
  </si>
  <si>
    <t xml:space="preserve">Ballpoint  Sarasa 1,0 Blue </t>
  </si>
  <si>
    <t xml:space="preserve">Ballpoint  Sarasa 1,0 Black </t>
  </si>
  <si>
    <t xml:space="preserve">Binder Clip No 107 </t>
  </si>
  <si>
    <t xml:space="preserve">Duz </t>
  </si>
  <si>
    <t>Binder Clip No 200</t>
  </si>
  <si>
    <t>Binder Clip No 105</t>
  </si>
  <si>
    <t>Binder Clip No 155</t>
  </si>
  <si>
    <t>Binder Clip No 111</t>
  </si>
  <si>
    <t>Binder Clip No 260</t>
  </si>
  <si>
    <t xml:space="preserve">Lembar </t>
  </si>
  <si>
    <t xml:space="preserve">Kertas F4 </t>
  </si>
  <si>
    <t xml:space="preserve">Rim </t>
  </si>
  <si>
    <t xml:space="preserve">Kertas A3 </t>
  </si>
  <si>
    <t xml:space="preserve">Bantex Pembatas Berwarna </t>
  </si>
  <si>
    <t xml:space="preserve">Buku perjanjian jual beli </t>
  </si>
  <si>
    <t xml:space="preserve">Buku Tanda Terima Trakindo </t>
  </si>
  <si>
    <t xml:space="preserve">Letter Head F 29 Hal 2 </t>
  </si>
  <si>
    <t xml:space="preserve">Business file F4 </t>
  </si>
  <si>
    <t xml:space="preserve">Pax </t>
  </si>
  <si>
    <t xml:space="preserve">Business file A4 </t>
  </si>
  <si>
    <t xml:space="preserve">Bantex Plastik A4 </t>
  </si>
  <si>
    <t xml:space="preserve">Business Chard Pocket </t>
  </si>
  <si>
    <t xml:space="preserve">Letter Head F 27 Hal 1 </t>
  </si>
  <si>
    <t xml:space="preserve">Letter Memo F25 Kuning </t>
  </si>
  <si>
    <t xml:space="preserve">HVS Warna A4 Pink </t>
  </si>
  <si>
    <t xml:space="preserve">HVS Warna A4 Biru </t>
  </si>
  <si>
    <t xml:space="preserve">HVS Warna A4 kuning </t>
  </si>
  <si>
    <t xml:space="preserve">HVS Warna A4 Hijau </t>
  </si>
  <si>
    <t xml:space="preserve">Map Diamond Merah </t>
  </si>
  <si>
    <t xml:space="preserve">Map Diamond Kuning </t>
  </si>
  <si>
    <t xml:space="preserve">Map Diamond Hijau </t>
  </si>
  <si>
    <t xml:space="preserve">Map Diamond Biru </t>
  </si>
  <si>
    <t>Isi steples kangoro 24,M</t>
  </si>
  <si>
    <t>dirigen</t>
  </si>
  <si>
    <t>Binder biru A4</t>
  </si>
  <si>
    <t>Binder putih A4</t>
  </si>
  <si>
    <t>Box File Star</t>
  </si>
  <si>
    <t>Bantex Putih</t>
  </si>
  <si>
    <t>Bantex hitam</t>
  </si>
  <si>
    <t>Joyko paper clips no.3</t>
  </si>
  <si>
    <t>Joyko paper clips no.1</t>
  </si>
  <si>
    <t>Casio el lebel printer 9mm IR-9WE1 BLUE/WHITE</t>
  </si>
  <si>
    <t>Barang Dari Gudang Lantai 2 Finance</t>
  </si>
  <si>
    <t>Kertas A4</t>
  </si>
  <si>
    <t>pak</t>
  </si>
  <si>
    <t>Total
Stok</t>
  </si>
  <si>
    <t>Plastik Laminating</t>
  </si>
  <si>
    <t>Mistar panjang 50 Cm</t>
  </si>
  <si>
    <t>Post-it kecil (40 x 50) 653</t>
  </si>
  <si>
    <t>Post-it Sedang (76 x 76) 654</t>
  </si>
  <si>
    <t>LT. 12</t>
  </si>
  <si>
    <t>Sugar Stick</t>
  </si>
  <si>
    <t>PAC</t>
  </si>
  <si>
    <t>H1</t>
  </si>
  <si>
    <t>H2</t>
  </si>
  <si>
    <t>G1</t>
  </si>
  <si>
    <t>G3</t>
  </si>
  <si>
    <t>G2</t>
  </si>
  <si>
    <t>H3</t>
  </si>
  <si>
    <t>F2</t>
  </si>
  <si>
    <t>F1</t>
  </si>
  <si>
    <t>E</t>
  </si>
  <si>
    <t>F3</t>
  </si>
  <si>
    <t>Name tag</t>
  </si>
  <si>
    <t>E1</t>
  </si>
  <si>
    <t>E2</t>
  </si>
  <si>
    <t>E4</t>
  </si>
  <si>
    <t>E3</t>
  </si>
  <si>
    <t>LEMARI BESI</t>
  </si>
  <si>
    <t>box</t>
  </si>
  <si>
    <t>Post-it 1/4 (47 x 73) 656</t>
  </si>
  <si>
    <t>Lakban bening kecil 1/2 in</t>
  </si>
  <si>
    <t>Lakban bening sedeng 1 in</t>
  </si>
  <si>
    <t>Lakban coklat besar</t>
  </si>
  <si>
    <t>Lem glue stick</t>
  </si>
  <si>
    <t xml:space="preserve">Stick Note (Warna) </t>
  </si>
  <si>
    <t>Tinta EPSON T6172 Cyan</t>
  </si>
  <si>
    <t>Tinta EPSON T6174 Yellow</t>
  </si>
  <si>
    <t>Tinta EPSON T6173 MAGENTA</t>
  </si>
  <si>
    <t>Tinta EPSON T6171 Black</t>
  </si>
  <si>
    <t>Tinta HP 82 Yellow</t>
  </si>
  <si>
    <t>Tinta HP 82 Magenta</t>
  </si>
  <si>
    <t xml:space="preserve">Tinta HP 82 Cyan </t>
  </si>
  <si>
    <t xml:space="preserve">Tinta HP 678 Tri Color </t>
  </si>
  <si>
    <t xml:space="preserve">Tinta HP 678 Black </t>
  </si>
  <si>
    <t>Tinta HP 11 Yellow</t>
  </si>
  <si>
    <t xml:space="preserve">Tinta HP11 Cyan </t>
  </si>
  <si>
    <t>Tinta HP 11 Magenta</t>
  </si>
  <si>
    <t xml:space="preserve">Calculator Casio  (Kecil) </t>
  </si>
  <si>
    <t xml:space="preserve">Calculator Casio  (besar) </t>
  </si>
  <si>
    <t xml:space="preserve">Isi Cutter (Kecil) A 100 </t>
  </si>
  <si>
    <t>Bantex Pocket A4</t>
  </si>
  <si>
    <t xml:space="preserve">Amplop Besar tebal (polos) </t>
  </si>
  <si>
    <t>Tissue Paseo</t>
  </si>
  <si>
    <t>Pantry Supplies</t>
  </si>
  <si>
    <t>Nescafe Coffe</t>
  </si>
  <si>
    <t>Lipton Tea</t>
  </si>
  <si>
    <t>Pecah Belah</t>
  </si>
  <si>
    <t>MM</t>
  </si>
  <si>
    <t>KG</t>
  </si>
  <si>
    <t>Total Keluar</t>
  </si>
  <si>
    <t>Total Sisa</t>
  </si>
  <si>
    <t xml:space="preserve">Stampel tanggal </t>
  </si>
  <si>
    <t xml:space="preserve">Note book paperline </t>
  </si>
  <si>
    <t xml:space="preserve">Buku engine transaction </t>
  </si>
  <si>
    <t xml:space="preserve">Map Trakindo Utama (Kuning) </t>
  </si>
  <si>
    <t xml:space="preserve">Map Trakindo Utama (pink) </t>
  </si>
  <si>
    <t xml:space="preserve">Map Trakindo Utama (hijau) </t>
  </si>
  <si>
    <t>Penghapus (pensil)</t>
  </si>
  <si>
    <t xml:space="preserve">Amplop F4 Kop Trakindo </t>
  </si>
  <si>
    <t xml:space="preserve">Daichi Clear Sleeves A4 </t>
  </si>
  <si>
    <t xml:space="preserve">Daichi Clear Sleeves F4 </t>
  </si>
  <si>
    <t>EA</t>
  </si>
  <si>
    <t xml:space="preserve">Bantex Plastik F4 </t>
  </si>
  <si>
    <t>Januari</t>
  </si>
  <si>
    <t>Cutter A 300 (kecil)</t>
  </si>
  <si>
    <t>Cutter L 500 (besar)</t>
  </si>
  <si>
    <t>Sign Here</t>
  </si>
  <si>
    <t>Februari</t>
  </si>
  <si>
    <t>Hand sanitizer (MM 4785)</t>
  </si>
  <si>
    <t>Acrylic Bantex</t>
  </si>
  <si>
    <t>Tool book</t>
  </si>
  <si>
    <t xml:space="preserve">Artline Stamp Pad ( Wadah ) </t>
  </si>
  <si>
    <t>Holder id card (Tempat nya)</t>
  </si>
  <si>
    <t>Holder id card (Gantungan nya)</t>
  </si>
  <si>
    <t>Tipe X</t>
  </si>
  <si>
    <t>Buku panjang (Kiky)</t>
  </si>
  <si>
    <t>Buku besar (kiky)</t>
  </si>
  <si>
    <t>I</t>
  </si>
  <si>
    <t>pccs</t>
  </si>
  <si>
    <t>COFFEE-MATE CREAMER NESTLE 450 GR</t>
  </si>
  <si>
    <t>SUGAR GULAKU 1000GR</t>
  </si>
  <si>
    <t>Amplop Coklat F4 (polos) M 240MMX350MM</t>
  </si>
  <si>
    <t>Amplop Coklat A4 (polos) S 210X270MM</t>
  </si>
  <si>
    <t>Amplop Coklat A3 (polos tipis) L 330MMX430MM</t>
  </si>
  <si>
    <t>Amplop Putih kop TU 82 pack</t>
  </si>
  <si>
    <t>F1+6</t>
  </si>
  <si>
    <t>Post-it panjang 655 (73 x 123)</t>
  </si>
  <si>
    <t>Lem glue (cair)</t>
  </si>
  <si>
    <t>Atom triagonal clips no.3 (Sea gull)</t>
  </si>
  <si>
    <t>Atom triagonal clips no.1 (Sea gull)</t>
  </si>
  <si>
    <t>Electric Kettle</t>
  </si>
  <si>
    <t>Isi Cutter (Besar) L 500</t>
  </si>
  <si>
    <t>Penggaris (plastik) 30 cm</t>
  </si>
  <si>
    <t>Penggaris (besi) 30 cm</t>
  </si>
  <si>
    <t>Penggaris (besi) 50 cm</t>
  </si>
  <si>
    <t>Tom &amp; Jerry No. 121</t>
  </si>
  <si>
    <t>Tom &amp; Jerry No. 100</t>
  </si>
  <si>
    <t>Tom &amp; Jerry No. 107</t>
  </si>
  <si>
    <t>Tom &amp; Jerry No. 114</t>
  </si>
  <si>
    <t>Tom &amp; Jerry No. 117</t>
  </si>
  <si>
    <t>Tom &amp; Jerry No. 123</t>
  </si>
  <si>
    <t>Tom &amp; Jerry No. 103</t>
  </si>
  <si>
    <t>Tom &amp; Jerry No. 101</t>
  </si>
  <si>
    <t>Casio el lebel printer 9mm IR-9WE1 Black/White</t>
  </si>
  <si>
    <t>Ballpoint Faster (biru)</t>
  </si>
  <si>
    <t>Ballpoint Faster (hitam)</t>
  </si>
  <si>
    <t>Ballpoint Uniball 1,0 Blue (KHUSUS DIREKSI)</t>
  </si>
  <si>
    <t>Glue Tack (KHUSUS DIREKSI)</t>
  </si>
  <si>
    <t>Garpu Makan ( direksi )</t>
  </si>
  <si>
    <t>Garpu Kecil ( direksi )</t>
  </si>
  <si>
    <t>Set Sendok Ice Cream Delicia ( direksi )</t>
  </si>
  <si>
    <t>Pisau ( direksi )</t>
  </si>
  <si>
    <t xml:space="preserve">Piring kecil Meeting </t>
  </si>
  <si>
    <t>Amplop Kecil kop trakindo S</t>
  </si>
  <si>
    <t>Material</t>
  </si>
  <si>
    <t>Description</t>
  </si>
  <si>
    <t>Material Type</t>
  </si>
  <si>
    <t>Material Group</t>
  </si>
  <si>
    <t>Base Unit</t>
  </si>
  <si>
    <t>CARTRIDGE AMANO PIX 3000</t>
  </si>
  <si>
    <t>ZNTD</t>
  </si>
  <si>
    <t>N2204</t>
  </si>
  <si>
    <t>CARTRIDGE CANON CL-41 TRI COLOR</t>
  </si>
  <si>
    <t>CARTRIDGE CANON PG-40 BLACK</t>
  </si>
  <si>
    <t>CARTRIDGE CANON PG-810 BLACK</t>
  </si>
  <si>
    <t>CARTRIDGE CANON CL-811 COLOR</t>
  </si>
  <si>
    <t>CARTRIDGE CANON PG-820 BLACK</t>
  </si>
  <si>
    <t>CARTRIDGE CANON PG-821 CYAN</t>
  </si>
  <si>
    <t>CARTRIDGE CANON PG-821 MAGENTA</t>
  </si>
  <si>
    <t>CARTRIDGE CANON PG-821 YELLOW</t>
  </si>
  <si>
    <t>MAT</t>
  </si>
  <si>
    <t>N2107</t>
  </si>
  <si>
    <t>CARTRIDGE EPSON T1431 BLACK</t>
  </si>
  <si>
    <t>CARTRIDGE EPSON T1432 CYAN</t>
  </si>
  <si>
    <t>CARTRIDGE EPSON T1433 MAGENTA</t>
  </si>
  <si>
    <t>CARTRIDGE EPSON T1434 YELLOW</t>
  </si>
  <si>
    <t>CARTRIDGE EPSON T6641 BLACK</t>
  </si>
  <si>
    <t>CARTRIDGE EPSON T6642 CYAN</t>
  </si>
  <si>
    <t>CARTRIDGE EPSON T6643 MAGENTA</t>
  </si>
  <si>
    <t>CARTRIDGE EPSON T6644 YELLOW</t>
  </si>
  <si>
    <t>CARTRIDGE EPSON T6732 CYAN</t>
  </si>
  <si>
    <t>CARTRIDGE EPSON T6734 YELLOW</t>
  </si>
  <si>
    <t>CARTRIDGE HP 51645A HP 45 BLACK</t>
  </si>
  <si>
    <t>CARTRIDGE HP 6578A HP 78 COLOR</t>
  </si>
  <si>
    <t>CARD</t>
  </si>
  <si>
    <t>N0202</t>
  </si>
  <si>
    <t>SELF RETRACTABLE KNIFE</t>
  </si>
  <si>
    <t>N0602</t>
  </si>
  <si>
    <t>CARTRIDGE HP C4096A HP 96A BLACK</t>
  </si>
  <si>
    <t>KNIFE BLADE</t>
  </si>
  <si>
    <t>WRITING PAD A5 10 SHT (1000 BOOK)</t>
  </si>
  <si>
    <t>CARTRIDGE HP C4906A BLACK / HP 940XL</t>
  </si>
  <si>
    <t>CARTRIDGE HP C4907A CYAN / HP 940XL</t>
  </si>
  <si>
    <t>CARTRIDGE HP C4908A MAGENTA / HP 940XL</t>
  </si>
  <si>
    <t>CARTRIDGE HP C4909A YELLOW / HP 940XL</t>
  </si>
  <si>
    <t>CARTRIDGE HP C9351A BLACK / HP 21</t>
  </si>
  <si>
    <t>CARTRIDGE HP C9352A TRICOLOR / HP 22</t>
  </si>
  <si>
    <t>SPORT EQUIPMENT</t>
  </si>
  <si>
    <t>N2001</t>
  </si>
  <si>
    <t>EARMUFF PELTOR H6A</t>
  </si>
  <si>
    <t>N0513</t>
  </si>
  <si>
    <t>EARMUFF PELTOR H9P3E</t>
  </si>
  <si>
    <t>EARMUFF L2</t>
  </si>
  <si>
    <t>PAPER IVORY 230 GRAM</t>
  </si>
  <si>
    <t>N2201</t>
  </si>
  <si>
    <t>DOA TECHNICAL SHORT SLEEVES</t>
  </si>
  <si>
    <t>N0101</t>
  </si>
  <si>
    <t>SET</t>
  </si>
  <si>
    <t>DOA TECHNICAL LONG SLEEVES</t>
  </si>
  <si>
    <t>CARTRIDGE HP CB436A BLACK / HP 36A</t>
  </si>
  <si>
    <t>CARTRIDGE HP CC640WA BLACK / HP 60</t>
  </si>
  <si>
    <t>CARTRIDGE HP CD972A CYAN / HP 920XL</t>
  </si>
  <si>
    <t>CARTRIDGE HP CD973A MAGENTA / HP 920XL</t>
  </si>
  <si>
    <t>CARTRIDGE HP CD974A YELLOW / HP 920XL</t>
  </si>
  <si>
    <t>CARTRIDGE HP CD975A BLACK / HP 920XL</t>
  </si>
  <si>
    <t>CARTRIDGE HP CH561ZZ BLACK / HP 802</t>
  </si>
  <si>
    <t>CARTRIDGE HP CH562ZZ TRICOLOR / HP 802</t>
  </si>
  <si>
    <t>CARTRIDGE HP Q1338A BLACK</t>
  </si>
  <si>
    <t>CARTRIDGE HP Q2612A BLACK / HP 12A</t>
  </si>
  <si>
    <t>DOA TECHNICAL T-SHIRT</t>
  </si>
  <si>
    <t>HOOK</t>
  </si>
  <si>
    <t>AUTO PERFUME DISPENSER</t>
  </si>
  <si>
    <t>CARTRIDGE HP Q5949A BLACK / HP 49A</t>
  </si>
  <si>
    <t>PERFUME DISPENSER REFILL</t>
  </si>
  <si>
    <t>AIR DUCTING</t>
  </si>
  <si>
    <t>M</t>
  </si>
  <si>
    <t>CARTRIDGE HP Q7553A BLACK / HP 53A</t>
  </si>
  <si>
    <t>RIBBON AMANO X3500</t>
  </si>
  <si>
    <t>RIBBON COLOR NISCA PRC101 -RB-NISCA</t>
  </si>
  <si>
    <t>RIBBON EPSON DLQ-3500</t>
  </si>
  <si>
    <t>RIBBON EPSON LQ 2180</t>
  </si>
  <si>
    <t>RIBBON EPSON LQ 2190</t>
  </si>
  <si>
    <t>RIBBON EPSON LX 300</t>
  </si>
  <si>
    <t>FLEXIBLE CONDUIT</t>
  </si>
  <si>
    <t>CARTRIDGE HP F6VA26A BLACK / 680 B</t>
  </si>
  <si>
    <t>ENVELOPE GARDA BROWN A3 (MIN. 100 EA)</t>
  </si>
  <si>
    <t>ENVELOPE BROWN BLANK - L TEBAL / HARD</t>
  </si>
  <si>
    <t>N0212</t>
  </si>
  <si>
    <t>ENVELOPE GARDA BROWN F4 (MIN. 100 EA)</t>
  </si>
  <si>
    <t>ENVELOPE GARDA BROWN A4 (MIN. 100 EA)</t>
  </si>
  <si>
    <t>ENVELOPE BROWN PTTU M - MIN 50 EA</t>
  </si>
  <si>
    <t>ENVELOPE BROWN PTTU S - MIN 50 EA</t>
  </si>
  <si>
    <t>ENVELOPE CHEAP</t>
  </si>
  <si>
    <t>ENVELOPE WHITE PTTU</t>
  </si>
  <si>
    <t>BOX</t>
  </si>
  <si>
    <t>FORM BIN CHANGE REPORT F.M907B (N)</t>
  </si>
  <si>
    <t>N0211</t>
  </si>
  <si>
    <t>CARTRIDGE HP F6VA27A COLOUR / 680 C</t>
  </si>
  <si>
    <t>FORM COMMUNICATION F.021A-1</t>
  </si>
  <si>
    <t>FORM CTS INSPECTION REPORT</t>
  </si>
  <si>
    <t>FORM DAILY INSPECTION RECORD</t>
  </si>
  <si>
    <t>FORM DAILY REC ACTIVITY PSDV.FRM.028</t>
  </si>
  <si>
    <t>FORM SURAT JALAN TTB PSDV.SVOP.FRM.008</t>
  </si>
  <si>
    <t>FORM ENGINE TEST SERTIFICATE F.390</t>
  </si>
  <si>
    <t>FORM FIELD OPR REP. PSDV.SVOP.F.027 (N)</t>
  </si>
  <si>
    <t>FORM INTER OFFICE MAIL F.025-3</t>
  </si>
  <si>
    <t>RM</t>
  </si>
  <si>
    <t>FORM INVENTORY ADJUSMENT F.M904B (N)</t>
  </si>
  <si>
    <t>FORM JOB CONTROL SHEET PSDV.SVOP.FRM.004</t>
  </si>
  <si>
    <t>FRM JOB TIMECARD GREEN PSDV.SVOP.FRM.026</t>
  </si>
  <si>
    <t>FORM JOB TIMECARD PINK PSDV.SVOP.FRM.026</t>
  </si>
  <si>
    <t>FORM JOB TIMECARD RED PSDV.SVOP.FRM.026</t>
  </si>
  <si>
    <t>FRM JOB TIMECARD WHITE PSDV.SVOP.FRM.026</t>
  </si>
  <si>
    <t>FORM LETTER HEAD CONTINUOUS F.029 (A4)</t>
  </si>
  <si>
    <t>FORM LETTER HEAD F.027 (A4)</t>
  </si>
  <si>
    <t>FORM SCHEDULED OIL SAMPLING</t>
  </si>
  <si>
    <t>FORM SERVICE PART REQ. GF.SS.0014-04 TPR</t>
  </si>
  <si>
    <t>FORM SERVICE GUARANTEE PSDV.SVOP.FRM.033</t>
  </si>
  <si>
    <t>FORM SERVICE PARTS REQ PSDV.SVOP.FRM.011</t>
  </si>
  <si>
    <t>FORM SUPPL. REQ PSDV.SVOP.F.022.R02 (N)</t>
  </si>
  <si>
    <t>FORM SURAT JALAN F.073</t>
  </si>
  <si>
    <t>FORM SURAT JALAN F.267 (N)</t>
  </si>
  <si>
    <t>FORM TANDA TERIMA PTTU</t>
  </si>
  <si>
    <t>FORM TRANSPORT AUTH. PSDV.SVOP.F.018 (N)</t>
  </si>
  <si>
    <t>GIFT PAPER PTTU</t>
  </si>
  <si>
    <t>SHT</t>
  </si>
  <si>
    <t>MACHINE HISTORY FOLDER F.337</t>
  </si>
  <si>
    <t>MARKING GUIDE BOOK</t>
  </si>
  <si>
    <t>OBSERVATION REPORT CARD</t>
  </si>
  <si>
    <t>SKILL PROFICIENCY BOOK</t>
  </si>
  <si>
    <t>STICKER PARTS WIP</t>
  </si>
  <si>
    <t>N0207</t>
  </si>
  <si>
    <t>STICKER SHIPPING LABEL</t>
  </si>
  <si>
    <t>STOPMAP YELLOW PTTU F.050</t>
  </si>
  <si>
    <t>FRM BROKEN COMPONENTAG PSDV.SVOP.FRM.037</t>
  </si>
  <si>
    <t>TAG - COMPONENT</t>
  </si>
  <si>
    <t>FORM FINAL INSPECT TAG PSDV.SVOP.FRM.041</t>
  </si>
  <si>
    <t>TAG - OUT OF SERVICE</t>
  </si>
  <si>
    <t>FRM OUTSIDE REPAIR TAG PSDV.SVOP.FRM.038</t>
  </si>
  <si>
    <t>TAG - OUTSIDE WORK</t>
  </si>
  <si>
    <t>TAG - PERSONAL DANGER (PRINTED)</t>
  </si>
  <si>
    <t>TAG - QUALITY CONTROL</t>
  </si>
  <si>
    <t>FORM RECEIVING TAG PSDV.SVOP.FRM.036.R00</t>
  </si>
  <si>
    <t>FORM SCRAP TAG PSDV.SVOP.FRM.043.R00</t>
  </si>
  <si>
    <t>FORM SERVIC PART RETURN TAG PSDV.FRM.039</t>
  </si>
  <si>
    <t>FORM USED PART RETURN TAG PSDV.FRM.042</t>
  </si>
  <si>
    <t>FORM WARRANTED TAG PSDV.SVOP.FRM.040.R00</t>
  </si>
  <si>
    <t>WARRANTY TAG LABEL</t>
  </si>
  <si>
    <t>WRITING PAD 25SHT COVER ONE CLR 200 BOOK</t>
  </si>
  <si>
    <t>WRITING PAD PAPERLINE A4 (50 SHEET)</t>
  </si>
  <si>
    <t>CF CAT MACHINE DSR 01-085314-09 500SET</t>
  </si>
  <si>
    <t>CF CONTINUOUS FORM BLANK 1PLY 2000SET</t>
  </si>
  <si>
    <t>WINDOW</t>
  </si>
  <si>
    <t>CABLE LAN UTP</t>
  </si>
  <si>
    <t>N1105</t>
  </si>
  <si>
    <t>CAJUPUT OIL (MINYAK KAYU PUTIH) 100ML</t>
  </si>
  <si>
    <t>N0507</t>
  </si>
  <si>
    <t>BT</t>
  </si>
  <si>
    <t>GEMCONE LOW FLOW NEBULIZER - ICPN077035</t>
  </si>
  <si>
    <t>N0601</t>
  </si>
  <si>
    <t>PRESSURE DATA LOGGER</t>
  </si>
  <si>
    <t>N0605</t>
  </si>
  <si>
    <t>SAFETY VEST REGULAR</t>
  </si>
  <si>
    <t>N0505</t>
  </si>
  <si>
    <t>DISC FLAP ZIRCONIA</t>
  </si>
  <si>
    <t>CERTIFICATE OF ATTENDANCE</t>
  </si>
  <si>
    <t>HP TONER CF226XC</t>
  </si>
  <si>
    <t>FUEL GUN</t>
  </si>
  <si>
    <t>CARTRIDGE HP GT 51 BLACK</t>
  </si>
  <si>
    <t>CARTRIDGE HP GT 52 CYAN</t>
  </si>
  <si>
    <t>CARTRIDGE HP GT 52 MAGENTA</t>
  </si>
  <si>
    <t>CARTRIDGE HP GT 52 YELLOW</t>
  </si>
  <si>
    <t>STRING</t>
  </si>
  <si>
    <t>PRINTER EPSON B510DN</t>
  </si>
  <si>
    <t>N1104</t>
  </si>
  <si>
    <t>UN</t>
  </si>
  <si>
    <t>PROJECTOR BRACKET</t>
  </si>
  <si>
    <t>PROJECTOR CABLE VGA</t>
  </si>
  <si>
    <t>PROJECTOR LCD DELL 1210S</t>
  </si>
  <si>
    <t>(A) PROJECTOR SCREEN MEETING ROOM</t>
  </si>
  <si>
    <t>(A) PROJECTOR SCREEN PORTABLE</t>
  </si>
  <si>
    <t>RACK SERVER POWEREDGE R210 II</t>
  </si>
  <si>
    <t>N1103</t>
  </si>
  <si>
    <t>GLASS DOOR STICKER - TRAKINDO</t>
  </si>
  <si>
    <t>FISCHER</t>
  </si>
  <si>
    <t>PC</t>
  </si>
  <si>
    <t>DISPLAY BOARD</t>
  </si>
  <si>
    <t>N0204</t>
  </si>
  <si>
    <t>SIDE COVER</t>
  </si>
  <si>
    <t>N1611</t>
  </si>
  <si>
    <t>WALLPAPER</t>
  </si>
  <si>
    <t>M2</t>
  </si>
  <si>
    <t>EARPLUG 3M 1100</t>
  </si>
  <si>
    <t>PAA</t>
  </si>
  <si>
    <t>CARTRIDGE 3M 6003</t>
  </si>
  <si>
    <t>N0510</t>
  </si>
  <si>
    <t>CARTRIDGE 3M 7093B</t>
  </si>
  <si>
    <t>CHINSTRAP MSA USA 88128</t>
  </si>
  <si>
    <t>N0506</t>
  </si>
  <si>
    <t>DOUBLE LANYARD PROTECTA TYPE AE 532/3</t>
  </si>
  <si>
    <t>EARPLUG 3M ULTRAFIT 340-4002</t>
  </si>
  <si>
    <t>EARPLUG 3M ULTRAFIT 340-4004 BOX</t>
  </si>
  <si>
    <t>GLOVES DOTTING PP</t>
  </si>
  <si>
    <t>N0515</t>
  </si>
  <si>
    <t>DZ</t>
  </si>
  <si>
    <t>GLOVES PVC 14" RED COLOR</t>
  </si>
  <si>
    <t>LIFE JACKET STEARN TYPE SAR 14185</t>
  </si>
  <si>
    <t>MASKER MULTI SHORT TYPE</t>
  </si>
  <si>
    <t>N0502</t>
  </si>
  <si>
    <t>Raincoat PVC DUSAFE W/O Reflective Sz M</t>
  </si>
  <si>
    <t>Raincoat PVC DUSAFE W/O Reflective Sz XL</t>
  </si>
  <si>
    <t>Raincoat PVC DUSAFE W/ Reflective Sz XL</t>
  </si>
  <si>
    <t>HALF FACE RESPIRATOR 3M 7501</t>
  </si>
  <si>
    <t>GLOVES CIG 451004</t>
  </si>
  <si>
    <t>POLYCARBONATE LENS BIFOCAL, FLAT TOP</t>
  </si>
  <si>
    <t>N0503</t>
  </si>
  <si>
    <t>POLYCARBONATE LENS PROGRESSIVE LENS</t>
  </si>
  <si>
    <t>POLYCARBONATE LENS SINGLE VISION</t>
  </si>
  <si>
    <t>POLYCARBONATE LENS SINGLE VISION &gt;6</t>
  </si>
  <si>
    <t>SAFETY BOOT INSERVICE NO.5</t>
  </si>
  <si>
    <t>N0501</t>
  </si>
  <si>
    <t>SAFETY PRESCRIPTION GLASSES UVEX 9230</t>
  </si>
  <si>
    <t>SSK NEVADA BlACK 216141 NO 10</t>
  </si>
  <si>
    <t>SSK NEVADA BlACK 216141 NO 5</t>
  </si>
  <si>
    <t>SSK TEXAS BROWN 216125 NO 10</t>
  </si>
  <si>
    <t>SSK TEXAS BROWN 216125 NO 5</t>
  </si>
  <si>
    <t>LOCKOUT HASP SCISSOR 420 MASTERLOCK</t>
  </si>
  <si>
    <t>SAFETY PADLOCK MASTER LOCK 410 RED COLOR</t>
  </si>
  <si>
    <t>SAFETY PADLOCK MASTER LOCK 411 RED COLOR</t>
  </si>
  <si>
    <t>FIRE EXTINGUISER FOAM AFFF REFILL</t>
  </si>
  <si>
    <t>N0508</t>
  </si>
  <si>
    <t>FIRE EXTINGUISER NEW C02 4.6KG</t>
  </si>
  <si>
    <t>(A) FIRE EXTINGUISER POWDER NEW 9KG</t>
  </si>
  <si>
    <t>(A) FIRE EXTINGUISER POWDER NEW 6KG</t>
  </si>
  <si>
    <t>FIRE EXTINGUISER POWDER REFILL 20KG</t>
  </si>
  <si>
    <t>FIRE EXTINGUISER POWDER REFILL 2KG</t>
  </si>
  <si>
    <t>FIRE EXTINGUISER POWDER REFILL 3.5KG</t>
  </si>
  <si>
    <t>FIRE EXTINGUISER POWDER REFILL 6KG</t>
  </si>
  <si>
    <t>FIRE EXTINGUISER REFILL C02 3.2KG</t>
  </si>
  <si>
    <t>PAPER PHOTOCOPY PAPER ONE A4 70GSM</t>
  </si>
  <si>
    <t>PAPER PHOTOCOPY PAPER ONE A4 80GSM</t>
  </si>
  <si>
    <t>PAPER PHOTOCOPY PAPER ONE A3 80GSM</t>
  </si>
  <si>
    <t>PAPER PHOTOCOPY PAPER ONE B5 70GSM</t>
  </si>
  <si>
    <t>PANTRY - BOWL</t>
  </si>
  <si>
    <t>N1708</t>
  </si>
  <si>
    <t>PAPER PHOTOCOPY SINAR DUNIA A4 70GSM</t>
  </si>
  <si>
    <t>PAPER PHOTOCOPY BOLA DUNIA A4 70GSM</t>
  </si>
  <si>
    <t>STAMP ARTLINE INK PAD 50 ML BLUE</t>
  </si>
  <si>
    <t>STAMP ARTLINE PAD NO.1 67 X 106MM EHJ-3</t>
  </si>
  <si>
    <t>STAMP "CLEARANCE FOR PAYMENT"</t>
  </si>
  <si>
    <t>STAMP "RECEIVED" (SQUARE)</t>
  </si>
  <si>
    <t>DEMARCATION LINE</t>
  </si>
  <si>
    <t>RLL</t>
  </si>
  <si>
    <t>STAMP NAME+PTTU</t>
  </si>
  <si>
    <t>STAMP "PAID"</t>
  </si>
  <si>
    <t>STAMP "CERTIFIED TRUE COPY"</t>
  </si>
  <si>
    <t>SMALL BRUSH NO. 6</t>
  </si>
  <si>
    <t>STAMP V 02</t>
  </si>
  <si>
    <t>STAMP "PAYMENT INSTRUCTION"</t>
  </si>
  <si>
    <t>STAMP "PROCESSED" (SQUARE)</t>
  </si>
  <si>
    <t>STAMP RECEIVED DEPT (NAME)</t>
  </si>
  <si>
    <t>WD 40 SPECIALIST BELT DRESSING</t>
  </si>
  <si>
    <t>STAMP "CANCELLED"</t>
  </si>
  <si>
    <t>STAMP "APPROVED BY" + TITLE</t>
  </si>
  <si>
    <t>PLASTIC BAG CLIP PE (12 X 20 CM)</t>
  </si>
  <si>
    <t>STAMP "CONFIDENTIAL"</t>
  </si>
  <si>
    <t>SAFETY RUBBER</t>
  </si>
  <si>
    <t>CASIO TAPE CARTRIDGE EZ LAB PRINTER 12MM</t>
  </si>
  <si>
    <t>CASIO EZ ` LINE 18 MM</t>
  </si>
  <si>
    <t>CASIO EZ LABEL PRINTER LINE 24 MM</t>
  </si>
  <si>
    <t>CASIO TAPE CARTRIDGE PRINTER LINE 9MM</t>
  </si>
  <si>
    <t>BATTERY ENERGIZER 9V</t>
  </si>
  <si>
    <t>BATTERY ENERGIZER ALKALINE AA</t>
  </si>
  <si>
    <t>BATTERY ENERGIZER AA RECHARGEABLE</t>
  </si>
  <si>
    <t>BATTERYENERGIZER ALKALINE AAA</t>
  </si>
  <si>
    <t>BATTERY ENERGIZER AAA RECHARGEABLE</t>
  </si>
  <si>
    <t>BATTERY ENERGIZER C</t>
  </si>
  <si>
    <t>VERBATIM CD R SPINDLE CASE 50 PCS</t>
  </si>
  <si>
    <t>VERBATIM CD-R 700 MB 62612 JEWEL CASE</t>
  </si>
  <si>
    <t>VERBATIM CD-RW 700 MB 43167 JEWEL CASE</t>
  </si>
  <si>
    <t>VERBATIM DVD-RW 4,7 GB 94909 JEWEL CASE</t>
  </si>
  <si>
    <t>PANFIX TAPES CELLULOSE 1"</t>
  </si>
  <si>
    <t>PANFIX TAPES CELLULOSE 1/2" X 72 YARD</t>
  </si>
  <si>
    <t>DAIICHI CLEAR SLEEVES A4 TRANSPARANT</t>
  </si>
  <si>
    <t>DAIICHI CLEAR SLEEVES F4 TRANSPARANT</t>
  </si>
  <si>
    <t>CLEANER UVEX (LIQUID 470 ML)</t>
  </si>
  <si>
    <t>ERASER PENTEL CORRECTION FLUID ZL 31 W</t>
  </si>
  <si>
    <t>NAGAMAS PAPER COVER BUFFALO SIZE A4 BLUE</t>
  </si>
  <si>
    <t>CUTTER REFILL JOYKO A-100 5 BLADE</t>
  </si>
  <si>
    <t>CUTTER REFILL JOYKO L-150 5 BLADE</t>
  </si>
  <si>
    <t>CUTTER  JOYKO A-300</t>
  </si>
  <si>
    <t>CUTTER JOYKO L-500</t>
  </si>
  <si>
    <t>PEN LION TAPES DISPENSER NO 50</t>
  </si>
  <si>
    <t>DISPENSER TAPE LION NO. L322 (SMALL)</t>
  </si>
  <si>
    <t>BINDER BANTEX DIVIDER A4 5 CUT COLOR PP</t>
  </si>
  <si>
    <t>BINDER BANTEX DIVIDER A4 10 CUT COLOR PP</t>
  </si>
  <si>
    <t>BINDER BANTEX DAIICHI BUSINESS FILE 940</t>
  </si>
  <si>
    <t>JOYKO TAPES DOUBLE SIDED 1"</t>
  </si>
  <si>
    <t>ERASER GUNINDO WHITEBOARD WB-803</t>
  </si>
  <si>
    <t>ERASER STAEDTLER 33 X 16 X 13MM B-40</t>
  </si>
  <si>
    <t>BINDER RING BANTEX A4 2D 20MM 8212</t>
  </si>
  <si>
    <t>BINDER RING BANTEX 1221 F 2D 20MM</t>
  </si>
  <si>
    <t>BINDER BANTEX 5222 A4 2D INSERT 25MM A4</t>
  </si>
  <si>
    <t>BINDER RING BANTEX 1222 A4 2D 25 MM</t>
  </si>
  <si>
    <t>BINDER BANTEX 5224 F 2D INSERT 40 MM F</t>
  </si>
  <si>
    <t>BINDER BANTEX 5226 A4 2D INSERT 65 MM A4</t>
  </si>
  <si>
    <t>BINDER BANTEX 5226 F 2D INSERT 65 MM F</t>
  </si>
  <si>
    <t>BINDER RING BANTEX 1226 A4 2D 65 MM</t>
  </si>
  <si>
    <t>BINDER RING BANTEX 1226 F 2D 65 MM</t>
  </si>
  <si>
    <t>KIKY BOOK HARD COVER EKSPEDISI (100)</t>
  </si>
  <si>
    <t>GLUE SILIKON RED 615 B AMERICAN</t>
  </si>
  <si>
    <t>BINDER BANTEX 5221 A4 2D INSERT 20MM A4</t>
  </si>
  <si>
    <t>BINDER BANTEX 2242 LETTER FILES A4</t>
  </si>
  <si>
    <t>BINDER BANTEX 2245 LETTER FILES F4</t>
  </si>
  <si>
    <t>BINDER BANTEX 1450 LEVER ARCH FILE A4</t>
  </si>
  <si>
    <t>BINDER BANTEX 1465 LEVER ARCH FILE FOLIO</t>
  </si>
  <si>
    <t>MAP YELLOW FOLDER MAP</t>
  </si>
  <si>
    <t>DIAMOND PAPER FILE STOPMAP 5002 BLU (50)</t>
  </si>
  <si>
    <t>PEN SNOWMAN MARKER WB BG-12 BULLET TIP</t>
  </si>
  <si>
    <t>PEN SNOWMAN MARKER FOR OHP OPF FINE 4 CO</t>
  </si>
  <si>
    <t>PAINT MARKER WHITE</t>
  </si>
  <si>
    <t>NAME CARD CASE KENKO 4000</t>
  </si>
  <si>
    <t>KENKO NAME CARD HOLDER DELUXE KN-240</t>
  </si>
  <si>
    <t>GEMA LEVER ARCH FILES CARDBOARD F4 G-801</t>
  </si>
  <si>
    <t>PEN STAEDTLER PENCIL LUMOGRAPH 100 2B</t>
  </si>
  <si>
    <t>SIDU BOOK KWITANSI 10 X 32CM 40 SHEET</t>
  </si>
  <si>
    <t>BUTTERFLY RULER PLASTIC 30 CM</t>
  </si>
  <si>
    <t>SCISSORS JOYKO BLACK HANDLE SC-838</t>
  </si>
  <si>
    <t>JOYKO SHARPENER DESKTOP ANGEL 5</t>
  </si>
  <si>
    <t>STABILO BOSS HIGHLIGHTER 70/24 YELLOW</t>
  </si>
  <si>
    <t>STAMP CLEARANCE PAYMENT (AUTOMATIC)</t>
  </si>
  <si>
    <t>STAMP "PROCESSED" (CIRCLE)</t>
  </si>
  <si>
    <t>STAMP "RECEIVED" (CIRCLE)</t>
  </si>
  <si>
    <t>STAPLER MAX HD-10</t>
  </si>
  <si>
    <t>STAPLER MAX HD-50</t>
  </si>
  <si>
    <t>MAX STAPLES 10-1M SMALL BOX</t>
  </si>
  <si>
    <t>MAX STAPLES HD 1/4 3-1M SMALL BOX</t>
  </si>
  <si>
    <t>BINDER CLIP JOYKO NO 105 SIZE 15MM</t>
  </si>
  <si>
    <t>BINDER CLIP JOYKO NO 107 SIZE 20MM</t>
  </si>
  <si>
    <t>BINDER CLIP JOYKO NO 111 SIZE 25MM</t>
  </si>
  <si>
    <t>BINDER CLIP JOYKO NO 155 SIZE 32MM</t>
  </si>
  <si>
    <t>BINDER CLIP JOYKO NO 200 SIZE 41MM</t>
  </si>
  <si>
    <t>BINDER CLIP JOYKO NO 260 SIZE 51MM</t>
  </si>
  <si>
    <t>WHITE BOARD NON MAGNETIC 90 X 60</t>
  </si>
  <si>
    <t>WHITE BOARD NON MAGNETIC 40 X 60</t>
  </si>
  <si>
    <t>WHITE BOARD MAGNETIC 90 X 120</t>
  </si>
  <si>
    <t>WHITE BOARD MAGNETIC 240 X 120</t>
  </si>
  <si>
    <t>TOM&amp;JERRY LABEL PLAIN 50 X 100MM NO. 101</t>
  </si>
  <si>
    <t>TOM&amp;JERRY LABEL CD/VCD</t>
  </si>
  <si>
    <t>JOYKO PAPER FASTENERS @ 50 PCS PF-50C</t>
  </si>
  <si>
    <t>PEN FASTER RETRACTABLE C6 (EA)</t>
  </si>
  <si>
    <t>PEN SNOWMAN MARKER PW-1A</t>
  </si>
  <si>
    <t>KIKY BOOK HARD COVER SIZE F4 100 SHEET</t>
  </si>
  <si>
    <t>AGENDA</t>
  </si>
  <si>
    <t>N0402</t>
  </si>
  <si>
    <t>BOX SCALE MODEL - SMALL</t>
  </si>
  <si>
    <t>N0401</t>
  </si>
  <si>
    <t>BROCHURE</t>
  </si>
  <si>
    <t>SPIRAL CONDUIT</t>
  </si>
  <si>
    <t>COOP BADGE</t>
  </si>
  <si>
    <t>FLYER</t>
  </si>
  <si>
    <t>KEY CHAIN - METAL</t>
  </si>
  <si>
    <t>KEY CHAIN - RUBBER</t>
  </si>
  <si>
    <t>MAP FOLDER</t>
  </si>
  <si>
    <t>MOUSE PAD</t>
  </si>
  <si>
    <t>TRAKINDO NOTE BOOK RING</t>
  </si>
  <si>
    <t>PEN SNOWMAN MARKER WB JUMBO 850</t>
  </si>
  <si>
    <t>POSTER SIZE A2</t>
  </si>
  <si>
    <t>RECYCLE BAG EXTRA LARGE</t>
  </si>
  <si>
    <t>ROLLUP BANNER SIZE 200X80CM - ALBATROS</t>
  </si>
  <si>
    <t>ROLLUP BANNER SIZE 160X60CM - ALBATROS</t>
  </si>
  <si>
    <t>STICKER CUTTING</t>
  </si>
  <si>
    <t>STICKER PRINTING CAT LUBRICANT</t>
  </si>
  <si>
    <t>X BANNER SIZE 160X60CM - ALBATROS</t>
  </si>
  <si>
    <t>X BANNER SIZE 160X60CM - VINYL</t>
  </si>
  <si>
    <t>STICKER CUTTING LOGO CAT</t>
  </si>
  <si>
    <t>STICKER CUTTING SERVICE</t>
  </si>
  <si>
    <t>STICKER CUTTING WWW.TRAKINDO.CO.ID</t>
  </si>
  <si>
    <t>STICKER DRIVE SAFELY</t>
  </si>
  <si>
    <t>STICKER PINCH POINT</t>
  </si>
  <si>
    <t>STICKER PRINTING LOGO TU</t>
  </si>
  <si>
    <t>STICKER PRINTING TRAKINDO CAT 40 X 10 CM</t>
  </si>
  <si>
    <t>STICKER PRINTING TRAKINDO CAT 72 X 18 CM</t>
  </si>
  <si>
    <t>STICKER SAVE WATER CAMPAIGN</t>
  </si>
  <si>
    <t>SPARK ARRESTOR</t>
  </si>
  <si>
    <t>STICKER BATAS KETINGGIAN AIR</t>
  </si>
  <si>
    <t>STICKER BERACUN</t>
  </si>
  <si>
    <t>SAFETY CONE</t>
  </si>
  <si>
    <t>CARTRIDGE HP CF283A BLACK</t>
  </si>
  <si>
    <t>PORTABLE ELECTRIC OIL PUMP</t>
  </si>
  <si>
    <t>STICKER CIRCLE PLAIN DIA. 10CM - YELLOW</t>
  </si>
  <si>
    <t>STICKER FIRE FIGHTER SIZE 10.3X3CM</t>
  </si>
  <si>
    <t>STICKER FLAMMABLE LIQUID</t>
  </si>
  <si>
    <t>SAFETY LINE</t>
  </si>
  <si>
    <t>SERVICE TOOLS (NON ASSET)</t>
  </si>
  <si>
    <t>BODY HARNESS</t>
  </si>
  <si>
    <t>STICKER WOOD/PAPER/PLASTIC</t>
  </si>
  <si>
    <t>STICKER KEBERSIHAN</t>
  </si>
  <si>
    <t>STICKER LV TRAKINDO</t>
  </si>
  <si>
    <t>CARTRIDGE HP CF217A BLACK</t>
  </si>
  <si>
    <t>ALARM (NON ASSET)</t>
  </si>
  <si>
    <t>AEROSOL</t>
  </si>
  <si>
    <t>SIGN FACILITY BIG SIZE 90X60CM</t>
  </si>
  <si>
    <t>N0201</t>
  </si>
  <si>
    <t>SIGN FACILITY BIGGEST SIZE 140X70CM</t>
  </si>
  <si>
    <t>SIGN FACILITY MEDIUM SIZE 60X60CM</t>
  </si>
  <si>
    <t>SIGN FACILITY SMALL SIZE 35X35CM</t>
  </si>
  <si>
    <t>SIGN MONUMEN SIZE 4X1MTR</t>
  </si>
  <si>
    <t>SIGN PYLON PTTU SIZE 4X1MTR</t>
  </si>
  <si>
    <t>SIGN WALL PTTU</t>
  </si>
  <si>
    <t>SIGN EVACUATION ASSEMBLY POINT</t>
  </si>
  <si>
    <t>SIGN NO SMOKING</t>
  </si>
  <si>
    <t>SIGN SAFETY ANNOUNCEMENT BOARD K3LH</t>
  </si>
  <si>
    <t>SIGN SHE PERFORMANCE BOARD</t>
  </si>
  <si>
    <t>PAPER CUP (EA)</t>
  </si>
  <si>
    <t>N1704</t>
  </si>
  <si>
    <t>DISC SPRING</t>
  </si>
  <si>
    <t>OUTER LENSES PN.04361</t>
  </si>
  <si>
    <t>FLOWER</t>
  </si>
  <si>
    <t>CARTRIDGE EPSON C13T188190 BLACK</t>
  </si>
  <si>
    <t>CARTRIDGE EPSON C13T188290 CYAN</t>
  </si>
  <si>
    <t>CARTRIDGE EPSON C13T188390 MAGENTA</t>
  </si>
  <si>
    <t>SCAN + PRINT + FRAME</t>
  </si>
  <si>
    <t>N0205</t>
  </si>
  <si>
    <t>CARTRIDGE EPSON C13T188490 YELLOW</t>
  </si>
  <si>
    <t>WHITE BOARD MAGNETIC</t>
  </si>
  <si>
    <t>STICKER INSPECTION SCHEDULE</t>
  </si>
  <si>
    <t>RIBBON CARTRIDGE EPSON SO15639/SO15634</t>
  </si>
  <si>
    <t>TX6 PLUS CATEGORY 6 UTP PATCH CORDS 2M</t>
  </si>
  <si>
    <t>CATEGORY 6 RJ45 UTP MINI-COM JACK BLUE</t>
  </si>
  <si>
    <t>24 PORT MODULAR PATCH PANELS + LABELS</t>
  </si>
  <si>
    <t>48 PORT MODULAR PATCH PANELS + LABELS</t>
  </si>
  <si>
    <t>1U WIRING MANAGEMENT CABLES 1.5" X 3"</t>
  </si>
  <si>
    <t>STEEL</t>
  </si>
  <si>
    <t>STEERING SWHEELPOLYURETHANE PN.127B</t>
  </si>
  <si>
    <t>(A) MEGAPHONE</t>
  </si>
  <si>
    <t>BELL</t>
  </si>
  <si>
    <t>FORM SURAT JLN TTB PSDV.SVOP.FRM.008.R02</t>
  </si>
  <si>
    <t>PAD</t>
  </si>
  <si>
    <t>CARTRIDGE HP GT52 CYAN / MOH54A</t>
  </si>
  <si>
    <t>CARTRIDGE HP GT52 MAGENTA / MOH55A</t>
  </si>
  <si>
    <t>CARTRIDGE HP GT52 YELLOW / MOH56A</t>
  </si>
  <si>
    <t>CARTRIDGE HP GT51 BLACK / MOH57A</t>
  </si>
  <si>
    <t>CARTRIDGE FUJI XEROX CT202264 BLACK</t>
  </si>
  <si>
    <t>CARTRIDGE FUJI XEROX CT201165 CYAN</t>
  </si>
  <si>
    <t>CARTRIDGE FUJI XEROX CT202266 MAGENTA</t>
  </si>
  <si>
    <t>CARTRIDGE FUJI XEROX CT202267 YELLOW</t>
  </si>
  <si>
    <t>FORM LETTER HEAD F.027 (F4)</t>
  </si>
  <si>
    <t>FORM LETTER HEAD CONTINUOUS F.029 (F4)</t>
  </si>
  <si>
    <t>RIBBON COLOUR HITI CS200e</t>
  </si>
  <si>
    <t>RIBBON BLACK HITI CS200e</t>
  </si>
  <si>
    <t>PRESCRIP. SAFETY GLASSES WORKSAFE STEDA</t>
  </si>
  <si>
    <t>PRONTO PLEASE SIGN</t>
  </si>
  <si>
    <t>CARTRIDGE HP CF287A</t>
  </si>
  <si>
    <t>CARTRIDGE HP CF287XC</t>
  </si>
  <si>
    <t>RIBBON INTERMEC RWR110X300F0-CM</t>
  </si>
  <si>
    <t>STABILO BOSS HIGHLIGHTER 70/31 BLUE</t>
  </si>
  <si>
    <t>STABILO BOSS HIGHLIGHTER 70/33 GREEN</t>
  </si>
  <si>
    <t>STABILO BOSS HIGHLIGHTER 70/40 RED</t>
  </si>
  <si>
    <t>STABILO BOSS HIGHLIGHTER 70/54 ORANGE</t>
  </si>
  <si>
    <t>STABILO BOSS HIGHLIGHTER 70/55 VIOLET</t>
  </si>
  <si>
    <t>STABILO BOSS HIGHLIGHTER 70/56 PINK</t>
  </si>
  <si>
    <t>TOHO LAMINATING PLASTIC SIZE A4 (100)</t>
  </si>
  <si>
    <t>TOHO LAMINATING PLASTIC SIZE F4 (100)</t>
  </si>
  <si>
    <t>NAGAMAS PAPER COLOUR SIZE A4 70 GR BLUE</t>
  </si>
  <si>
    <t>PEN SNOWMAN MARKER WB JUMBO 850 BLUE</t>
  </si>
  <si>
    <t>JOYKO PUNCHER 2 HOLE 30 XL</t>
  </si>
  <si>
    <t>BINDER BANTEX 4011 MAGAZINE FILE F4</t>
  </si>
  <si>
    <t>BINDER BANTEX POCKET TOP OPENING A4 2040</t>
  </si>
  <si>
    <t>BINDER BANTEX POCKET TOP OPENING F4 2045</t>
  </si>
  <si>
    <t>LION TAPES DISPENSER METAL FOR OPP TAPE</t>
  </si>
  <si>
    <t>THERMAL TRANSFER RIBBON KDS-AW1R</t>
  </si>
  <si>
    <t>BLANK LABEL PICK-TAG 50X75MM CORE DIA.3"</t>
  </si>
  <si>
    <t>PIGTAIL ANTENNA 2.4G RIGHT 4 MTR</t>
  </si>
  <si>
    <t>SMARTNET FOR CISCO PRIME INFRA. 2.X</t>
  </si>
  <si>
    <t>NOTE PRONTO 653 STANDARD YELLOW 40X50 MM</t>
  </si>
  <si>
    <t>NOTE PRONTO 655 STANDARD YELLOW 75X125 M</t>
  </si>
  <si>
    <t>NOTE PRONTO 654 STANDARD YELLOW 75X75 MM</t>
  </si>
  <si>
    <t>NOTE PRONTO MARK (6 COLORS/PACK)</t>
  </si>
  <si>
    <t>PRONTO FILM COLOR "PLEASE SIGN" (5 CLRS)</t>
  </si>
  <si>
    <t>BATTERYENERGIZER ALKALINE 9 VOLT</t>
  </si>
  <si>
    <t>PEN ZEBRA CLIP SARASA 0.7 MM BLUE</t>
  </si>
  <si>
    <t>LION BOOK END NO 7 (2 PCS)</t>
  </si>
  <si>
    <t>EONSTRIP 444</t>
  </si>
  <si>
    <t>N0607</t>
  </si>
  <si>
    <t>CAR</t>
  </si>
  <si>
    <t>QUICKBREAK 600</t>
  </si>
  <si>
    <t>PIL</t>
  </si>
  <si>
    <t>EONSOLV 120</t>
  </si>
  <si>
    <t>MEDICINE</t>
  </si>
  <si>
    <t>AU</t>
  </si>
  <si>
    <t>INK EPSON 003 BLACK</t>
  </si>
  <si>
    <t>INK EPSON 003 MAGENTA</t>
  </si>
  <si>
    <t>INK EPSON 003 CYAN</t>
  </si>
  <si>
    <t>INK EPSON 003 YELLOW</t>
  </si>
  <si>
    <t>PEN ZEBRA CLIP SARASA 1 MM BLACK</t>
  </si>
  <si>
    <t>PEN ZEBRA CLIP SARASA 1 MM BLUE</t>
  </si>
  <si>
    <t>PEN ZEBRA REFILL SARASA 0.7 MM BLUE</t>
  </si>
  <si>
    <t>PEN ZEBRA REFILL SARASA 0.7 MM BLACK</t>
  </si>
  <si>
    <t>PEN ZEBRA REFILL SARASA 1 MM BLUE</t>
  </si>
  <si>
    <t>SAFETY HELMET MSA V-GARD+LOGO-TYPE PUTAR</t>
  </si>
  <si>
    <t>ENVELOPE GARDA WHITE PLAIN NO.90 (100)</t>
  </si>
  <si>
    <t>EMERGENCY RESPONSE TEAM WEARPACK</t>
  </si>
  <si>
    <t>SAFETY RAIN BOOTS</t>
  </si>
  <si>
    <t>CF226A  Black/HP 26A</t>
  </si>
  <si>
    <t>F6V26AA / HP 680 B</t>
  </si>
  <si>
    <t>F6V27AA / HP 680 C</t>
  </si>
  <si>
    <t>L0S63AA  HP 955 XL C</t>
  </si>
  <si>
    <t>L0S66AA  HP 955XL M</t>
  </si>
  <si>
    <t>L0S69AA  HP 955XL Y</t>
  </si>
  <si>
    <t>L0S72AA  HP 955XL B</t>
  </si>
  <si>
    <t>PUNCH PIN</t>
  </si>
  <si>
    <t>CARTRIDGE HP 902 XL</t>
  </si>
  <si>
    <t>CARTRIDGE HP CN692AA BLACK</t>
  </si>
  <si>
    <t>LION TAPE DISPENSER TD7</t>
  </si>
  <si>
    <t>MINERAL WATER AQUA BOTTLE 330 ML</t>
  </si>
  <si>
    <t>N1709</t>
  </si>
  <si>
    <t>MINERAL WATER AQUA BOTTLE 600 ML</t>
  </si>
  <si>
    <t>MINERAL WATER AQUA CUP 220ML</t>
  </si>
  <si>
    <t>MILK POWDER DANCOW COKLAT 400GR</t>
  </si>
  <si>
    <t>MILK POWDER DANCOW COKLAT 800GR</t>
  </si>
  <si>
    <t>NESCAFFE 3 IN 1</t>
  </si>
  <si>
    <t>NESTLE CREAMER</t>
  </si>
  <si>
    <t>TISSUE BOX TESSA</t>
  </si>
  <si>
    <t>TISSUE TOILET ROLL NICE</t>
  </si>
  <si>
    <t>JAR SUGAR, CREAMER &amp; COFFEE</t>
  </si>
  <si>
    <t>CLOSE GLASS PAPER</t>
  </si>
  <si>
    <t>TEA KOTAK SOSRO 250 ML (24PCS)</t>
  </si>
  <si>
    <t>DRUM CARTRIDGE</t>
  </si>
  <si>
    <t>GLOVES COTTON</t>
  </si>
  <si>
    <t>3M ULTRAFIT EAR PLUG 340-4002</t>
  </si>
  <si>
    <t>(A) WASHING MACHINE WFL100TC LG</t>
  </si>
  <si>
    <t>N1803</t>
  </si>
  <si>
    <t>(AD) DIGITAL CAMERA CANON IXUS 185</t>
  </si>
  <si>
    <t>N2301</t>
  </si>
  <si>
    <t>SOFTCASE LAPTOP</t>
  </si>
  <si>
    <t>AC ADAPTER</t>
  </si>
  <si>
    <t>LAMP PHILIPS SITRANG 3W</t>
  </si>
  <si>
    <t>LAMP PHILIPS ESSENTIAL 5W/CD/WW</t>
  </si>
  <si>
    <t>LAMP PHILIPS ESSENTIAL 8W/CD/WW</t>
  </si>
  <si>
    <t>LAMP PHILIPS ESSENTIAL 11W/CD/WW</t>
  </si>
  <si>
    <t>LAMP PHILIPS ESSENTIAL 14W/CD/WW</t>
  </si>
  <si>
    <t>LAMP PHILIPS ESSENTIAL 18W/CD/WW</t>
  </si>
  <si>
    <t>LAMP PHILIPS ESSENTIAL 35W/CD/WW</t>
  </si>
  <si>
    <t>LAMP PHILIPS ESSENTIAL 50W/CD/WW</t>
  </si>
  <si>
    <t>LAMP PHILIPS ESSENTIAL 70W/CD/WW</t>
  </si>
  <si>
    <t>STICKER TRAKINDO "CALL CENTER"</t>
  </si>
  <si>
    <t>WATER GALLON</t>
  </si>
  <si>
    <t>SACK</t>
  </si>
  <si>
    <t>LAMP PHILIPS TORNADO T3 8W/CD/WW</t>
  </si>
  <si>
    <t>LAMP PHILIPS TORNADO T3 12W/CD/WW</t>
  </si>
  <si>
    <t>LAMP PHILIPS TORNADO T3 15W/CD/WW</t>
  </si>
  <si>
    <t>LAMP PHILIPS TORNADO 20W/CD/WW</t>
  </si>
  <si>
    <t>LAMP PHILIPS TORNADO 24W/CD/WW</t>
  </si>
  <si>
    <t>LAMP PHILIPS PAR 38 23W E27</t>
  </si>
  <si>
    <t>TOILETRIES</t>
  </si>
  <si>
    <t>N0406</t>
  </si>
  <si>
    <t>LAMP PHILIPS SPOTONE 40W E27</t>
  </si>
  <si>
    <t>LAMP PHILIPS TL-D 10W/54/COOL DAYLIGHT</t>
  </si>
  <si>
    <t>LAMP TL-D 18W/54/COOL DAYLIGHT</t>
  </si>
  <si>
    <t>LAMP TL-D 36W/54/COOL DAYLIGHT</t>
  </si>
  <si>
    <t>LAMP TL-D 18W BRIGHTBOOST 83-84-86</t>
  </si>
  <si>
    <t>LAMP TL-D 36W BRIGHTBOOST 83-84-86</t>
  </si>
  <si>
    <t>BALLAST PHILIPS TL BTA 18W</t>
  </si>
  <si>
    <t>BALLAST PHILIPS TLÂ BTA 36W</t>
  </si>
  <si>
    <t>HANDSOAP - MECHANIX ORANGE HC</t>
  </si>
  <si>
    <t>N0608</t>
  </si>
  <si>
    <t>BALLAST PHILIPS HID BHL 250</t>
  </si>
  <si>
    <t>BALLAST PHILIPS HID BHL 400</t>
  </si>
  <si>
    <t>LAMP PHILIPS STARTER S-10/S-2</t>
  </si>
  <si>
    <t>T-SHIRT NAVY CAT (NEW)</t>
  </si>
  <si>
    <t>LAMP PHILIPS SOFTONE 60W</t>
  </si>
  <si>
    <t>POLO SHIRT BLACK CAT (NEW)</t>
  </si>
  <si>
    <t>FLYER A4 (4/4) – QTY 2000 SHEET</t>
  </si>
  <si>
    <t>LAMP PHILIPS ML 100W E-27</t>
  </si>
  <si>
    <t>LAMP PHILIPS ML 250W E-40</t>
  </si>
  <si>
    <t>LAMP PHILIPS ML 500W E-40</t>
  </si>
  <si>
    <t>LAMP PHILIPS MASTER LED 7-50W 220V GU10</t>
  </si>
  <si>
    <t>LAMP PHILIPS MASTER LED 7-35W 12V MR16</t>
  </si>
  <si>
    <t>LAMP PHILIPS MASTER LED 10-50W 12V MR16</t>
  </si>
  <si>
    <t>EMERGENCY LAMP PHILIPS TWS200</t>
  </si>
  <si>
    <t>LAMP PHILIPS TCH086 TL5 28W/83-84-86</t>
  </si>
  <si>
    <t>FLYER A5 (4/4) – QTY 1000 SHEET</t>
  </si>
  <si>
    <t>EYESALINE CONCENTRATE 32-000509-0000</t>
  </si>
  <si>
    <t>AIR FRESHNER BAYFRESH 350 ML</t>
  </si>
  <si>
    <t>CAN</t>
  </si>
  <si>
    <t>AIR FRESHNER BAYFRESH SPRAY</t>
  </si>
  <si>
    <t>OINTMENT BETADINE (20 GRM)</t>
  </si>
  <si>
    <t>GLASS CLEANER CLEAR 500 ML</t>
  </si>
  <si>
    <t>SUGAR GULAKU 500GR</t>
  </si>
  <si>
    <t>INSECT KILLER HIT BOTTLE 700 ML</t>
  </si>
  <si>
    <t>INSECT KILLER HIT MINI SPRAY 275 ML</t>
  </si>
  <si>
    <t>MINI TOWEL WHITE</t>
  </si>
  <si>
    <t>COFFEE NESCAFE 200GR</t>
  </si>
  <si>
    <t>CANDY FOX</t>
  </si>
  <si>
    <t>CANDY GOLIA</t>
  </si>
  <si>
    <t>CANDY KOPIKO</t>
  </si>
  <si>
    <t>CANDY MENTHOS FRUIT</t>
  </si>
  <si>
    <t>CANDY MENTHOS MINT</t>
  </si>
  <si>
    <t>PLASTIC BLACK JUMBO</t>
  </si>
  <si>
    <t>DETERGENT RINSO 900 GRM</t>
  </si>
  <si>
    <t>SPONGE WASH PLATE 3M</t>
  </si>
  <si>
    <t>STELLA HANGER</t>
  </si>
  <si>
    <t>SUNLIGHT REFILL 650 GR</t>
  </si>
  <si>
    <t>TEA LIPTON ISI 100</t>
  </si>
  <si>
    <t>TEA SARIWANGI ISI 50</t>
  </si>
  <si>
    <t>COFFEE KAPAL API SPECIAL 165 GR</t>
  </si>
  <si>
    <t>CLEANER WIPOL REFILL 800 ML</t>
  </si>
  <si>
    <t>CLEANER WIPOL 800 ML</t>
  </si>
  <si>
    <t>BAGUS ABSORB STINK</t>
  </si>
  <si>
    <t>BROOM FLOOR NAGATA</t>
  </si>
  <si>
    <t>CAMPHOR BAGUS WHITE</t>
  </si>
  <si>
    <t>FRESH PHONE STELLA ( SPRAY )</t>
  </si>
  <si>
    <t>CAMPHOR BAGUS COLOR</t>
  </si>
  <si>
    <t>GLASS CLEANER CLING REFILL</t>
  </si>
  <si>
    <t>PLASTIC PLAIN SIZE SMALL</t>
  </si>
  <si>
    <t>PLASTIC PLAIN SIZE MEDIUM</t>
  </si>
  <si>
    <t>TOWEL KANEBO</t>
  </si>
  <si>
    <t>HANDWASH LIFEBUOY 200 ML</t>
  </si>
  <si>
    <t>WYPING WYPALL X60 KIMBERLY</t>
  </si>
  <si>
    <t>KIMCARE OIL SORBENT KIMBERLY PN. 42411</t>
  </si>
  <si>
    <t>GLOVES RUBBER G80 KIMBERLY PN. 94446</t>
  </si>
  <si>
    <t>GLOVES RUBBER G80 KIMBERLY PN. 94447</t>
  </si>
  <si>
    <t>MULTIFOLD TOWEL HOKA TULIP PN. 120901</t>
  </si>
  <si>
    <t>HYGIENIC BATHROOM HOKA TULIP PN. 120903</t>
  </si>
  <si>
    <t>DISPENSER PLAKBAN LION</t>
  </si>
  <si>
    <t>FORM PRE USE INSPECTION LV FRM.035</t>
  </si>
  <si>
    <t>BINDER BANTEX 5230 A4 INSERT 16 MM A4</t>
  </si>
  <si>
    <t>TOYOTA CAMRY 2.5 HYBRID AT SILVER</t>
  </si>
  <si>
    <t>N1601</t>
  </si>
  <si>
    <t>HANSAPLAST KAIN STD 2637@100</t>
  </si>
  <si>
    <t>SAFETY SHOES KWD 805CX/X MIDS NO 6</t>
  </si>
  <si>
    <t>SAFETY SHOES KWD 805CX/X MIDS NO 7</t>
  </si>
  <si>
    <t>SAFETY SHOES KWD 805CX/X MIDS NO 8</t>
  </si>
  <si>
    <t>MASK DISPOSAL 3PLAY EAR LOOP</t>
  </si>
  <si>
    <t>BELT BLACK LEATHER</t>
  </si>
  <si>
    <t>SAFETY SHOES KS/KWD 706X MIDS NO.5</t>
  </si>
  <si>
    <t>SAFETY SHOES KS/KWD 706X MIDS NO.6</t>
  </si>
  <si>
    <t>SAFETY SHOES KS/KWD 706X MIDS NO.8</t>
  </si>
  <si>
    <t>SAFETY SHOES KS/KWD 706X MIDS NO.10</t>
  </si>
  <si>
    <t>SAFETY SHOES KS/KWD 706X MIDS NO.11</t>
  </si>
  <si>
    <t>SAFETY SHOES KS/KWD 706X MIDS NO.12</t>
  </si>
  <si>
    <t>SAFETY SHOES KS/KWD 706X MIDS NO.13</t>
  </si>
  <si>
    <t>SSK TEXAS BROWN+MIDSOLE 216125 NO MID.5</t>
  </si>
  <si>
    <t>SSK TEXAS BROWN +MIDSOLE 216125 NO 6</t>
  </si>
  <si>
    <t>SSK TEXAS BROWN +MIDSOLE 216125 NO 7</t>
  </si>
  <si>
    <t>SSK TEXAS BROWN +MIDSOLE 216125 NO MID.8</t>
  </si>
  <si>
    <t>SSK TEXAS BROWN +MIDSOLE 216125 NO 9</t>
  </si>
  <si>
    <t>SSK TEXAS BROWN +MIDSOLE 216125 NO 10</t>
  </si>
  <si>
    <t>SSK TEXAS BROWN +MIDSOLE 216125 NO 11</t>
  </si>
  <si>
    <t>SSK NEVADA BlACK + MIDSOLE 216141 NO 5</t>
  </si>
  <si>
    <t>SAFETY SHOES KRS NVD BLACK 296141 MID.6</t>
  </si>
  <si>
    <t>SSK NEVADA BlACK + MIDSOLE 216141 No.7</t>
  </si>
  <si>
    <t>SSK NEVADA BlACK + MIDSOLE 216141 NO 8</t>
  </si>
  <si>
    <t>CAP (SPARE PART)</t>
  </si>
  <si>
    <t>SSK NEVADA BlACK + MIDSOLE 216141 NO 9</t>
  </si>
  <si>
    <t>CARTRIDGE HP BLACK INK #61</t>
  </si>
  <si>
    <t>CAJUPUT OIL (MINYAK KAYU PUTIH) 50 ML</t>
  </si>
  <si>
    <t>COTTON BUDS @100 KIMIA FARMA</t>
  </si>
  <si>
    <t>LIQUID RIVANOL 200 ML</t>
  </si>
  <si>
    <t>FIRST AID  MEDICINES BAG</t>
  </si>
  <si>
    <t>(A) DRAWER CABINET AKB SDW 9 (L=710)</t>
  </si>
  <si>
    <t>N2202</t>
  </si>
  <si>
    <t>CD CASING</t>
  </si>
  <si>
    <t>(A) DRAWER CABINET AKB SDW 7 (L=710)</t>
  </si>
  <si>
    <t>(A) DRAWER CABINET AKB SDW 8 (L=710)</t>
  </si>
  <si>
    <t>(A) WORKBENCH AKB WBDP 33</t>
  </si>
  <si>
    <t>(A) WORKBENCH AKB WBDC 50</t>
  </si>
  <si>
    <t>(A) WORKBENCH AKB WBD 42</t>
  </si>
  <si>
    <t>DELIVERY CHARGE</t>
  </si>
  <si>
    <t>N1005</t>
  </si>
  <si>
    <t>(A) AKB PICKING TROLLY</t>
  </si>
  <si>
    <t>(A) DIVIDER  CABINET  TC 600</t>
  </si>
  <si>
    <t>ENGRAVING OF LOGO</t>
  </si>
  <si>
    <t>PAPER DORSLAG COLOR 70 GRAM (A4)</t>
  </si>
  <si>
    <t>SSK NEVADA BlACK + MIDSOLE 216141 NO 10</t>
  </si>
  <si>
    <t>SSK NEVADA BlACK + MIDSOLE 216141 NO 11</t>
  </si>
  <si>
    <t>EXTENSION POWER CABLE</t>
  </si>
  <si>
    <t>SSK TEXAS BROWN 216125 NO 6</t>
  </si>
  <si>
    <t>FREIGHT CHARGES TO INDONESIA</t>
  </si>
  <si>
    <t>N1001</t>
  </si>
  <si>
    <t>FREIGHT CHARGES TO SINGAPORE</t>
  </si>
  <si>
    <t>GLUE UHU STIC 21G</t>
  </si>
  <si>
    <t>PHILLIPS HPL-N 400 WATT</t>
  </si>
  <si>
    <t>GOLF BALL</t>
  </si>
  <si>
    <t>SSK TEXAS BROWN 216125 NO 7</t>
  </si>
  <si>
    <t>HARDHAT</t>
  </si>
  <si>
    <t>N0514</t>
  </si>
  <si>
    <t>SSK TEXAS BROWN 216125 NO 8</t>
  </si>
  <si>
    <t>SSK TEXAS BROWN 216125 NO 9</t>
  </si>
  <si>
    <t>SSK TEXAS BROWN 216125 NO 11</t>
  </si>
  <si>
    <t>SSK TEXAS BROWN 216125 NO 12</t>
  </si>
  <si>
    <t>SSK TEXAS BROWN 216125 NO 13</t>
  </si>
  <si>
    <t>SSK NEVADA BlACK 216141 NO 6</t>
  </si>
  <si>
    <t>SSK NEVADA BlACK 216141 NO 7</t>
  </si>
  <si>
    <t>HOT STAMPING</t>
  </si>
  <si>
    <t>SSK NEVADA BlACK 216141 NO 8</t>
  </si>
  <si>
    <t>DOA JACKET FOR GRASSBERG</t>
  </si>
  <si>
    <t>N0104</t>
  </si>
  <si>
    <t>DOA TECHNICAL LONG SLEEVES FOR TTD</t>
  </si>
  <si>
    <t>SSK NEVADA BlACK 216141 NO 9</t>
  </si>
  <si>
    <t>SSK NEVADA BlACK 216141 NO 11</t>
  </si>
  <si>
    <t>SSK NEVADA BlACK 216141 NO 12</t>
  </si>
  <si>
    <t>SAFETY BOOT INSERVICE  NO 6</t>
  </si>
  <si>
    <t>JACKET (SIZE)</t>
  </si>
  <si>
    <t>SAFETY BOOT INSERVICE  NO 7</t>
  </si>
  <si>
    <t>SAFETY BOOT INSERVICE  NO 8</t>
  </si>
  <si>
    <t>SAFETY BOOT INSERVICE  NO 9</t>
  </si>
  <si>
    <t>SAFETY BOOT INSERVICE  NO 10</t>
  </si>
  <si>
    <t>SAFETY BOOT INSERVICE + MIDSOLE NO 5</t>
  </si>
  <si>
    <t>SAFETY BOOT INSERVICE + MIDSOLE NO 6</t>
  </si>
  <si>
    <t>A.LADDER FUJIPLUS FOLDING 4-STEP,L-624LM</t>
  </si>
  <si>
    <t>SAFETY BOOT INSERVICE + MIDSOLE NO 7</t>
  </si>
  <si>
    <t>SAFETY BOOT INSERVICE + MIDSOLE NO 8</t>
  </si>
  <si>
    <t>SAFETY BOOT INSERVICE + MIDSOLE NO 9</t>
  </si>
  <si>
    <t>SAFETY BOOT INSERVICE + MIDSOLE NO 10</t>
  </si>
  <si>
    <t>CYLINDER PISTON 2663903 HOSEPRESSMACHINE</t>
  </si>
  <si>
    <t>N2401</t>
  </si>
  <si>
    <t>Sticker Lashing 10 x 30 CM</t>
  </si>
  <si>
    <t>Sticker Lashing 5 x 15 CM</t>
  </si>
  <si>
    <t>Sticker Lashing 1,5 x 10 CM</t>
  </si>
  <si>
    <t>Linkage Protector CAT 320</t>
  </si>
  <si>
    <t>Linkage Protector CAT 330</t>
  </si>
  <si>
    <t>Linkage Protector CAT 340</t>
  </si>
  <si>
    <t>Linkage Protector CAT 345</t>
  </si>
  <si>
    <t>Tooths Bucket Protector CAT 320</t>
  </si>
  <si>
    <t>Tooths Bucket Protector CAT 330</t>
  </si>
  <si>
    <t>Tooths Bucket Protector CAT 340</t>
  </si>
  <si>
    <t>Tooths Bucket Protector CAT 345</t>
  </si>
  <si>
    <t>PROTECTORS</t>
  </si>
  <si>
    <t>SAFETY BOOT BATA: SPIRIT RAN</t>
  </si>
  <si>
    <t>SCALE MODEL CAT D6K TRACK-TYPE TRACTOR</t>
  </si>
  <si>
    <t>SCALE MODEL CAT 793F MINING TRUCK</t>
  </si>
  <si>
    <t>SCALE MODEL CAT 24M MOTOR GRADER</t>
  </si>
  <si>
    <t>SCALE MODEL CAT 374DL EXCAVATOR</t>
  </si>
  <si>
    <t>SCALE MODEL CAT 725D ARTICULATED TRUCK</t>
  </si>
  <si>
    <t>CAT 730 ARTICULATED TRUCK (1:50)</t>
  </si>
  <si>
    <t>SCALE MODEL CAT 924G WHEEL LOADER</t>
  </si>
  <si>
    <t>SCALE MODEL CAT AD45B UNDERGROUND AT</t>
  </si>
  <si>
    <t>SCALE MODEL CAT D10T TRACK TYPE TRACTOR</t>
  </si>
  <si>
    <t>SCALE MODEL CAT D11T TRACK-TYPE TRACTOR</t>
  </si>
  <si>
    <t>85099 CAT D8R II TRACTOR (1:50)</t>
  </si>
  <si>
    <t>SCALE MODEL CAT DP25N LIFT TRUCK</t>
  </si>
  <si>
    <t>SCISSORS ALFAX 6"</t>
  </si>
  <si>
    <t>TISSUE FACIAL BOX TESSA 250 SHEET</t>
  </si>
  <si>
    <t>SARI KACANG HIJAU ULTRA JAYA 250 ML</t>
  </si>
  <si>
    <t>TISSUE NICE 900 SHEETS</t>
  </si>
  <si>
    <t>STAMP PAD INK PELIKAN, COLOR: BLUE</t>
  </si>
  <si>
    <t>TISSUE SEE U (HAND TOWEL) 150 SHEETS</t>
  </si>
  <si>
    <t>BISCUIT MONDE 454 GRM</t>
  </si>
  <si>
    <t>SUSPENSION FILE PENDAFLEX FOOLSCAP SIZE</t>
  </si>
  <si>
    <t>TRAEASURY TAG FLEXI 6"100'S/BOX</t>
  </si>
  <si>
    <t>TRAVEL TUMBLER/ BLU CONTO CATR</t>
  </si>
  <si>
    <t>MICRODOT TRAY EXECUTIVE 2 SELVING 702</t>
  </si>
  <si>
    <t>USB HUB BLACK</t>
  </si>
  <si>
    <t>PP POCKET BANTEX 2040 A4 (100 PC)</t>
  </si>
  <si>
    <t>BACKDROP / WELCOME BANNER - VINYL GERMAN</t>
  </si>
  <si>
    <t>BACKDROP / WELCOME BANNER - VINYL KOREA</t>
  </si>
  <si>
    <t>AIR FRESHNER STELLA 400ML</t>
  </si>
  <si>
    <t>CLEANER SOKLIN 1600ML REFILL</t>
  </si>
  <si>
    <t>TISSUE NICE 250GR</t>
  </si>
  <si>
    <t>(A) STEEL LOCKER LION L.554 4-DOORS</t>
  </si>
  <si>
    <t>N2007</t>
  </si>
  <si>
    <t>(A) WATER DISPENSER HOT &amp; COLD GEA MARS</t>
  </si>
  <si>
    <t>REFILL INK INFUS P.EPSON L200 / L100</t>
  </si>
  <si>
    <t>COFFEE INDOCAFE COFFEMIX 3IN1 20GR</t>
  </si>
  <si>
    <t>CAMPHOR SWALLOW WHITE</t>
  </si>
  <si>
    <t>MILK FRISIAN FLAG COKLAT SACHET</t>
  </si>
  <si>
    <t>MILK FRISIAN FLAG GOLD SACHET</t>
  </si>
  <si>
    <t>MICRODOT TRAY EXECUTIVE 3 SELVING 703 BL</t>
  </si>
  <si>
    <t>DAIMARU TAPE CLOTH 2'' X 90 YARD BLACK</t>
  </si>
  <si>
    <t>DAIMARU TAPE OPP 2" X 90 YARD TRANSP.</t>
  </si>
  <si>
    <t>DAIMARU TAPE OPP 2" X 90 YARD BROWN</t>
  </si>
  <si>
    <t>SNACK</t>
  </si>
  <si>
    <t>MILK BEAR BRAND 189 ML</t>
  </si>
  <si>
    <t>JUICE BUAVITA 250 ML</t>
  </si>
  <si>
    <t>SEAL TAPE 0.5 INCH ONDA BLUE</t>
  </si>
  <si>
    <t>PHENOLPHETHALEIN 100 ML</t>
  </si>
  <si>
    <t>PAC LIQUID</t>
  </si>
  <si>
    <t>SODA ASH</t>
  </si>
  <si>
    <t>FILTER 0.5 MICRON</t>
  </si>
  <si>
    <t>TEA SARIWANGI ISI 25 BAG</t>
  </si>
  <si>
    <t>MILK INDOMILK WHITE 385GR</t>
  </si>
  <si>
    <t>MILK INDOMILK CHOCOLATE 385GR</t>
  </si>
  <si>
    <t>CRYSTAL MALE CPF FITTINGS MPM-1/4MPT</t>
  </si>
  <si>
    <t>TIRE TURANZA 20565 R15 "94V" TUBELSS</t>
  </si>
  <si>
    <t>CLEANER PROSTEX 2000ML</t>
  </si>
  <si>
    <t>INSECT KILLER SPRAY VAPE 750ML</t>
  </si>
  <si>
    <t>COFFEE RUSA 250GR</t>
  </si>
  <si>
    <t>AIR FRESHNER STELLA MATIC 225ML</t>
  </si>
  <si>
    <t>TEA SARIWANGI ISI 100 BAG</t>
  </si>
  <si>
    <t>MINERAL WATER AQUA GALLON 19 LITER</t>
  </si>
  <si>
    <t>GAL</t>
  </si>
  <si>
    <t>TROPHY</t>
  </si>
  <si>
    <t>N0904</t>
  </si>
  <si>
    <t>CUSTOM MUG</t>
  </si>
  <si>
    <t>BAYGON SPRAY</t>
  </si>
  <si>
    <t>UMBUL-UMBUL</t>
  </si>
  <si>
    <t>BEVERAGES - BUAVITA JUICE</t>
  </si>
  <si>
    <t>BEVERAGES - CHOCOLATE MILO 1 KG</t>
  </si>
  <si>
    <t>BEVERAGES - COCACOLA SOFT DRINK</t>
  </si>
  <si>
    <t>BEVERAGES - MARJAN SYRUP</t>
  </si>
  <si>
    <t>BEVERAGES - POCARI SWEAT SOFT DRINK</t>
  </si>
  <si>
    <t>BEVERAGES - SPRITE SOFT DRINK</t>
  </si>
  <si>
    <t>BEVERAGES - FANTA SOFT DRINK</t>
  </si>
  <si>
    <t>TISSUE DISPENSER SEE-U</t>
  </si>
  <si>
    <t>HANDSOAP YURI</t>
  </si>
  <si>
    <t>KRUSHERS NEVADA 216141 (BLACK)</t>
  </si>
  <si>
    <t>BREAKFAST</t>
  </si>
  <si>
    <t>N1701</t>
  </si>
  <si>
    <t>MOP HEAD OATES</t>
  </si>
  <si>
    <t>MOP HANDLE OATES</t>
  </si>
  <si>
    <t>FUEL - DIESEL</t>
  </si>
  <si>
    <t>N1607</t>
  </si>
  <si>
    <t>L</t>
  </si>
  <si>
    <t>KASTOR WHEEL ENDO SWIVEL BREAK 6"</t>
  </si>
  <si>
    <t>IRON AIR DUSTER WITH ADJUSTABLE</t>
  </si>
  <si>
    <t>IRON AIR DUSTER 1"</t>
  </si>
  <si>
    <t>COFFEE KAPAL API 380GR</t>
  </si>
  <si>
    <t>PLASTIC BOX 200X110X115MM - BLUE COLOR</t>
  </si>
  <si>
    <t>BOX OLD CORE</t>
  </si>
  <si>
    <t>N2004</t>
  </si>
  <si>
    <t>MILK POWDER DANCOW WHITE 800GR</t>
  </si>
  <si>
    <t>BEVERAGES - CHOCOLATE MILO 600GR</t>
  </si>
  <si>
    <t>AIR HOSE 300PSI SIZE 3/4</t>
  </si>
  <si>
    <t>LAMP PHILIPS MASTER PL-C 13/865/2P</t>
  </si>
  <si>
    <t>CABLE SUPREME NYMHY 2X2.5MM /100MTR</t>
  </si>
  <si>
    <t>CABLE SUPREME NYMHY 3X2.5MM /100MTR</t>
  </si>
  <si>
    <t>WELDING LEATHER APRON 90X60CM</t>
  </si>
  <si>
    <t>WELDING SPAT APRON</t>
  </si>
  <si>
    <t>TIRE BRIDGESTONE 6.50-10/10PR UL</t>
  </si>
  <si>
    <t>INNER TUBE SIZE 6.50-10</t>
  </si>
  <si>
    <t>P/N:4446165 COOLER/GRN IGLOO 24 CAN CAT</t>
  </si>
  <si>
    <t>N1401</t>
  </si>
  <si>
    <t>DEEP GROOVE BALL BEARING PN. 6203-SKF</t>
  </si>
  <si>
    <t>CARTRIDGE HP CN047AA</t>
  </si>
  <si>
    <t>ALTERNATOR PN.27060-0L022</t>
  </si>
  <si>
    <t>ABSORBER SHOCK REAR PN.48531-09430</t>
  </si>
  <si>
    <t>IMPRABOARD</t>
  </si>
  <si>
    <t>PAINT EXT FRONT WHEEL LH (WHITE SOLID)</t>
  </si>
  <si>
    <t>STONE (BAG)</t>
  </si>
  <si>
    <t>BAG</t>
  </si>
  <si>
    <t>FLOCCULANT</t>
  </si>
  <si>
    <t>MASTER BRAKE CYL SUB ASSY PN.47201-60831</t>
  </si>
  <si>
    <t>AIR REGULATOR</t>
  </si>
  <si>
    <t>FIRE SUPPRESSION</t>
  </si>
  <si>
    <t>DUST CLEANER</t>
  </si>
  <si>
    <t>FLAP SIZE 6.50-10</t>
  </si>
  <si>
    <t>SHACKLE</t>
  </si>
  <si>
    <t>CUSTOMER FEEDBACK CARD 500 PCS</t>
  </si>
  <si>
    <t>CABLE BRAKE NO 02 PN.46420-0K070</t>
  </si>
  <si>
    <t>TIRE BRIDGESTONE J-LUG 28X9-15 12PR  HT</t>
  </si>
  <si>
    <t>JACK HYDRAULIG FOR LV</t>
  </si>
  <si>
    <t>STICKER LIMBAH B3</t>
  </si>
  <si>
    <t>TIRE BRIDGESTONE D674 M/T 265/75 R16</t>
  </si>
  <si>
    <t>WHEEL CHOCK</t>
  </si>
  <si>
    <t>CONNECTOR ANDERSON 50ARED PN. 49548</t>
  </si>
  <si>
    <t>OIL SEAL DBLE TIP PN.OS-45X65X12-TC-TT0</t>
  </si>
  <si>
    <t>RADIATOR</t>
  </si>
  <si>
    <t>N0609</t>
  </si>
  <si>
    <t>RUBBER FLOOR MATE (FOR LV) BLACK</t>
  </si>
  <si>
    <t>TIRE BRIDGESTONE 600 X 9 (INSIDE)</t>
  </si>
  <si>
    <t>N0604</t>
  </si>
  <si>
    <t>TIRE BRIDGESTONE 600 X 9 10PR UL</t>
  </si>
  <si>
    <t>TIRE BRIDGESTONE 650 X 10 10PR UL</t>
  </si>
  <si>
    <t>TIRE BRIDGESTONE 7.00 X 12 12PR JL</t>
  </si>
  <si>
    <t>TIRE BRIDGESTONE 7.00 X 12 12PR UL</t>
  </si>
  <si>
    <t>TIRE FLAP BRIDGESTONE SIZE 600 X 9</t>
  </si>
  <si>
    <t>TIRE FLAP BRIDGESTONE SIZE 7.00 X 12</t>
  </si>
  <si>
    <t>ACRYLIC NAME DESK BANTEX 8856</t>
  </si>
  <si>
    <t>CLAMP</t>
  </si>
  <si>
    <t>GUN AIR</t>
  </si>
  <si>
    <t>HOSE</t>
  </si>
  <si>
    <t>NIPPLE</t>
  </si>
  <si>
    <t>ELECTRONIC DELAY DEVICE 24V PN. 228582</t>
  </si>
  <si>
    <t>CHECK VALVE PN. 01IT081938</t>
  </si>
  <si>
    <t>DRILL CHUCK S13 PN.193822-6</t>
  </si>
  <si>
    <t>CARBON BRUST SET PN. CB407</t>
  </si>
  <si>
    <t>AIR NITROGEN</t>
  </si>
  <si>
    <t>DAITO CARBON PAPER F4 100 SHEET</t>
  </si>
  <si>
    <t>EARPLUG</t>
  </si>
  <si>
    <t>SPRAY CLEAR GLASSES "MR MUSCLE"</t>
  </si>
  <si>
    <t>REFILL CLEAR GLASSES "MR MUSCLE"</t>
  </si>
  <si>
    <t>SANDPAPER ABRASIVE 500</t>
  </si>
  <si>
    <t>SANDPAPER  MEDIUM GRADE 80</t>
  </si>
  <si>
    <t>SANDPAPER RUGGED GRADE 80</t>
  </si>
  <si>
    <t>CRC CONTACT CLEANER</t>
  </si>
  <si>
    <t>GLOVES POLKADOT COTTON</t>
  </si>
  <si>
    <t>GLOVES COTTON MATAHARI</t>
  </si>
  <si>
    <t>HACKSAW BLADE</t>
  </si>
  <si>
    <t>BRUSH 1"</t>
  </si>
  <si>
    <t>BRUSH 2"</t>
  </si>
  <si>
    <t>BRUSH 4"</t>
  </si>
  <si>
    <t>OIL FOR HYDRAULIC TOOLS</t>
  </si>
  <si>
    <t>OIL FOR PNEUMATIC TOOLS</t>
  </si>
  <si>
    <t>LOCTITE LOW BREAKLOOSE</t>
  </si>
  <si>
    <t>WD 40</t>
  </si>
  <si>
    <t>PLASTIC BAG CLIP PESIZE 10 X 15 CM</t>
  </si>
  <si>
    <t>PLASTIC BAG CLIP PESIZE 20 X 30 CM</t>
  </si>
  <si>
    <t>PLASTIC BAG CLIP PESIZE 10 X 20 CM</t>
  </si>
  <si>
    <t>PLASTIC BAG CLIP PESIZE 24 X 16 CM</t>
  </si>
  <si>
    <t>PLASTIC BAG FOR COMPONENT 45x60 cm</t>
  </si>
  <si>
    <t>PLASTIC BAG FOR COMPONENT 30x45 CM</t>
  </si>
  <si>
    <t>PLASTIC TRASH BAG RED 90CM X 100CM</t>
  </si>
  <si>
    <t>PLASTIC TRASH BAG BLACK 90CM X 100CM</t>
  </si>
  <si>
    <t>PLASTIC TRASH BAG BLUE 90CM X 100CM</t>
  </si>
  <si>
    <t>PLASTIC COVER 0.8 MM CAP JET 120X100 CM</t>
  </si>
  <si>
    <t>PLASTIC DRAIN 0.3 MM CAP JET 25X100 CM</t>
  </si>
  <si>
    <t>DANGER LINE BLACK &amp; YELLOW</t>
  </si>
  <si>
    <t>DANGER LINE RED &amp; WHITE</t>
  </si>
  <si>
    <t>RAFFIA ROPE</t>
  </si>
  <si>
    <t>GREASE GUN PN. 01-IT00740</t>
  </si>
  <si>
    <t>SAFETY PADLOCK 410 MASTERLOCK</t>
  </si>
  <si>
    <t>LIGHT LAMP PN. 14144290</t>
  </si>
  <si>
    <t>WATER PIPE PN. 41270112</t>
  </si>
  <si>
    <t>SOCKET SET</t>
  </si>
  <si>
    <t>SWV. ORFS PN. 8898038887</t>
  </si>
  <si>
    <t>CONCORDE PAPER OFFICE A4 90GR CRE (250)</t>
  </si>
  <si>
    <t>ELBA SIGNATURE BOOK A4 41403</t>
  </si>
  <si>
    <t>EXHAUST PN. 8162322</t>
  </si>
  <si>
    <t>SPONGE</t>
  </si>
  <si>
    <t>WINDSCREEN WIPER TANK PN. 98466300</t>
  </si>
  <si>
    <t>CARTRIDGE HP CN048AA</t>
  </si>
  <si>
    <t>BOLT WATER PUMP PN. 91511-60830</t>
  </si>
  <si>
    <t>WARRANTY CERTIFICATE</t>
  </si>
  <si>
    <t>CONVERTER</t>
  </si>
  <si>
    <t>FLAP SIZE 700-12</t>
  </si>
  <si>
    <t>NPTM SWIVEL STR 1 PN. 8898038789</t>
  </si>
  <si>
    <t>CLEANER CRACK DETECTOR</t>
  </si>
  <si>
    <t>PENETRAN CRACK DETECTOR</t>
  </si>
  <si>
    <t>DEVELOPER CRACK DETECTOR</t>
  </si>
  <si>
    <t>LOCTITE 406</t>
  </si>
  <si>
    <t>ADHESIVE GLUE (SIKAFLEX)</t>
  </si>
  <si>
    <t>LENS CLEANER TISSUE</t>
  </si>
  <si>
    <t>FULL FACE RESPIRATOR 3M 6800</t>
  </si>
  <si>
    <t>DISPOSABLE RAIN COAT</t>
  </si>
  <si>
    <t>GASOLINE</t>
  </si>
  <si>
    <t>(A) AIR CONDITIONER 1 PK</t>
  </si>
  <si>
    <t>AC FREON</t>
  </si>
  <si>
    <t>AC COMPRESSOR</t>
  </si>
  <si>
    <t>AC COMPONENTS</t>
  </si>
  <si>
    <t>(A) REFRIGERATOR</t>
  </si>
  <si>
    <t>(A) MICROWAVE</t>
  </si>
  <si>
    <t>(A) WATER DISPENSER</t>
  </si>
  <si>
    <t>(A) OFFICE CHAIR</t>
  </si>
  <si>
    <t>FRESH MILK</t>
  </si>
  <si>
    <t>MILK CAP BENDERA</t>
  </si>
  <si>
    <t>AIR FRESHNER STELLA MATIC DISPENSER</t>
  </si>
  <si>
    <t>N2018</t>
  </si>
  <si>
    <t>COFFEE MAKER</t>
  </si>
  <si>
    <t>COFFEE FILTER</t>
  </si>
  <si>
    <t>MOP BUCKE BELLE</t>
  </si>
  <si>
    <t>MOP HEAD MEGA</t>
  </si>
  <si>
    <t>BEVERAGES PACK MEALS</t>
  </si>
  <si>
    <t>TOILET EQUIPMENT</t>
  </si>
  <si>
    <t>GARDEN EQUIPMENT</t>
  </si>
  <si>
    <t>EONHAND 270</t>
  </si>
  <si>
    <t>THINNER A SPECIAL</t>
  </si>
  <si>
    <t>PAINT PRODUCT FOR MAINTENANCE</t>
  </si>
  <si>
    <t>BLACKWOODS PRODUCT (CASTROL &amp; SWIVEL)</t>
  </si>
  <si>
    <t>RUBBER SQUEEZE WIDTH 50CM WITH HANDLE</t>
  </si>
  <si>
    <t>SAFETY GLASS BETTA CLEAR PN.13CIG3001</t>
  </si>
  <si>
    <t>MASTERLOCK</t>
  </si>
  <si>
    <t>ROPE LANYARD TWIN -CIG PN.19646-1</t>
  </si>
  <si>
    <t>CEMENT PRODUCT</t>
  </si>
  <si>
    <t>SAC</t>
  </si>
  <si>
    <t>PPE WATER PIPEELBOW &amp; OTHERS ITEMS</t>
  </si>
  <si>
    <t>SILICONE SEALANT</t>
  </si>
  <si>
    <t>CHANNEL STEEL "U"</t>
  </si>
  <si>
    <t>ACETYLENE (C2H2)</t>
  </si>
  <si>
    <t>OXYGEN (O2)</t>
  </si>
  <si>
    <t>ARGON</t>
  </si>
  <si>
    <t>NITROGEN</t>
  </si>
  <si>
    <t>GRAVEL</t>
  </si>
  <si>
    <t>"3</t>
  </si>
  <si>
    <t>CONCRETE</t>
  </si>
  <si>
    <t>TELEPHONE INSTRUMENT</t>
  </si>
  <si>
    <t>CABLE EXTENTION</t>
  </si>
  <si>
    <t>ELECTRICAL EQUIPMENT (NON ASSET)</t>
  </si>
  <si>
    <t>SILVER HELMET</t>
  </si>
  <si>
    <t>GLOVES SOL-VEX 37-175</t>
  </si>
  <si>
    <t>SILICONE GLUE RED 615 B AMERICAN</t>
  </si>
  <si>
    <t>HACKSAW SANDFLEX</t>
  </si>
  <si>
    <t>HANDSOAP</t>
  </si>
  <si>
    <t>HAND SCREW TOOLS</t>
  </si>
  <si>
    <t>SCREWS</t>
  </si>
  <si>
    <t>FIRST AID  BAG C/W MEDICINES</t>
  </si>
  <si>
    <t>FIRST AID BOX</t>
  </si>
  <si>
    <t>HEADLIGHT 6 LED ENERGIZER</t>
  </si>
  <si>
    <t>KLEENGUARD G40 LATEX FOAM COATED</t>
  </si>
  <si>
    <t>GLOVES JACKSON G40 - PU</t>
  </si>
  <si>
    <t>LABEL PRINTER MACHINE</t>
  </si>
  <si>
    <t>LABELING PAPER</t>
  </si>
  <si>
    <t>STAMP LEGAL @ RP.6000</t>
  </si>
  <si>
    <t>MAMA LEMON REFIL 800 ML</t>
  </si>
  <si>
    <t>TOHO LAMINATING PLASTIC SIZE A3 (100)</t>
  </si>
  <si>
    <t>PANTRY - DURALEX GLASS</t>
  </si>
  <si>
    <t>PANTRY - GLASS</t>
  </si>
  <si>
    <t>PANTRY - MIDDLE BOWL</t>
  </si>
  <si>
    <t>PANTRY - MUG</t>
  </si>
  <si>
    <t>PANTRY - PAN</t>
  </si>
  <si>
    <t>PANTRY - PITCHER</t>
  </si>
  <si>
    <t>PANTRY - PLATE</t>
  </si>
  <si>
    <t>PANTRY - PLATE SHOWCASE</t>
  </si>
  <si>
    <t>PANTRY - SOUP SPOON</t>
  </si>
  <si>
    <t>PANTRY - SPOON</t>
  </si>
  <si>
    <t>PANTRY - WATER DRINK GALON SIZE</t>
  </si>
  <si>
    <t>PANTRY - WATER DRINK GLAZZ SIZE</t>
  </si>
  <si>
    <t>PANTRY - SUGAR</t>
  </si>
  <si>
    <t>PANTRY - WASH CLEANING SPONGE 3M</t>
  </si>
  <si>
    <t>(A) OFFICE DESK</t>
  </si>
  <si>
    <t>N2206</t>
  </si>
  <si>
    <t>(A) TABLE</t>
  </si>
  <si>
    <t>PLASTIC BAG 3 KG</t>
  </si>
  <si>
    <t>PLASTIC BAG 5 KG</t>
  </si>
  <si>
    <t>PLASTIC BAG 7 KG</t>
  </si>
  <si>
    <t>PLASTIC TRASH BAG</t>
  </si>
  <si>
    <t>CLEANER PROSTEX</t>
  </si>
  <si>
    <t>JOYKO PUSH PINS PP-30 ASSORTED COLOR</t>
  </si>
  <si>
    <t>PVC STRIP CURTAIN STANDART CLEAR TRANSP</t>
  </si>
  <si>
    <t>SANDPAPER ABRASIVE 100</t>
  </si>
  <si>
    <t>SANDPAPER ABRASIVE 200</t>
  </si>
  <si>
    <t>SANDPAPER ABRASIVE 250</t>
  </si>
  <si>
    <t>SANDPAPER ABRASIVE 300</t>
  </si>
  <si>
    <t>SANDPAPER ABRASIVE 360</t>
  </si>
  <si>
    <t>SANDPAPER ABRASIVE 600</t>
  </si>
  <si>
    <t>SANDPAPER ABRASIVE 800</t>
  </si>
  <si>
    <t>SANDPAPER ABRASIVE 1000</t>
  </si>
  <si>
    <t>SCOTCHLIGHT</t>
  </si>
  <si>
    <t>SIGN PERINGATAN LINTASAN KABEL</t>
  </si>
  <si>
    <t>SIGNAGE (NON ASSET)</t>
  </si>
  <si>
    <t>SOCKET 20MM</t>
  </si>
  <si>
    <t>STICKER (NON STANDARD)</t>
  </si>
  <si>
    <t>TISSUE PASSEO</t>
  </si>
  <si>
    <t>WEBBING SLING CAP 2 TON X 2 MTR</t>
  </si>
  <si>
    <t>N0504</t>
  </si>
  <si>
    <t>WEBBING SLING CAP 4 TON X 3 MTR</t>
  </si>
  <si>
    <t>WEBBING SLING CAP 4 TON X 4 MTR</t>
  </si>
  <si>
    <t>FREON R134A DUPONT SIZE 13.62KG</t>
  </si>
  <si>
    <t>FREON</t>
  </si>
  <si>
    <t>ADAPTER 3 PIN  FOOT</t>
  </si>
  <si>
    <t>FLOOR JACK</t>
  </si>
  <si>
    <t>STEEL PALLET</t>
  </si>
  <si>
    <t>TAGGING</t>
  </si>
  <si>
    <t>LIQUEFIED PETROLEUM GAS (LPG) REFILL</t>
  </si>
  <si>
    <t>SPRAYER</t>
  </si>
  <si>
    <t>SHEET (BED)</t>
  </si>
  <si>
    <t>N1904</t>
  </si>
  <si>
    <t>CREW PITCH GAGE MITUTOYO MT0000480</t>
  </si>
  <si>
    <t>LED TV SHARP 32"</t>
  </si>
  <si>
    <t>PLASTIC CREEPER KW0101976</t>
  </si>
  <si>
    <t>MICROSCOPE ADAPTOR PROSCOPE</t>
  </si>
  <si>
    <t>DIGITAL MICR. PROSCOPE PN.BT-HRLVL2</t>
  </si>
  <si>
    <t>MICROMETER</t>
  </si>
  <si>
    <t>SURFACE TEST MITUTOYO MT0002378</t>
  </si>
  <si>
    <t>OUTSIDE MICROMETER MITUTOYO MT0000726</t>
  </si>
  <si>
    <t>HIGH PRESSURE CLEANER</t>
  </si>
  <si>
    <t>LK POLISHING PAD BROWN 16"NV0200342</t>
  </si>
  <si>
    <t>VERNIER CALIPER MITUTOYO</t>
  </si>
  <si>
    <t>WRENCH SET</t>
  </si>
  <si>
    <t>LK POLISHING PAD RED 16" NV0200341</t>
  </si>
  <si>
    <t>CONTAINER PLASTIC RABBIT TYPE 7099</t>
  </si>
  <si>
    <t>BOX FH 302 1100 X 750 X 100MM T-5MM</t>
  </si>
  <si>
    <t>CABLE LAN BELDEN USA</t>
  </si>
  <si>
    <t>CARTRIDGE CANON CL-740 BLACK</t>
  </si>
  <si>
    <t>PLIERS RJ-45</t>
  </si>
  <si>
    <t>POCKET CAMERA</t>
  </si>
  <si>
    <t>SILICONE</t>
  </si>
  <si>
    <t>BUGGY WHIP 3.1M C/W FLAG</t>
  </si>
  <si>
    <t>CARTON BOX CBS250 250 X 150 X 150 SMALL</t>
  </si>
  <si>
    <t>CARTON BOX CBM350 350 X 225 X 246 MEDIUM</t>
  </si>
  <si>
    <t>CARTON BOX CBL450 450 X 350 X 310 LARGE</t>
  </si>
  <si>
    <t>GLOVES RUBBER UNIGARD 16CIG6249</t>
  </si>
  <si>
    <t>GLOVES RUBBER PVC GAUNTLET 16CIG6411</t>
  </si>
  <si>
    <t>GLOVES RUBBER PVC GAUNTLET 16CIG6414</t>
  </si>
  <si>
    <t>GLOVES RUBBER PVC GAUNTLET 16CIG6416</t>
  </si>
  <si>
    <t>FLEXOVIT REINFORCE CUT 100X2.5X16.0 (4")</t>
  </si>
  <si>
    <t>MATERIAL GASKET SIZE 0.5MM</t>
  </si>
  <si>
    <t>MATERIAL GASKET SIZE 0.8MM</t>
  </si>
  <si>
    <t>MATERIAL GASKET SIZE 1.0MM</t>
  </si>
  <si>
    <t>DETERGEN DAIA 900G</t>
  </si>
  <si>
    <t>HANDSOAP YURI REFILL 375ML</t>
  </si>
  <si>
    <t>CAMPHOR DALIA HANG K-233</t>
  </si>
  <si>
    <t>HEAD RJ-45 AMP</t>
  </si>
  <si>
    <t>PORSTEX</t>
  </si>
  <si>
    <t>LABEL BARCODE</t>
  </si>
  <si>
    <t>PRIMA BOOK BLOCK NOTE NO. 10</t>
  </si>
  <si>
    <t>DOCKET INSPECTION CARBONIZE (2COPIES)</t>
  </si>
  <si>
    <t>UTICON ST-168 OUTBOW (6 LUBANG)</t>
  </si>
  <si>
    <t>TERPAL A5 210x184mm</t>
  </si>
  <si>
    <t>CARTRIDGE CANON CL-741 COLOR</t>
  </si>
  <si>
    <t>UPS PROLINK 1200VA</t>
  </si>
  <si>
    <t>CONNECTOR RJ-45 AMP</t>
  </si>
  <si>
    <t>TOOL BOX 3 STEP KRISBOW KW01-1149</t>
  </si>
  <si>
    <t>CONTAINER PLASTIC RABBIT TYPE 8000 BLUE</t>
  </si>
  <si>
    <t>MINERAL WATER GRAND GALLON 19 LITER</t>
  </si>
  <si>
    <t>MINERAL WATER GRAND CUP 240ML</t>
  </si>
  <si>
    <t>DISPENSER SANKEN SWD-773</t>
  </si>
  <si>
    <t>N2205</t>
  </si>
  <si>
    <t>CARTRIDGE CANON PG-740</t>
  </si>
  <si>
    <t>PRINTER LABEL CASIO TYPE 7400</t>
  </si>
  <si>
    <t>HALL MOP W/HANDLE 48" KRISBOW KW18-42</t>
  </si>
  <si>
    <t>SPARE HALL MOP 24" KRISBOW KW-18-683</t>
  </si>
  <si>
    <t>HOSE REEL</t>
  </si>
  <si>
    <t>DUST BIN KRISBOW CAP. 120LT</t>
  </si>
  <si>
    <t>HALL MOP W/HANDLE 24" KRISBOW KW18-05</t>
  </si>
  <si>
    <t>PRONTO GLUE STICK 8 GRAM</t>
  </si>
  <si>
    <t>MASKING TAPE 1"</t>
  </si>
  <si>
    <t>PAINT BRUSH 1" ETERNA</t>
  </si>
  <si>
    <t>PAINT BRUSH 2" ETERNA</t>
  </si>
  <si>
    <t>PAINT BRUSH 4" ETERNA</t>
  </si>
  <si>
    <t>PAINT BRUSH 1/2" ETERNA</t>
  </si>
  <si>
    <t>THINNER ND 1 LITER</t>
  </si>
  <si>
    <t>THINNER ND 5 LITER</t>
  </si>
  <si>
    <t>LABEL TAG SERVICE</t>
  </si>
  <si>
    <t>SERVICE MATERIAL</t>
  </si>
  <si>
    <t>KIKY BOOK HARD COVER SIZE Q4 100 SHEET</t>
  </si>
  <si>
    <t>KIKY BOOK HARD COVER SIZE Q4 200 SHEET</t>
  </si>
  <si>
    <t>PEN ZEBRA CLIP SARASA 0.7 MM BLACK</t>
  </si>
  <si>
    <t>HANGING FILE FOLDER LIHIT</t>
  </si>
  <si>
    <t>MOP WITH HANDLE AYAM JAGO</t>
  </si>
  <si>
    <t>GLUE CAIR KENKO/JOYKO 50ML</t>
  </si>
  <si>
    <t>TISSUE TOILET ROLL PASSEO</t>
  </si>
  <si>
    <t>TISSUE BOX NICE</t>
  </si>
  <si>
    <t>AIR FRESHNER GLADE SPRAY</t>
  </si>
  <si>
    <t>TISSUE NICE 900GR</t>
  </si>
  <si>
    <t>DOUBLE TAPE DAIMARU 1 INCH</t>
  </si>
  <si>
    <t>JOYKO TAPES DOUBLE SIDED 1/2"</t>
  </si>
  <si>
    <t>ELECTRIC SWITCH 1 BUTTON</t>
  </si>
  <si>
    <t>(A) AIR CONDITIONER PANASONIC</t>
  </si>
  <si>
    <t>(A) AIR CONDITIONER SHARP</t>
  </si>
  <si>
    <t>GLASSES LANYARD STRAP</t>
  </si>
  <si>
    <t>ROPE NYLON 4MM</t>
  </si>
  <si>
    <t>WYPALL SWIPE ALL S70 (MIN. 5 ROLL)</t>
  </si>
  <si>
    <t>DOUBLE TAPE DAIMARU 1/2 INCH</t>
  </si>
  <si>
    <t>PLIER</t>
  </si>
  <si>
    <t>TERMINAL BATTERY</t>
  </si>
  <si>
    <t>THINNER A</t>
  </si>
  <si>
    <t>SANDPAPER ABRASIVE 1500</t>
  </si>
  <si>
    <t>DAIMARU TAPE MASKING 2" X 20 YARD</t>
  </si>
  <si>
    <t>LAMP MERCURY</t>
  </si>
  <si>
    <t>LAMP HALOGEN 500W/200VL PHILIPS</t>
  </si>
  <si>
    <t>LAMP STOP LED</t>
  </si>
  <si>
    <t>LAMP TL PHILIPS 18W</t>
  </si>
  <si>
    <t>GLUE AICA AIBON 1/2 KG</t>
  </si>
  <si>
    <t>GLUE ALTECO</t>
  </si>
  <si>
    <t>SANDPAPER ABRASIVE 220</t>
  </si>
  <si>
    <t>SANDPAPER ABRASIVE 40</t>
  </si>
  <si>
    <t>SANDPAPER GRINDING 40</t>
  </si>
  <si>
    <t>(A) AC DAIKIN SPLIT 1.5</t>
  </si>
  <si>
    <t>AC PANASONIC 1 PK INVERTER</t>
  </si>
  <si>
    <t>GLUE FOX 600GR</t>
  </si>
  <si>
    <t>GLUE PIPE PVC</t>
  </si>
  <si>
    <t>GLUE PLASTIC STEEL</t>
  </si>
  <si>
    <t>(A) FULL HEIGHT STEEL CUPBOARD LION L.33</t>
  </si>
  <si>
    <t>GENERAL FACE SHIELD</t>
  </si>
  <si>
    <t>PAINT DANALAC WHITE</t>
  </si>
  <si>
    <t>GLUE DEXTON</t>
  </si>
  <si>
    <t>SELOTAPE DAIMARU TAPE 1/2" CLEAR</t>
  </si>
  <si>
    <t>(A) AC DAIKIN SPLIT 2 PK</t>
  </si>
  <si>
    <t>MINERAL WATER BOTTLE</t>
  </si>
  <si>
    <t>MINERAL WATER CUP</t>
  </si>
  <si>
    <t>MINERAL WATER GALON</t>
  </si>
  <si>
    <t>CLEANING TOOL SPOON</t>
  </si>
  <si>
    <t>ENVELOPE BROWN FOLIO</t>
  </si>
  <si>
    <t>AUTOSOL METAL</t>
  </si>
  <si>
    <t>BACKPACK P3K</t>
  </si>
  <si>
    <t>FRAME</t>
  </si>
  <si>
    <t>TYVEX COVERALL S</t>
  </si>
  <si>
    <t>GIFTBOX</t>
  </si>
  <si>
    <t>TYVEX COVERALL M</t>
  </si>
  <si>
    <t>TYVEX COVERALL XL</t>
  </si>
  <si>
    <t>GRINDING</t>
  </si>
  <si>
    <t>CABLE TIES CS 100 SIGMA BLACK</t>
  </si>
  <si>
    <t>CABLE TIES CS 150 SIGMA BLACK</t>
  </si>
  <si>
    <t>CABLE TIES CS 250 SIGMA BLACK</t>
  </si>
  <si>
    <t>CABLE TIES CS 380 SIGMA BLACK</t>
  </si>
  <si>
    <t>CABLE TIES CS 390 SIGMA BLACK</t>
  </si>
  <si>
    <t>PAINT DULUX PENTALITE B.WHITE 2290 20 L</t>
  </si>
  <si>
    <t>PAINT PLATEONE RED</t>
  </si>
  <si>
    <t>CELLING FAN PANASONIC 56"</t>
  </si>
  <si>
    <t>MIRROR</t>
  </si>
  <si>
    <t>CHEMICAL RESISTANT G80 SIZE 8M SKU.94446</t>
  </si>
  <si>
    <t>CHEMICAL FOR CLOSET</t>
  </si>
  <si>
    <t>CLIPBOARD BANTEX 4205</t>
  </si>
  <si>
    <t>CLIPBOARD COVER GREEN BANTEX REF.4211</t>
  </si>
  <si>
    <t>CONNECTOR CABLE BF2 SIZE.2.5MM</t>
  </si>
  <si>
    <t>COUPLER 20 PH</t>
  </si>
  <si>
    <t>COUPLER PM 20</t>
  </si>
  <si>
    <t>COUPLER PM 30</t>
  </si>
  <si>
    <t>COUPLER PM 40</t>
  </si>
  <si>
    <t>CRIMPING TOOL</t>
  </si>
  <si>
    <t>CUTTER BIG KENKO 500</t>
  </si>
  <si>
    <t>DEMPUL ALF 3KG</t>
  </si>
  <si>
    <t>DYNABOLT</t>
  </si>
  <si>
    <t>DOUBLE TAPE 3M</t>
  </si>
  <si>
    <t>EARMUFF MSA TYPE NR27</t>
  </si>
  <si>
    <t>CAT WATCH</t>
  </si>
  <si>
    <t>N0407</t>
  </si>
  <si>
    <t>BOX FILE BANTEX 4012 A4 10CM</t>
  </si>
  <si>
    <t>WHITE MAJUN</t>
  </si>
  <si>
    <t>PARTICULATE RESPIRATOR 3M 8210</t>
  </si>
  <si>
    <t>GRINDING WHEEL DIA. 4"</t>
  </si>
  <si>
    <t>GRINDING SANDPAPER P40</t>
  </si>
  <si>
    <t>GRINDING WHEEL DIA. 7"</t>
  </si>
  <si>
    <t>MCB 16 AMP</t>
  </si>
  <si>
    <t>MCB 1P/16A MG</t>
  </si>
  <si>
    <t>MCB 1P/25A MG</t>
  </si>
  <si>
    <t>ALUMINIUM FOIL</t>
  </si>
  <si>
    <t>BINDER INSERT R. BINDER A4 2D 52MM 8552</t>
  </si>
  <si>
    <t>PAPERCLIP JOYKO TRIGONAL NO 1</t>
  </si>
  <si>
    <t>PAPERCLIP JOYKO TRIGONAL NO 3</t>
  </si>
  <si>
    <t>PAPERCLIP JOYKO JUMBO CLIP NO 5</t>
  </si>
  <si>
    <t>JOYKO PUNCHER 2 HOLE 85B</t>
  </si>
  <si>
    <t>RULER STEEL 15CM</t>
  </si>
  <si>
    <t>NN RULER METAL 30 CM</t>
  </si>
  <si>
    <t>PLASTIC WRAPPING SIZE BIG</t>
  </si>
  <si>
    <t>PLASTIC WRAPPING SIZE SMALL</t>
  </si>
  <si>
    <t>BANTEX REMOVER STAPLES 9355</t>
  </si>
  <si>
    <t>SPRAY PAINT PYLOX BLACK</t>
  </si>
  <si>
    <t>SPRAY PAINT PYLOX BLACK HI-TEMP</t>
  </si>
  <si>
    <t>SPRAY PAINT PYLOX RED</t>
  </si>
  <si>
    <t>SPRAY PAINT PYLOX WHITE</t>
  </si>
  <si>
    <t>DETERGENT RINSO 1 KG</t>
  </si>
  <si>
    <t>BARRICADE TAPE 3" 500MTR YELLOW-BLACK</t>
  </si>
  <si>
    <t>COATED GLOVES KIMBERLY KLEENGUARD</t>
  </si>
  <si>
    <t>GLOVES RUBBER KIMBERLY 97370 SIZE 8</t>
  </si>
  <si>
    <t>ROTARY LAMP ECCO 6570</t>
  </si>
  <si>
    <t>ROTARY LAMP PRECO 3318</t>
  </si>
  <si>
    <t>NAIL SIZE 1.5"</t>
  </si>
  <si>
    <t>NAIL SIZE 2"</t>
  </si>
  <si>
    <t>NAIL SIZE 2.5"</t>
  </si>
  <si>
    <t>NAIL SIZE 3"</t>
  </si>
  <si>
    <t>CONCRETE NAIL SIZE 1.5"</t>
  </si>
  <si>
    <t>SAND (PER M3)</t>
  </si>
  <si>
    <t>M3</t>
  </si>
  <si>
    <t>PIPE STEEL 1" SCH 40</t>
  </si>
  <si>
    <t>PIPE CONDUIT 20MM</t>
  </si>
  <si>
    <t>PIPE GALVANIS 1" 6M (TREED OUTTER)</t>
  </si>
  <si>
    <t>PLATE 3MM</t>
  </si>
  <si>
    <t>PLATE 5MM</t>
  </si>
  <si>
    <t>PLATE 10MM</t>
  </si>
  <si>
    <t>PLATE 12MM</t>
  </si>
  <si>
    <t>PLATE 6MM</t>
  </si>
  <si>
    <t>PLATE 8MM</t>
  </si>
  <si>
    <t>ANGLE BAR (BESI SIKU)</t>
  </si>
  <si>
    <t>OIL SKIMMER</t>
  </si>
  <si>
    <t>N2003</t>
  </si>
  <si>
    <t>BATTERY CHARGER</t>
  </si>
  <si>
    <t>PLYWOOD 12MM</t>
  </si>
  <si>
    <t>PLYWOOD 6MM</t>
  </si>
  <si>
    <t>CREAM SOAP WINGS 5KG</t>
  </si>
  <si>
    <t>SCUN CABLE DIA. 2.5MM</t>
  </si>
  <si>
    <t>CARTRIDGE HP CN046AA</t>
  </si>
  <si>
    <t>SCUN CABLE SC-70</t>
  </si>
  <si>
    <t>SCUN CABLE SC-95</t>
  </si>
  <si>
    <t>SOCKET 3/4" TEKIRO 19-50 MM</t>
  </si>
  <si>
    <t>PERMANENT MARKER SNOWMAN G12</t>
  </si>
  <si>
    <t>PRINTER FUJIXEROX DOCUPRINT CM305DF</t>
  </si>
  <si>
    <t>EPOXY</t>
  </si>
  <si>
    <t>EXHAUST FAN 18"</t>
  </si>
  <si>
    <t>WATER FILTER</t>
  </si>
  <si>
    <t>FLOW METER</t>
  </si>
  <si>
    <t>FORM BAST</t>
  </si>
  <si>
    <t>FLOOR FINISH SCJOHNSON NEW COMPLETE</t>
  </si>
  <si>
    <t>SCJohnson Terrashine Hard Fl. Coating 4L</t>
  </si>
  <si>
    <t>TEA TONG TJI 250 GRM</t>
  </si>
  <si>
    <t>SUNLIGHT BOTTLE 750 GRM</t>
  </si>
  <si>
    <t>HANDWASH DETTOL BOTTLE</t>
  </si>
  <si>
    <t>HANDWASH DETTOL REFILL</t>
  </si>
  <si>
    <t>COFFEE GOOD DAY COFFEEMIX 30 PCS</t>
  </si>
  <si>
    <t>FORM GATE PASS 3PLY (GP-A135)</t>
  </si>
  <si>
    <t>FORM GATE PASS 4PLY (GP-A135)</t>
  </si>
  <si>
    <t>TERMINAL &amp; CONNECTOR 4MM PN. 513011BL</t>
  </si>
  <si>
    <t>CABLE TIES MASKO 5 X 300 MM</t>
  </si>
  <si>
    <t>PLASTIC BAG CLIP PE, SIZE 8 X 15 CM</t>
  </si>
  <si>
    <t>PLASTIC BAG CLIP PE, SIZE 13 X 20 CM</t>
  </si>
  <si>
    <t>PLASTIC BAG CLIP PE, SIZE 16 X 20 CM</t>
  </si>
  <si>
    <t>PLASTIC BAG CLIP PE, SIZE 18 X 25 CM</t>
  </si>
  <si>
    <t>PLASTIC BAG CLIP PE, SIZE 25 X 35 CM</t>
  </si>
  <si>
    <t>PHILIPS STARTER</t>
  </si>
  <si>
    <t>REDUCER PVC 3/4" TO 1/2"</t>
  </si>
  <si>
    <t>PIPE PVC 3/4</t>
  </si>
  <si>
    <t>SOCK PVC 3/4"</t>
  </si>
  <si>
    <t>TEE PVC 3/4"</t>
  </si>
  <si>
    <t>WATER FAUCET ONDA 1/2"</t>
  </si>
  <si>
    <t>FAUCET SOCK PVC 3/4"</t>
  </si>
  <si>
    <t>ELBOW PVC 3/4"</t>
  </si>
  <si>
    <t>STAMP PAD JOYKO</t>
  </si>
  <si>
    <t>PITMAN ARM MR592120</t>
  </si>
  <si>
    <t>FILTER PAPER</t>
  </si>
  <si>
    <t>ACCU WATER</t>
  </si>
  <si>
    <t>MILK FULL CREAM ENAK</t>
  </si>
  <si>
    <t>STAVOLT</t>
  </si>
  <si>
    <t>FIRE EXTINGUISER POWDER REFILL 1KG</t>
  </si>
  <si>
    <t>MATTRESS SMALL</t>
  </si>
  <si>
    <t>SPECALOG 2 PAGE A4 OMEGA 150G 100 BOOKS</t>
  </si>
  <si>
    <t>SPECALOG 2 PAGE A4 OMEGA 150G 500 BOOKS</t>
  </si>
  <si>
    <t>SPECALOG 8 PAGE A4 OMEGA 150G 200 BOOKS</t>
  </si>
  <si>
    <t>SPECALOG 8 PAGE A4 OMEGA 150G 300 BOOKS</t>
  </si>
  <si>
    <t>SPECALOG 8 PAGE A4 OMEGA 150G 1000 BOOKS</t>
  </si>
  <si>
    <t>SPECALOG 12 PAGE A4 OMEGA 150G 200 BOOKS</t>
  </si>
  <si>
    <t>SPECALOG 12 PAGE A4 OMEGA 150G 1000 BOOK</t>
  </si>
  <si>
    <t>HYDRAULIC OIL MOBILE DTE EXCEL 46</t>
  </si>
  <si>
    <t>STAPLES NIKKO 1210 HEAVY DUTY 3/8"</t>
  </si>
  <si>
    <t>SPIRAL CONDUIT 20MM</t>
  </si>
  <si>
    <t>SOCK CONDUIT 20MM</t>
  </si>
  <si>
    <t>BALL VALVE KITZ SIZE 1/2"</t>
  </si>
  <si>
    <t>DRAWER LOCK 808</t>
  </si>
  <si>
    <t>DRAWER LOCK SES 808</t>
  </si>
  <si>
    <t>PAPER INSULATION 1 INCH</t>
  </si>
  <si>
    <t>PAPER INSULATION 2 INCH</t>
  </si>
  <si>
    <t>SPECALOG 16 PAGE A4 OMEGA 150G 500 BOOKS</t>
  </si>
  <si>
    <t>SPECALOG 16 PAGE A4 OMEGA 150G 1000 BOOK</t>
  </si>
  <si>
    <t>SPECALOG 28 PAGE A4 OMEGA 150G 200 BOOKS</t>
  </si>
  <si>
    <t>SPECALOG 28 PAGE A4 OMEGA 150G 300 BOOKS</t>
  </si>
  <si>
    <t>TIRE SOLID SIZE 825 X 15</t>
  </si>
  <si>
    <t>TIRE SOLID SIZE 700 X 12</t>
  </si>
  <si>
    <t>PILLOW</t>
  </si>
  <si>
    <t>BOLSTER PILLOW</t>
  </si>
  <si>
    <t>BLANKET</t>
  </si>
  <si>
    <t>HOSE CLAMP</t>
  </si>
  <si>
    <t>LAMP PHILIPS HPLN 250W</t>
  </si>
  <si>
    <t>THINNER</t>
  </si>
  <si>
    <t>ELBOW M/F 1/2"</t>
  </si>
  <si>
    <t>NIPPLE 1/2"</t>
  </si>
  <si>
    <t>TEE 1/2"</t>
  </si>
  <si>
    <t>ADAPTER NIPPLE 1/2"</t>
  </si>
  <si>
    <t>HYDRAULIC HOSE</t>
  </si>
  <si>
    <t>COMBINATION LAMP</t>
  </si>
  <si>
    <t>OIL BRAKE</t>
  </si>
  <si>
    <t>BULB LAMP 12V / 24V</t>
  </si>
  <si>
    <t>ELECTROLITE BATTERY</t>
  </si>
  <si>
    <t>CONG R-DUST JHONSON WAX</t>
  </si>
  <si>
    <t>CARTRIDGE HP CE285A BLACK / HP 85A</t>
  </si>
  <si>
    <t>THREAD HOSE DELUXE 1"</t>
  </si>
  <si>
    <t>TIRE SOLID SIZE 650 X 10</t>
  </si>
  <si>
    <t>TIRE SOLID SIZE 600 X 9</t>
  </si>
  <si>
    <t>MILK UHT ULTRA MILK 250GR</t>
  </si>
  <si>
    <t>SOFTENER MOLTO REFILL 900GR</t>
  </si>
  <si>
    <t>KISPRAY REFILL</t>
  </si>
  <si>
    <t>WHITENING BAYCLIN 1000ML</t>
  </si>
  <si>
    <t>PORCELAIN CLEANSER VIXAL 800ML</t>
  </si>
  <si>
    <t>CLEANER SOS 800ML</t>
  </si>
  <si>
    <t>BED COVER KING SIZE 180 X 200</t>
  </si>
  <si>
    <t>BED COVER QUEEN SIZE 160 X 200</t>
  </si>
  <si>
    <t>(A) BED COVER SINGLE SIZE 120 X 200</t>
  </si>
  <si>
    <t>LAMP PHILIPS XL 23W</t>
  </si>
  <si>
    <t>LAMP PHILIPS XL 18W</t>
  </si>
  <si>
    <t>PIPE PVC 1"</t>
  </si>
  <si>
    <t>DOP TW 2</t>
  </si>
  <si>
    <t>BALL VALVE PVC 3/4"</t>
  </si>
  <si>
    <t>SOCKET 3/4"</t>
  </si>
  <si>
    <t>SOCKET 1"</t>
  </si>
  <si>
    <t>TEE 1"</t>
  </si>
  <si>
    <t>SOCKET AW 1X3/4"</t>
  </si>
  <si>
    <t>MASK DISPOSAL 3PLAY FACE MATE</t>
  </si>
  <si>
    <t>VALVE WATER DISPENSER</t>
  </si>
  <si>
    <t>PLYWOOD 3MM</t>
  </si>
  <si>
    <t>PAINT TRAY</t>
  </si>
  <si>
    <t>PLYWOOD 18MM</t>
  </si>
  <si>
    <t>PAINT ROLLER</t>
  </si>
  <si>
    <t>(A) TROLLEYS ROTATING 4T</t>
  </si>
  <si>
    <t>PICK-UP SET SCRIBER/PICK/HOOK MAG 70265</t>
  </si>
  <si>
    <t>RATCHET REV MALE 3/4" SQ DR 500MM</t>
  </si>
  <si>
    <t>DISPOSABLE NITRILE GLOVES SIZE M</t>
  </si>
  <si>
    <t>(A) WATER PUMP SANYO CAP. MEDIUM</t>
  </si>
  <si>
    <t>FORM PENGUJIAN SAMPLE</t>
  </si>
  <si>
    <t>MOP BUCKET OATES</t>
  </si>
  <si>
    <t>BROOM FLOOR (FIBERS)</t>
  </si>
  <si>
    <t>PUMP LITTLE GIANT 2-MD-HC PN. 10340017</t>
  </si>
  <si>
    <t>WOOD PALLET</t>
  </si>
  <si>
    <t>(A) TROLLEY</t>
  </si>
  <si>
    <t>PIPE DIA. 1 WAVIN TYPE AW</t>
  </si>
  <si>
    <t>NAIL SIZE 4"</t>
  </si>
  <si>
    <t>WOOD SIZE 5 X 10 X 3</t>
  </si>
  <si>
    <t>CABLE CLAMP SIZE BIG</t>
  </si>
  <si>
    <t>CREAM SOAP B29</t>
  </si>
  <si>
    <t>CONDOLENCE WREATH</t>
  </si>
  <si>
    <t>N1402</t>
  </si>
  <si>
    <t>WEDDING WREATH</t>
  </si>
  <si>
    <t>SOCKET IMPACT 1" SQ DR HEX AF 1 1/2"</t>
  </si>
  <si>
    <t>SOCKET IMPACT 1" SQUARE DRIVE HEX 36MM</t>
  </si>
  <si>
    <t>LIME WATER CLEANER</t>
  </si>
  <si>
    <t>CHLORINE WATER CLEANER</t>
  </si>
  <si>
    <t>ADAPTOR 3/8" DR 3/8" F-1/2"M SIDCH 19157</t>
  </si>
  <si>
    <t>ADAPTOR IMPACT 1" DR 1" F X 3/4" M</t>
  </si>
  <si>
    <t>HAMMER COOPER/COPPER THOR NO.A/308 25MM</t>
  </si>
  <si>
    <t>HAMMER BALL PEIN JBS HICKORY HANDLE 225G</t>
  </si>
  <si>
    <t>GRINDING WHEEL DIA. 14"</t>
  </si>
  <si>
    <t>PRINTER EPSON L210</t>
  </si>
  <si>
    <t>TORQUE MULTIPLIER NORBAR</t>
  </si>
  <si>
    <t>REFRIGERATED AIR DRYER SWAN MDL. SDE-08</t>
  </si>
  <si>
    <t>TIRE</t>
  </si>
  <si>
    <t>NIPPLE PENTIL</t>
  </si>
  <si>
    <t>OIL COMPRESSOR</t>
  </si>
  <si>
    <t>PISTON</t>
  </si>
  <si>
    <t>LOCKOUT / TAGOUT STATIONS</t>
  </si>
  <si>
    <t>CLAMP CONDUIT 20MM</t>
  </si>
  <si>
    <t>PLUG 3 PIN AC MK</t>
  </si>
  <si>
    <t>PIPE TUBING AC 1 1/2 PK</t>
  </si>
  <si>
    <t>SELECTOR SWITCH CLIPSAL 32A (56SW332)</t>
  </si>
  <si>
    <t>ELECTRIC TAPE 3M BLACK</t>
  </si>
  <si>
    <t>CABLE ETERNA NYM 4X4M - 50M</t>
  </si>
  <si>
    <t>SWITCH LAN 24 PORT</t>
  </si>
  <si>
    <t>CABLE ETERNA NYM 3X2.5MM - 100M</t>
  </si>
  <si>
    <t>T-DOZ CLIPSAL</t>
  </si>
  <si>
    <t>CHAIN BLOCK 2 TON</t>
  </si>
  <si>
    <t>LEVER BLOCK</t>
  </si>
  <si>
    <t>MAGNETIC PIN</t>
  </si>
  <si>
    <t>(A) CUPBOARD</t>
  </si>
  <si>
    <t>CARTRIDGE HP CZ637AA BLACK / HP 46</t>
  </si>
  <si>
    <t>CARTRIDGE HP CZ638AA COLOR / HP 46</t>
  </si>
  <si>
    <t>(A)SHELVING RACK BOSTINCO 2100X1000X600</t>
  </si>
  <si>
    <t>HEAVY DUTY RACK BOSTINCO 4000X2200X1000</t>
  </si>
  <si>
    <t>LV SPARE PARTS (SET)</t>
  </si>
  <si>
    <t>SHOWER SPRAY</t>
  </si>
  <si>
    <t>PAPER CUP (SET)</t>
  </si>
  <si>
    <t>PIPE SOCK 1/2" AV</t>
  </si>
  <si>
    <t>CLOTH TAPE DAIMARU 1" BLACK</t>
  </si>
  <si>
    <t>NN PAPER FLIPHART 65X100CM 80 GRAM (25)</t>
  </si>
  <si>
    <t>PERMANENT MARKER SNOWMAN 500</t>
  </si>
  <si>
    <t>PLASTIC GLASS</t>
  </si>
  <si>
    <t>STAPLER KANGARO HD-23S24</t>
  </si>
  <si>
    <t>KANGARO STAPLES 23/24 M SMALL BOX</t>
  </si>
  <si>
    <t>LAMP PHILIPS DOWNLIGHT 8W</t>
  </si>
  <si>
    <t>(A) WORKSTATION STAFF</t>
  </si>
  <si>
    <t>TIRE DP30 GT RADIAL SIZE 6.50-10</t>
  </si>
  <si>
    <t>TIRE TUBE DP30 GT RADIAL SIZE 6.50-10</t>
  </si>
  <si>
    <t>TIRE DP30 GT RADIAL SIZE 8.25-15</t>
  </si>
  <si>
    <t>TIRE TUBE DP60 GT RADIAL SIZE 8.25X9-15</t>
  </si>
  <si>
    <t>DESK CALENDARS</t>
  </si>
  <si>
    <t>FLEXIBLE FAUCET TOTO</t>
  </si>
  <si>
    <t>CELLULOSE TAPE PANFIX 2 INCH (DOUBLE BIG</t>
  </si>
  <si>
    <t>BOOK ENGINE REBUILD</t>
  </si>
  <si>
    <t>STICKER QUALITY CONTROL</t>
  </si>
  <si>
    <t>PLASTIC BAG CLIP PE, SIZE 30 X 40 CM</t>
  </si>
  <si>
    <t>PLASTIC BAG CLIP PE, SIZE 7 X 10 CM</t>
  </si>
  <si>
    <t>WALL CALENDARS</t>
  </si>
  <si>
    <t>POSTER CALENDARS</t>
  </si>
  <si>
    <t>STAND ASSEMBLY FOR ENGINE</t>
  </si>
  <si>
    <t>FRAME A3</t>
  </si>
  <si>
    <t>PAINT AVIAN 732</t>
  </si>
  <si>
    <t>REFILL CLEAR LENS UVEX</t>
  </si>
  <si>
    <t>(A) LAMINATING MACHINE</t>
  </si>
  <si>
    <t>PREASSURE CLEANER WASHMATE 10R-30H WM-15</t>
  </si>
  <si>
    <t>GRINDING POLISH DISC 6"</t>
  </si>
  <si>
    <t>TAG FACILITY SERVICE</t>
  </si>
  <si>
    <t>(A) ROLLING DOOR</t>
  </si>
  <si>
    <t>PLASTIC PP BOARD 10MM</t>
  </si>
  <si>
    <t>FISHER S6 C/W SCREW</t>
  </si>
  <si>
    <t>FISHER S8 C/W SCREW</t>
  </si>
  <si>
    <t>(A) FILING CABINET</t>
  </si>
  <si>
    <t>BATTERY GS 50A</t>
  </si>
  <si>
    <t>7-5800COV_SANITIZER AMENITIIES</t>
  </si>
  <si>
    <t>N0516</t>
  </si>
  <si>
    <t>ELBOW PIPE</t>
  </si>
  <si>
    <t>H70025, T120M/CV-450 CABLE TIE BLACK,</t>
  </si>
  <si>
    <t>DRUM INK EPSON B-510DN (T6190-TXBMB1)</t>
  </si>
  <si>
    <t>TAG - FIELD</t>
  </si>
  <si>
    <t>FLEXIBLE CONDUIT 20MM</t>
  </si>
  <si>
    <t>RUBBER MAT SIZE 100 X 150</t>
  </si>
  <si>
    <t>TISSUE UVEX</t>
  </si>
  <si>
    <t>SANDPAPER ABRASIVE 180</t>
  </si>
  <si>
    <t>PAINT REMOVER</t>
  </si>
  <si>
    <t>GRINDING PASTE</t>
  </si>
  <si>
    <t>CLOTH MASK</t>
  </si>
  <si>
    <t>SAFETY FLAG</t>
  </si>
  <si>
    <t>BUGGY WHIP 4MTR MODEL TELESCOPIC</t>
  </si>
  <si>
    <t>FRESHNER STELLA MATIC</t>
  </si>
  <si>
    <t>FLOOR CLEANER SUPER PELL</t>
  </si>
  <si>
    <t>PLASTIC GAUGE</t>
  </si>
  <si>
    <t>BATTERIES</t>
  </si>
  <si>
    <t>HAMMER</t>
  </si>
  <si>
    <t>TILES PRODUCTS</t>
  </si>
  <si>
    <t>CERAMICS PRODUCTS</t>
  </si>
  <si>
    <t>KING PIN</t>
  </si>
  <si>
    <t>CREAM COMPOUND 1L</t>
  </si>
  <si>
    <t>PIPE PVC</t>
  </si>
  <si>
    <t>BLUE PALLETS NPD</t>
  </si>
  <si>
    <t>MAGNETIC STICKER FOR LV</t>
  </si>
  <si>
    <t>DOCK RAMPS</t>
  </si>
  <si>
    <t>YELLOW BOXES</t>
  </si>
  <si>
    <t>STEEL SHEETS CUTTER</t>
  </si>
  <si>
    <t>KARCHER PRODUCTS</t>
  </si>
  <si>
    <t>(A) LOCKER</t>
  </si>
  <si>
    <t>EDMO PRODUCTS</t>
  </si>
  <si>
    <t>LAMP ROTARY ECCO 6720A</t>
  </si>
  <si>
    <t>MITUTOYO TOOLS PRODUCTS</t>
  </si>
  <si>
    <t>PROTO TOOLS PRODUCTS</t>
  </si>
  <si>
    <t>(A) TOOL BOXES</t>
  </si>
  <si>
    <t>PADLOCK 20MM</t>
  </si>
  <si>
    <t>PADLOCK 30MM</t>
  </si>
  <si>
    <t>PADLOCK 50MM</t>
  </si>
  <si>
    <t>CARTRIDGE HP CF280A BLACK / HP 80A</t>
  </si>
  <si>
    <t>DISHWASHING LIQUID MAMA LIME</t>
  </si>
  <si>
    <t>PORCELAIN CLEANER WPC</t>
  </si>
  <si>
    <t>GLASS CLEANER CIF</t>
  </si>
  <si>
    <t>SANDPAPER ABRASIVE 240</t>
  </si>
  <si>
    <t>SANDPAPER ABRASIVE 80</t>
  </si>
  <si>
    <t>N1801</t>
  </si>
  <si>
    <t>SANDPAPER ABRASIVE 150</t>
  </si>
  <si>
    <t>WIRE BRUSH</t>
  </si>
  <si>
    <t>SPOTCHECK DEVELOPER MAGNAFLUX SKD-S2</t>
  </si>
  <si>
    <t>SPOTCHECK CLEANER MAGNAFLUX SKC-S</t>
  </si>
  <si>
    <t>ADAPTER</t>
  </si>
  <si>
    <t>CUP BRUSH</t>
  </si>
  <si>
    <t>DUST PAN MASPION / LION</t>
  </si>
  <si>
    <t>HYDRAULIC CYLINDER</t>
  </si>
  <si>
    <t>CHLOROPRENE C. ADHESIVE LEM FOX 2.5 KG</t>
  </si>
  <si>
    <t>CAPACITOR 40 UF</t>
  </si>
  <si>
    <t>TAG - LIVE TESTING</t>
  </si>
  <si>
    <t>PIPE COUPLING GALVANIS SIZE 2"</t>
  </si>
  <si>
    <t>CONTAINER PLASTIC WITH LID TYPE 6000</t>
  </si>
  <si>
    <t>CONTAINER LID TYPE T-8000 FOR TYPE 8000</t>
  </si>
  <si>
    <t>PLASTIC WRAPPING CLINGWRAP SIZE 20 CM</t>
  </si>
  <si>
    <t>PLASTIC WRAPPING CLINGWRAP SIZE 30 CM</t>
  </si>
  <si>
    <t>PLASTIC WRAPPING CLINGWRAP SIZE 45 CM</t>
  </si>
  <si>
    <t>PLASTIC WRAPPING CLINGWRAP SIZE 60 CM</t>
  </si>
  <si>
    <t>PLASTIC COVER ENGINE (1 ROLL = 35 KG)</t>
  </si>
  <si>
    <t>PAINT AQUAPROOF DARK GREY 3030771 4LT</t>
  </si>
  <si>
    <t>PIPE STEEL 3/4</t>
  </si>
  <si>
    <t>STAND R-1 FRONT SUSPENSION</t>
  </si>
  <si>
    <t>DETERGENT RINSO 450GR / 430GR</t>
  </si>
  <si>
    <t>SANDPAPER ABRASIVE 280</t>
  </si>
  <si>
    <t>PAINT BRUSH 3" ETERNA</t>
  </si>
  <si>
    <t>RATCHET LASHING BELT WITH LOCK</t>
  </si>
  <si>
    <t>PNEUMATIC WRENCH GROUP (RAD 2000)</t>
  </si>
  <si>
    <t>REAMING TOOLING</t>
  </si>
  <si>
    <t>FLOOR POLISH CLEANER</t>
  </si>
  <si>
    <t>GREASE PUMPS</t>
  </si>
  <si>
    <t>(A) DIAGNOSTIC TOOLING</t>
  </si>
  <si>
    <t>BLOW BY TESTER TOOLS</t>
  </si>
  <si>
    <t>FIRE BALL PUMPS</t>
  </si>
  <si>
    <t>(A) PORTABLE GENSET</t>
  </si>
  <si>
    <t>MEASUREMENT TOOL</t>
  </si>
  <si>
    <t>FLAMMABLE CABINETS</t>
  </si>
  <si>
    <t>PUMPING SYSTEM</t>
  </si>
  <si>
    <t>(A) VACUUM CLEANERS</t>
  </si>
  <si>
    <t>CLEANING GROUP TOOLS</t>
  </si>
  <si>
    <t>SPREADER BAR/LIFTING TOOLS</t>
  </si>
  <si>
    <t>DEEP MICROMETERS</t>
  </si>
  <si>
    <t>EXTENSION HYTORC DRIVES</t>
  </si>
  <si>
    <t>PLASTIC CUP</t>
  </si>
  <si>
    <t>BEVERAGES - CHOCOLATE MILO SACHET 240'S</t>
  </si>
  <si>
    <t>TEA GUNUNG SATRIA 25'S</t>
  </si>
  <si>
    <t>FURNITURE POLISH SCJOHNSON LEMON PLEDGE</t>
  </si>
  <si>
    <t>TOILET BRUSH</t>
  </si>
  <si>
    <t>HANDSOAP 3.7 LTR</t>
  </si>
  <si>
    <t>CUSTOM RACK</t>
  </si>
  <si>
    <t>IMPACT</t>
  </si>
  <si>
    <t>CYLINDER PULLER</t>
  </si>
  <si>
    <t>(A) TORQUE WRENCHES</t>
  </si>
  <si>
    <t>DRESSING (KASA STERIL)</t>
  </si>
  <si>
    <t>LEUKOPLAST SIZE 1.25 CM</t>
  </si>
  <si>
    <t>MODULAR JACK AMP</t>
  </si>
  <si>
    <t>FACEPLATE AMP 1 HOLE</t>
  </si>
  <si>
    <t>CABLE DUCT 15 X 30</t>
  </si>
  <si>
    <t>HUB / SWITCH 8 PORT</t>
  </si>
  <si>
    <t>CABLE ETERNA NYYHY 3 X 1.5 MM</t>
  </si>
  <si>
    <t>SOCKET OUTLET 4 HOLE</t>
  </si>
  <si>
    <t>STEKER 2 PIN MASKO</t>
  </si>
  <si>
    <t>TOOLS TAP SET METRIC</t>
  </si>
  <si>
    <t>SPARE PART DYNAMOMETER</t>
  </si>
  <si>
    <t>CABLE TIES PROHEX 4580-125</t>
  </si>
  <si>
    <t>BRUSH WIRE BRASS</t>
  </si>
  <si>
    <t>GRINDING MACHINE (BENCH TYPE)</t>
  </si>
  <si>
    <t>SANDPAPER DISC</t>
  </si>
  <si>
    <t>WRENCHES</t>
  </si>
  <si>
    <t>HYDRAULIC PUMPS</t>
  </si>
  <si>
    <t>PUNCH BRASS</t>
  </si>
  <si>
    <t>TISSUE BOX LEATHER STANDART MEETING ROOM</t>
  </si>
  <si>
    <t>TRINGULAR BANDAGE</t>
  </si>
  <si>
    <t>AQUADEST</t>
  </si>
  <si>
    <t>STEKER 3 PIN AC MK</t>
  </si>
  <si>
    <t>SOCKET OUTLET 3 PIN AC MK</t>
  </si>
  <si>
    <t>DUCT TAPE AC</t>
  </si>
  <si>
    <t>CABLE ETERNA NYM 3X2.5MM</t>
  </si>
  <si>
    <t>CABLE ETERNA NYYHY 4 X 4 MTR</t>
  </si>
  <si>
    <t>BARRICADE TAPE 3" 300MTR YELLOW-BLACK</t>
  </si>
  <si>
    <t>CARTRIDGE FUJI XEROX BLACK DPP205</t>
  </si>
  <si>
    <t>WOOD SIZE 5 X 5 X 3</t>
  </si>
  <si>
    <t>LENS CLEANING STATION UVEX</t>
  </si>
  <si>
    <t>SANDPAPER ABRASIVE 400</t>
  </si>
  <si>
    <t>PLASTIC BAG CLIP PE, SIZE 17 X 11 CM</t>
  </si>
  <si>
    <t>PLASTIC BAG CLIP PE, SIZE 25 X 20 CM</t>
  </si>
  <si>
    <t>CABLE TIES 40CM</t>
  </si>
  <si>
    <t>BRUSH GRINDING</t>
  </si>
  <si>
    <t>SCRAPER PLASTIC</t>
  </si>
  <si>
    <t>ELECTRODE WELDING 2.6MM</t>
  </si>
  <si>
    <t>PLASTIC CANVAS SIZE 4 X 6 M</t>
  </si>
  <si>
    <t>PLASTIC CANVAS SIZE 17 X 11 M</t>
  </si>
  <si>
    <t>SUNLIGHT BOTTLE 800ML</t>
  </si>
  <si>
    <t>(A) FAN MASPION</t>
  </si>
  <si>
    <t>PAINT AQUAPROOF DARK GREY 3030771 20LT</t>
  </si>
  <si>
    <t>SOLDER WIRE 0.5 MM</t>
  </si>
  <si>
    <t>PRESSURE SWITCH</t>
  </si>
  <si>
    <t>SUGAR GULAKU SACHET</t>
  </si>
  <si>
    <t>LIQUEFIED PETROLEUM GAS 50 KG</t>
  </si>
  <si>
    <t>TEA POWDER 1000 GR</t>
  </si>
  <si>
    <t>MUNG BEAN DRINK ULTRA 250 GR</t>
  </si>
  <si>
    <t>MICROWAVE 60HZ</t>
  </si>
  <si>
    <t>BOILER</t>
  </si>
  <si>
    <t>GLASS WINDSHIELD PN. UH81-63-901D</t>
  </si>
  <si>
    <t>GPS TRACKER SUPERSPRING VT-90S</t>
  </si>
  <si>
    <t>DIGITAL MULTIMETERS TOOLS</t>
  </si>
  <si>
    <t>MEGGER (MEGA OHM METER) TEST</t>
  </si>
  <si>
    <t>DRIVE TOOLS</t>
  </si>
  <si>
    <t>BOOSTER CABLES</t>
  </si>
  <si>
    <t>PIPE CLAMP</t>
  </si>
  <si>
    <t>PIPE SOCK PVC 3/4"</t>
  </si>
  <si>
    <t>CABLE ETERNA NYY 3X1.5MM</t>
  </si>
  <si>
    <t>TIRE BRIDGESTONE 8.25-15 14PR</t>
  </si>
  <si>
    <t>WASTAFEL</t>
  </si>
  <si>
    <t>SPRAY GUN</t>
  </si>
  <si>
    <t>(A) DUST BIN ASHTRAY STAINLESS</t>
  </si>
  <si>
    <t>MATERIAL FOR R/M FACILITY</t>
  </si>
  <si>
    <t>SUN BRIM</t>
  </si>
  <si>
    <t>CLAMP BENDING 1/4"</t>
  </si>
  <si>
    <t>PLAT BENDING</t>
  </si>
  <si>
    <t>BOARD WOOD 2 X 10</t>
  </si>
  <si>
    <t>BOARD WOOD 2 X 20</t>
  </si>
  <si>
    <t>BEARING 6307ZZ</t>
  </si>
  <si>
    <t>PLASTIC BAG CLIP PE, SIZE 15 X 20 CM</t>
  </si>
  <si>
    <t>SANDPAPER ABRASIVE 320</t>
  </si>
  <si>
    <t>FLAGPOLE</t>
  </si>
  <si>
    <t>COVER BOOK PLASTIC A4 (100 SHT)</t>
  </si>
  <si>
    <t>AC POWER INVERTERS</t>
  </si>
  <si>
    <t>CONCORDE PAPER OFFICE A4 90GR WHI (250)</t>
  </si>
  <si>
    <t>TOHO LAMINATING PLASTIC ID CARD (100)</t>
  </si>
  <si>
    <t>BINDER RING BAMBI A4 2D 30MM 2122</t>
  </si>
  <si>
    <t>(A) AIR CONDITIONER 1.5 PK</t>
  </si>
  <si>
    <t>(A) AIR CONDITIONER 2,5 PK</t>
  </si>
  <si>
    <t>ROTARY LAMP</t>
  </si>
  <si>
    <t>N1606</t>
  </si>
  <si>
    <t>PLASTIC MIKA</t>
  </si>
  <si>
    <t>WELDING WIRE PRODUCTS</t>
  </si>
  <si>
    <t>ALCOHOL 70% 100ML</t>
  </si>
  <si>
    <t>FIRST AIDER GUIDE BOOK</t>
  </si>
  <si>
    <t>TOOLS TEMPERATURE CALIBRATOR</t>
  </si>
  <si>
    <t>AIR COMPRESSOR QUINCY 45 CFM</t>
  </si>
  <si>
    <t>ULTRASONIC</t>
  </si>
  <si>
    <t>TOOLS HANDHELD PRY BAR</t>
  </si>
  <si>
    <t>POWER SUPPLY</t>
  </si>
  <si>
    <t>HANDLE BAR</t>
  </si>
  <si>
    <t>STUDS</t>
  </si>
  <si>
    <t>AIR GRINDER</t>
  </si>
  <si>
    <t>PUNCH IRON</t>
  </si>
  <si>
    <t>LIFTING EQUIPMENTS</t>
  </si>
  <si>
    <t>WORKSHOP BENCHES</t>
  </si>
  <si>
    <t>(A) FREEZERS</t>
  </si>
  <si>
    <t>CYLINDER JACKS</t>
  </si>
  <si>
    <t>(A) HAND PALLETS</t>
  </si>
  <si>
    <t>MANUAL JACKS</t>
  </si>
  <si>
    <t>ELECTRIC PUMPS</t>
  </si>
  <si>
    <t>TOOLS FLUKE SERIES</t>
  </si>
  <si>
    <t>MEASURING TAPE / RULES TAPE (METERAN)</t>
  </si>
  <si>
    <t>BACK SUPPORT BELT S</t>
  </si>
  <si>
    <t>LAMP TOKI 500W</t>
  </si>
  <si>
    <t>(A) PAPER SHREDDER</t>
  </si>
  <si>
    <t>VACUUM TESTER</t>
  </si>
  <si>
    <t>FILLET RADIUS</t>
  </si>
  <si>
    <t>SAFETY GLASS KING'S KY 211 CLEAR LENS</t>
  </si>
  <si>
    <t>BREAKER BAR 1/4" DR 5-3/4</t>
  </si>
  <si>
    <t>EXTENSION TOOLS</t>
  </si>
  <si>
    <t>PLASTIC BAG CLIP PE, SIZE 10 X 7 CM</t>
  </si>
  <si>
    <t>PLASTIC BAG CLIP PE, SIZE 13 X 8.7 CM</t>
  </si>
  <si>
    <t>PLASTIC BAG CLIP PE, SIZE 24 X 16 CM</t>
  </si>
  <si>
    <t>(A) MOTOROLA RADIOS</t>
  </si>
  <si>
    <t>N1304</t>
  </si>
  <si>
    <t>PLATE BAR</t>
  </si>
  <si>
    <t>UNINTERRUPTIBLE POWER SUPPLY PROLINK</t>
  </si>
  <si>
    <t>USB WIFI ADAPTOR</t>
  </si>
  <si>
    <t>FUEL - BUTANE GAS</t>
  </si>
  <si>
    <t>PLASTIC TERPAULIN</t>
  </si>
  <si>
    <t>(A) FORKLIFT</t>
  </si>
  <si>
    <t>AGGREGATE STONES</t>
  </si>
  <si>
    <t>(A) LCD MONITORS &amp; SCREEN</t>
  </si>
  <si>
    <t>(A) CCTV CAMERA</t>
  </si>
  <si>
    <t>SCREW 4MM X 4CM</t>
  </si>
  <si>
    <t>"FACE SHIELD BLUE EAGLE TYPE FC48 CLR LN</t>
  </si>
  <si>
    <t>(A) LOCKER 9 DOOR KRISBOW KW17-202</t>
  </si>
  <si>
    <t>WELDING MATERIAL</t>
  </si>
  <si>
    <t>(A) STORAGE CONTAINER 20 FEET</t>
  </si>
  <si>
    <t>BROOM NAGATA</t>
  </si>
  <si>
    <t>MOP LION STAR</t>
  </si>
  <si>
    <t>MOP REFILL LION STAR</t>
  </si>
  <si>
    <t>PAINT SCRAPER (KAPE)</t>
  </si>
  <si>
    <t>KIKY BOOK HARD COVER SIZE F4 200 SHEET</t>
  </si>
  <si>
    <t>FIRE EXTINGUISER POWDER REFILL 9KG</t>
  </si>
  <si>
    <t>BUTTER COOKIES MONDE 484 GR</t>
  </si>
  <si>
    <t>BUTTER COOKIES MONDE 908 GR</t>
  </si>
  <si>
    <t>BATTERY</t>
  </si>
  <si>
    <t>TIE</t>
  </si>
  <si>
    <t>CHARCOAL</t>
  </si>
  <si>
    <t>FAN COOLING</t>
  </si>
  <si>
    <t>(A) WATER PUMP</t>
  </si>
  <si>
    <t>NOTA SMALL</t>
  </si>
  <si>
    <t>WIRELESS NETWORK CARD</t>
  </si>
  <si>
    <t>KEY BOX</t>
  </si>
  <si>
    <t>MOWERS PROWEL</t>
  </si>
  <si>
    <t>COLOR MAJUN</t>
  </si>
  <si>
    <t>N1705</t>
  </si>
  <si>
    <t>STICKER DECALS AD60F</t>
  </si>
  <si>
    <t>PAINT AVIAN 462</t>
  </si>
  <si>
    <t>PAINT NIPPON PAINT CREAM</t>
  </si>
  <si>
    <t>WATER SWITCH LEVEL</t>
  </si>
  <si>
    <t>STEEL WHEEL SIZE 6 INCH</t>
  </si>
  <si>
    <t>TISSUE PASSEO REFILL</t>
  </si>
  <si>
    <t>COFFEE AAA 250 GRAM</t>
  </si>
  <si>
    <t>STICKER CUTTING CAT LUBRICANTS</t>
  </si>
  <si>
    <t>CHAIN BLOCK SELLERY 1 TON</t>
  </si>
  <si>
    <t>WIRE</t>
  </si>
  <si>
    <t>BOARD WITH FRAME SIZE 43 X31 CM</t>
  </si>
  <si>
    <t>DRUM LID COVER GREASE 208 LTR</t>
  </si>
  <si>
    <t>DRUM LID COVER OIL 208 LTR</t>
  </si>
  <si>
    <t>PAINT KF-47 COLOR YELLOW</t>
  </si>
  <si>
    <t>PAINT KF-25 COLOR GREEN</t>
  </si>
  <si>
    <t>PAINT KF-34 COLOR RED</t>
  </si>
  <si>
    <t>PAINT KF-731 COLOR WHITE</t>
  </si>
  <si>
    <t>LIQUID RIVANOL 100 ML</t>
  </si>
  <si>
    <t>EYE DROPS BRAITO 5ML</t>
  </si>
  <si>
    <t>AC MODULE LG</t>
  </si>
  <si>
    <t>PIPE STEEL 4"</t>
  </si>
  <si>
    <t>WELDING ELECTRODES LB 3.2MM</t>
  </si>
  <si>
    <t>WELDING ELECTRODES LB 2.6MM</t>
  </si>
  <si>
    <t>WELDING ELECTRODES RD-460 2.0MM</t>
  </si>
  <si>
    <t>WELDING ELECTRODES RB 3.2MM</t>
  </si>
  <si>
    <t>WELDING ELECTRODES RB 2.6MM</t>
  </si>
  <si>
    <t>ELECTRIC PLUG BROCO</t>
  </si>
  <si>
    <t>CREAMER</t>
  </si>
  <si>
    <t>FABRICATED TOOL FOR BEARING CAMSHAFT</t>
  </si>
  <si>
    <t>LIQUEFIED PETROLEUM GAS 50KG REFILL</t>
  </si>
  <si>
    <t>(A) DRAWER CABINET</t>
  </si>
  <si>
    <t>EARMUFF 3M PELTOR OPTIME H7B</t>
  </si>
  <si>
    <t>SOCKET OUTLET BROCO 4 HOLE</t>
  </si>
  <si>
    <t>SILICONE SEALANT SUPER RED</t>
  </si>
  <si>
    <t>WELDING ELECTRODES 312 2.6MM</t>
  </si>
  <si>
    <t>INVITATION CARD</t>
  </si>
  <si>
    <t>TIRE GT RADIAL SAVERO 265/75 R16</t>
  </si>
  <si>
    <t>TIRE GT RADIAL SAVERO 245/75 R16</t>
  </si>
  <si>
    <t>CABLE ETERNA NYM 2X1.5MM</t>
  </si>
  <si>
    <t>EXHAUST FAN PANASONIC 14"</t>
  </si>
  <si>
    <t>MCB 10A</t>
  </si>
  <si>
    <t>PAINT NIPPON PAINT ROAD BLACK 5 KG</t>
  </si>
  <si>
    <t>BALLPOINT</t>
  </si>
  <si>
    <t>PAINT NIPPON PAINT ROAD YELLOW 5KG</t>
  </si>
  <si>
    <t>SPIRIT LEVEL (WATERPASS)</t>
  </si>
  <si>
    <t>DESK LAMP</t>
  </si>
  <si>
    <t>KETTLE JUG</t>
  </si>
  <si>
    <t>CABLE NYAF 1.5MM2 450/750 BLACK</t>
  </si>
  <si>
    <t>CABLE NYAF 1.5MM2 450/750 RED</t>
  </si>
  <si>
    <t>CABLE NYAF 1.5MM2 450/750 BLUE</t>
  </si>
  <si>
    <t>TRAKINDO LANYARD</t>
  </si>
  <si>
    <t>SCALE MODEL CAT 994F WHEEL LOADER</t>
  </si>
  <si>
    <t>BACKPACK CATERPILLAR</t>
  </si>
  <si>
    <t>NAME PLATE</t>
  </si>
  <si>
    <t>(A) PROJECTOR INFOCUS IN124</t>
  </si>
  <si>
    <t>FIRST AID BOX + CONT. SIZE: 50X30X14CM</t>
  </si>
  <si>
    <t>PARTITION</t>
  </si>
  <si>
    <t>SEAL S/WASH HUB W' PROOF P/N.10230014</t>
  </si>
  <si>
    <t>BEARING CUP &amp; CONE LARGE PN.10230030</t>
  </si>
  <si>
    <t>BEARING CUP &amp; CONE SMALL PN. 10230031</t>
  </si>
  <si>
    <t>SHORT PROBE ASSEMBLY PN.10902176</t>
  </si>
  <si>
    <t>LONG PROBE ASSEMBLY PN.10902177</t>
  </si>
  <si>
    <t>HOSE REEL CRAFT SGA 380 OLP 1/2" C/W 15M</t>
  </si>
  <si>
    <t>LEG TIP RUBBER WHITE 32MM</t>
  </si>
  <si>
    <t>CHEMETALL KLEEN STRIP B</t>
  </si>
  <si>
    <t>SOCKET OUTLET UTICON ST 138</t>
  </si>
  <si>
    <t>IMPULSE SEALER 40CM</t>
  </si>
  <si>
    <t>CENTIFUGE BOWL C/W LID SCREWS &amp; DOWEL</t>
  </si>
  <si>
    <t>BULB LAMP PHILIPS HPI BUS 400 WATT</t>
  </si>
  <si>
    <t>(A) CHAIR STAFF</t>
  </si>
  <si>
    <t>(A) CHAIR MANAGER</t>
  </si>
  <si>
    <t>(A) CHAIR GUEST</t>
  </si>
  <si>
    <t>CABLE SUPREME NYY 3 X 1.5</t>
  </si>
  <si>
    <t>WORK LAMP</t>
  </si>
  <si>
    <t>HOLLOW 50X50A</t>
  </si>
  <si>
    <t>HOLLOW 40X40A</t>
  </si>
  <si>
    <t>HOLLOW 20X20A</t>
  </si>
  <si>
    <t>ELBOW IRON 40X40</t>
  </si>
  <si>
    <t>CONCRETE IRON 8"</t>
  </si>
  <si>
    <t>FRESHNER STELLA SPRAY</t>
  </si>
  <si>
    <t>TIRE TUBE</t>
  </si>
  <si>
    <t>SHEET PROTECTOR SIZE A4</t>
  </si>
  <si>
    <t>FLAG INDONESIA RED&amp;WHITE 200X140CM</t>
  </si>
  <si>
    <t>ROPE FOR FLAG 2MM 18M</t>
  </si>
  <si>
    <t>PAINT FTALIT SUPERWHITE KF-731 5L</t>
  </si>
  <si>
    <t>SOCKET</t>
  </si>
  <si>
    <t>VALVE</t>
  </si>
  <si>
    <t>PLUG</t>
  </si>
  <si>
    <t>ALUM POWDER</t>
  </si>
  <si>
    <t>ABSENCE MACHINE TIME CLOCK</t>
  </si>
  <si>
    <t>N0105</t>
  </si>
  <si>
    <t>INSECT KILLER ELECTRIC BAYGON REFILL</t>
  </si>
  <si>
    <t>CREAM DETERGENT SOAP WINGS 100 GRAM</t>
  </si>
  <si>
    <t>CREAM DETERGENT SOAP WINGS 250 GRAM</t>
  </si>
  <si>
    <t>CREAM DETERGENT SOAP WINGS 500 GRAM</t>
  </si>
  <si>
    <t>FLOORCLOTH</t>
  </si>
  <si>
    <t>BALL VALVE KITZ SIZE 2"</t>
  </si>
  <si>
    <t>TRAINING AID</t>
  </si>
  <si>
    <t>N1901</t>
  </si>
  <si>
    <t>PRESSURE SWITCH SHIMIZU PS230BIT</t>
  </si>
  <si>
    <t>PAINT STEEL GLOSS BLACK</t>
  </si>
  <si>
    <t>MINERAL WATER DC GALLON 19 LITER</t>
  </si>
  <si>
    <t>PAINT STEEL GLOSS NC SUPER WHITE SC470</t>
  </si>
  <si>
    <t>PESTICIDES ICON 10 CS</t>
  </si>
  <si>
    <t>PAINT DANALAC LIGHT GREY 083-2626</t>
  </si>
  <si>
    <t>PAINT DANALAC MISTY GREY 083-6693</t>
  </si>
  <si>
    <t>FITTING LAMP TL36WATT</t>
  </si>
  <si>
    <t>SOFTENER MOLTO 800ML</t>
  </si>
  <si>
    <t>FLOOR CLEANER SO KLIN REFILL</t>
  </si>
  <si>
    <t>RIBS BROOM (SAPU LIDI)</t>
  </si>
  <si>
    <t>PLASTIC CARPET</t>
  </si>
  <si>
    <t>WELDING GLOVES</t>
  </si>
  <si>
    <t>SOAP DISPENSER TOTO TS125R</t>
  </si>
  <si>
    <t>CHAIN ELECTRIC GATE</t>
  </si>
  <si>
    <t>FLOOR CLEANER SO KLIN 4 LTR</t>
  </si>
  <si>
    <t>SMALL TOOL</t>
  </si>
  <si>
    <t>WHITE BOARD NON MAGNETIC 100 X 180</t>
  </si>
  <si>
    <t>PLASTIC PALLET STRAPPING</t>
  </si>
  <si>
    <t>ELECTRICITY INSULATION PN.054007061328</t>
  </si>
  <si>
    <t>AUTOSOL POLISH 50GR PN.8992745730200</t>
  </si>
  <si>
    <t>(A) EYEWASH PORTABLE TYPE HAWS</t>
  </si>
  <si>
    <t>LABEL LOTO</t>
  </si>
  <si>
    <t>COLOUR MAGNET JOYKO MN-30-5</t>
  </si>
  <si>
    <t>NAIL SIZE 1"</t>
  </si>
  <si>
    <t>SCREEN FIP WL01-13-VF5</t>
  </si>
  <si>
    <t>STARTING MOTOR GP WL91-18-400</t>
  </si>
  <si>
    <t>STAPLESS ETONA REFILL NO.10</t>
  </si>
  <si>
    <t>CABLE TIES (PACK)</t>
  </si>
  <si>
    <t>POINTER LASER PRESENTATION</t>
  </si>
  <si>
    <t>MASKER FILTER BLUE EAGLE RC 201</t>
  </si>
  <si>
    <t>FIRE EXTINGUISER POWDER REFILL 4.5KG</t>
  </si>
  <si>
    <t>ELBOW PVC 4"</t>
  </si>
  <si>
    <t>BALL VALVE KITZ SIZE 1 1/2"</t>
  </si>
  <si>
    <t>IRON AID RAPIKA REFILL</t>
  </si>
  <si>
    <t>BEVERAGES - ABC JUICE 250ML</t>
  </si>
  <si>
    <t>EYE DROPS INSTO 15ML</t>
  </si>
  <si>
    <t>BALM GELIGA 2GRM</t>
  </si>
  <si>
    <t>CABLE NYY 3 X 2.5 MM</t>
  </si>
  <si>
    <t>MOUNTING BOX</t>
  </si>
  <si>
    <t>SWITCH SINGLE</t>
  </si>
  <si>
    <t>OUTLET CLIPSAL</t>
  </si>
  <si>
    <t>SPRAY PAINT PYLOX GREEN</t>
  </si>
  <si>
    <t>EXTENSION CABLE 3 GAN</t>
  </si>
  <si>
    <t>INSECT KILLER HIT ELECTRIC REFILL</t>
  </si>
  <si>
    <t>LED TV 42 INCH</t>
  </si>
  <si>
    <t>TAG CARD</t>
  </si>
  <si>
    <t>VARNISH SPRAY</t>
  </si>
  <si>
    <t>OIL CAN</t>
  </si>
  <si>
    <t>FORK SCUN</t>
  </si>
  <si>
    <t>SAND FILTER</t>
  </si>
  <si>
    <t>PLASTIC WRAPPING SIZE 0.5X300M</t>
  </si>
  <si>
    <t>PLASTIC PACKING (REMAN) 2X25M DOUBLE</t>
  </si>
  <si>
    <t>ELECTRICAL OUTLET LEGRAND 1 PHASE</t>
  </si>
  <si>
    <t>LAMP PHILIPS ECOTONE 80W</t>
  </si>
  <si>
    <t>SCISSORS STANLEY</t>
  </si>
  <si>
    <t>DUST BIN SULO CAP. 120LT</t>
  </si>
  <si>
    <t>DUST BIN SULO CAP. 240LT</t>
  </si>
  <si>
    <t>FRAME POSTER</t>
  </si>
  <si>
    <t>SEAT COVER</t>
  </si>
  <si>
    <t>STICKER LV LABEL</t>
  </si>
  <si>
    <t>HEAD LAMP AOKI RECHARGE</t>
  </si>
  <si>
    <t>PLASTIC CHAIN</t>
  </si>
  <si>
    <t>THREADED UNION PN : 41285130 (42087098)</t>
  </si>
  <si>
    <t>CURTAIN</t>
  </si>
  <si>
    <t>N2102</t>
  </si>
  <si>
    <t>SIGN "AREA PEMBERSIHAN"</t>
  </si>
  <si>
    <t>(A) WASHING MACHINE</t>
  </si>
  <si>
    <t>TEA KOTAK ULTRA 250ML 24EA/CAR</t>
  </si>
  <si>
    <t>CABLE SUPREME NYYHY 3X1.5MM</t>
  </si>
  <si>
    <t>CABLE TIES 2.4 X 150 MM</t>
  </si>
  <si>
    <t>CYLINDER KEY LOCK SES</t>
  </si>
  <si>
    <t>LAMP PHILIPS TL-D 18W</t>
  </si>
  <si>
    <t>SUGAR SEMUT 1000G</t>
  </si>
  <si>
    <t>AIR DRYER</t>
  </si>
  <si>
    <t>DUST CLEANER OXFORD DD</t>
  </si>
  <si>
    <t>PAINT KANSAI PAINT BLACK</t>
  </si>
  <si>
    <t>PAINT DULUX WEATHERSHIELD 2.5 KG</t>
  </si>
  <si>
    <t>TAPE NASHUA 1"</t>
  </si>
  <si>
    <t>HOLLOW GALVANIS 4 X 4 X 1.2 MM</t>
  </si>
  <si>
    <t>PAINT KANSAI PAINT GREEN</t>
  </si>
  <si>
    <t>PLATE STEEL 3MM</t>
  </si>
  <si>
    <t>CABLE EXTRANA NYMHY 2 X 0.75MM</t>
  </si>
  <si>
    <t>WELDING SCREEN</t>
  </si>
  <si>
    <t>CARBONDIOXYDE (CO2)</t>
  </si>
  <si>
    <t>MOP KRISBOW KW 18-1360</t>
  </si>
  <si>
    <t>HAL MOP WITH HANDLE KRISBOW KW 18-1362</t>
  </si>
  <si>
    <t>MOBILE WATER PREASURE WASHER</t>
  </si>
  <si>
    <t>QUICK BREAK 600 EON</t>
  </si>
  <si>
    <t>WYPING WYPALL X70 KIMBERLY</t>
  </si>
  <si>
    <t>SEYTON 1090</t>
  </si>
  <si>
    <t>ROLLER BLIND</t>
  </si>
  <si>
    <t>WATER PREASURE WASHER SANCHIN SC-30</t>
  </si>
  <si>
    <t>CABLE VGA (METER)</t>
  </si>
  <si>
    <t>BELZONA 1111 R/M SUPER METAL (TMA 1082)</t>
  </si>
  <si>
    <t>SPRING</t>
  </si>
  <si>
    <t>NUT</t>
  </si>
  <si>
    <t>PAINT WALL COLOR WHITE PN. OW13</t>
  </si>
  <si>
    <t>PLATE LOGO TU (12X8CM)</t>
  </si>
  <si>
    <t>160 X 160 X 120MM CARTON BOXES S/W DIE</t>
  </si>
  <si>
    <t>270 X 220 X 210MM CARTON BOXES D/W</t>
  </si>
  <si>
    <t>350 X 350 X 270MM CARTON BOXES D/W</t>
  </si>
  <si>
    <t>470 X 360 X 360MM CARTON BOXES D/W</t>
  </si>
  <si>
    <t>BRAKE FLUID DOT 3</t>
  </si>
  <si>
    <t>GLUE SUPER GLUE</t>
  </si>
  <si>
    <t>SPOTCHECK SKL-SP 1 (PENETRANT)</t>
  </si>
  <si>
    <t>SEALCOAT CRC RED URETHANE</t>
  </si>
  <si>
    <t>SPRAY PAINT PYLOX</t>
  </si>
  <si>
    <t>PAINT DANALAC 083-3568 YELLOW</t>
  </si>
  <si>
    <t>BRUSH WIRE COOPER</t>
  </si>
  <si>
    <t>PAINT NIPPE HITAM 480</t>
  </si>
  <si>
    <t>PAINT NIPPE GREY 469T</t>
  </si>
  <si>
    <t>PAINT NIPPE BLUE 1013</t>
  </si>
  <si>
    <t>PAINT NIPPE RED 318T</t>
  </si>
  <si>
    <t>FIRE EXTINGUISER POWDER REFILL 5KG</t>
  </si>
  <si>
    <t>BATTERY ALKALINE 9V</t>
  </si>
  <si>
    <t>SPRAY PAINT PYLOX CLEAR</t>
  </si>
  <si>
    <t>GLASS BEAD NO.3</t>
  </si>
  <si>
    <t>GLASS BEAD NO.10</t>
  </si>
  <si>
    <t>FUEL - GASOLINE</t>
  </si>
  <si>
    <t>METAL POLISH BRASSO 100 ML</t>
  </si>
  <si>
    <t>WIRE CUP BRUSH KINIK 3"</t>
  </si>
  <si>
    <t>BRUSH SELLERY 2"</t>
  </si>
  <si>
    <t>BRUSH SELLERY DIA. 1.5"</t>
  </si>
  <si>
    <t>BRUSH SELLERY DIA. 2.5"</t>
  </si>
  <si>
    <t>CABLE TIES SIGMA 3/3.6 X 150</t>
  </si>
  <si>
    <t>CABLE TIES SIGMA 3 X 100 MM</t>
  </si>
  <si>
    <t>CABLE TIES SIGMA 4.8 X 300 MM</t>
  </si>
  <si>
    <t>CABLE TIES SIGMA 5 X 300 MM</t>
  </si>
  <si>
    <t>CABLE TIES SIGMA 7.6 X 300 MM</t>
  </si>
  <si>
    <t>CABLE TIES SIGMA 8 X 550 MM</t>
  </si>
  <si>
    <t>CABLE TIES SIGMA 9 X 550 MM</t>
  </si>
  <si>
    <t>HOSE CLAMP DIA. 1.5"</t>
  </si>
  <si>
    <t>HOSE CLAMP DIA. 1.25"</t>
  </si>
  <si>
    <t>HOSE CLAMP DIA. 1"</t>
  </si>
  <si>
    <t>HOSE CLAMP DIA. 2.5"</t>
  </si>
  <si>
    <t>HOSE CLAMP DIA. 2"</t>
  </si>
  <si>
    <t>HOSE CLAMP DIA. 3/4"</t>
  </si>
  <si>
    <t>HOSE CLAMP DIA. 3/8"</t>
  </si>
  <si>
    <t>HOSE CLAMP DIA. 5/8"</t>
  </si>
  <si>
    <t>HOSE CLAMP DIA. 7/8"</t>
  </si>
  <si>
    <t>CREAM DETERGENT SOAP WINGS 3KG</t>
  </si>
  <si>
    <t>METAL MARKER DALO</t>
  </si>
  <si>
    <t>CLEANER &amp; DEGREASER DRATHON 140</t>
  </si>
  <si>
    <t>ELECTRIC CONTACT CLEANER DRATHON 150</t>
  </si>
  <si>
    <t>HIGH GRADE PENETRATING OIL DRATHON 220</t>
  </si>
  <si>
    <t>POWDER DESCALER DRATHON 32</t>
  </si>
  <si>
    <t>CARBON REMOVER DRATHON 33</t>
  </si>
  <si>
    <t>CRACK DETECTOR DEVELOPER DRATHON 710 D</t>
  </si>
  <si>
    <t>CRACK DETECTOR PROBER DRATHON 710 P</t>
  </si>
  <si>
    <t>AIR CLEANER PN. MR239466</t>
  </si>
  <si>
    <t>TOILET CLEANER HARPIC</t>
  </si>
  <si>
    <t>TUBELESS TIRE VALVE</t>
  </si>
  <si>
    <t>MASKING TAPE NACHITAPE 2"</t>
  </si>
  <si>
    <t>MASKING TAPE NACHITAPE 1"</t>
  </si>
  <si>
    <t>INDONESIAN ELECTRICITY MAP</t>
  </si>
  <si>
    <t>CLEAN AND CLEAR PROVINCIAL MAP</t>
  </si>
  <si>
    <t>OPP PACKING TAPE 2" CLEAR</t>
  </si>
  <si>
    <t>FUSE</t>
  </si>
  <si>
    <t>WELDING ELECTRODES COR CI-A1 3.2 X 350MM</t>
  </si>
  <si>
    <t>SCAFFOLDING COMPONENTS</t>
  </si>
  <si>
    <t>DELIVERY UNIT FEEDBACK</t>
  </si>
  <si>
    <t>WELDING ELECTRODES LB 52 DIA. 4MM</t>
  </si>
  <si>
    <t>USB SERIAL CONVERTER</t>
  </si>
  <si>
    <t>HACKSAW BLADE SANDFLEX NO.18</t>
  </si>
  <si>
    <t>HACKSAW BLADE SANDFLEX NO.24</t>
  </si>
  <si>
    <t>MATERIAL GASKET TBA 1.6MM</t>
  </si>
  <si>
    <t>CENTERLINE CALIPER MITUTOYO 573-118-10</t>
  </si>
  <si>
    <t>NIPPLE 3/4"</t>
  </si>
  <si>
    <t>NOZZLE</t>
  </si>
  <si>
    <t>WELD NOZZLE BLANDER ACETYLENE NO.2</t>
  </si>
  <si>
    <t>PLASTIC TRASH BAG SIZE 60 X 100 CM</t>
  </si>
  <si>
    <t>PLASTIC TRASH BAG SIZE 80 X 100 CM</t>
  </si>
  <si>
    <t>SANDPAPER GRINDING DIA. 2"</t>
  </si>
  <si>
    <t>SANDPAPER ABRASIVE 120</t>
  </si>
  <si>
    <t>SCUN CABLE PANEL 50-10 MM</t>
  </si>
  <si>
    <t>CARTRIDGE HP CN045AA</t>
  </si>
  <si>
    <t>SCUN CABLE DIA. 6MM</t>
  </si>
  <si>
    <t>BRUSH WIRE STEEL</t>
  </si>
  <si>
    <t>CF CONTINUOUS FORM BLANK 3PLY 1000SET</t>
  </si>
  <si>
    <t>SPONGE POLYTEX</t>
  </si>
  <si>
    <t>ELECTRODE HOLDER TONG LOCK</t>
  </si>
  <si>
    <t>TISSUE ROLL SEE-U</t>
  </si>
  <si>
    <t>PIPE GALVANIS 2"</t>
  </si>
  <si>
    <t>DOUBLE NIPPLE 2"</t>
  </si>
  <si>
    <t>ELBOW PIPE 2"</t>
  </si>
  <si>
    <t>CHANNEL UNP IRON</t>
  </si>
  <si>
    <t>STRAPPING STAINLESS STEEL</t>
  </si>
  <si>
    <t>FLOOR BRUSH WITH HANDLE</t>
  </si>
  <si>
    <t>TUBE FUSE AC 13 AMP</t>
  </si>
  <si>
    <t>WELDING GLASS DARK LENS</t>
  </si>
  <si>
    <t>WELDING GLASS CLEAR LENS</t>
  </si>
  <si>
    <t>MILK DANCOW SACHET</t>
  </si>
  <si>
    <t>COFFEE NESCAFE SACHET</t>
  </si>
  <si>
    <t>(A) UNINTERRUPTIBLE POWER SUPPLY (UPS)</t>
  </si>
  <si>
    <t>POLYCARBONATE PROGRESSIVE LENS</t>
  </si>
  <si>
    <t>MICA PLATE SIZE 5 MM</t>
  </si>
  <si>
    <t>A.HYDRAULIC HAND STACKER KRISBOW KW05-85</t>
  </si>
  <si>
    <t>TANK</t>
  </si>
  <si>
    <t>BATTERY HT MOTOROLLA TANAPA PMUD1481D</t>
  </si>
  <si>
    <t>N1305</t>
  </si>
  <si>
    <t>BATTERY HT MOTOROLLA 7.2V NICKEL METAL</t>
  </si>
  <si>
    <t>ANTENA HT MOTOROLLA GP338</t>
  </si>
  <si>
    <t>PLUG 2 PIN UTICON S28</t>
  </si>
  <si>
    <t>FUTSAL BALL MIKASA</t>
  </si>
  <si>
    <t>VOLLEYBALL MIKASA</t>
  </si>
  <si>
    <t>BASKETBALL MIKASA</t>
  </si>
  <si>
    <t>FOOTBALL MIKASA</t>
  </si>
  <si>
    <t>ALUMUNIUM FOIL SIZE 14.5</t>
  </si>
  <si>
    <t>VOLLEYBALL NET</t>
  </si>
  <si>
    <t>PLASTIC BASKET</t>
  </si>
  <si>
    <t>PLASTIC CHAIR</t>
  </si>
  <si>
    <t>SPARE PARTS - OVERHEAD CRANE</t>
  </si>
  <si>
    <t>ROOF MATERIAL</t>
  </si>
  <si>
    <t>GYPSUM</t>
  </si>
  <si>
    <t>EARMUFF 3M PELTOR H10P3E</t>
  </si>
  <si>
    <t>RUBBER BAND (KARET GELANG)</t>
  </si>
  <si>
    <t>COUPON MEAL REQUEST</t>
  </si>
  <si>
    <t>DIGITAL CALIPER MITUTOYO 500-196-20</t>
  </si>
  <si>
    <t>DIGIMATIC MICROMETER MITUTOYO 340-251-10</t>
  </si>
  <si>
    <t>DIAL INDICATOR MITUTOYO 2110S-10</t>
  </si>
  <si>
    <t>DIAL BORE GAGE MITUTOYO 511-723</t>
  </si>
  <si>
    <t>(A) GEAR PAPER SHREDDER TYPE S-025</t>
  </si>
  <si>
    <t>PLYWOOD 5MM</t>
  </si>
  <si>
    <t>ELECTRICAL OUTLET AC SPLIT</t>
  </si>
  <si>
    <t>HEAVY DUTY APRON 17AL 56-411</t>
  </si>
  <si>
    <t>CAP RUBBER DST 15326</t>
  </si>
  <si>
    <t>PRESSURE GAUGE SIZE 2.5"</t>
  </si>
  <si>
    <t>LATCH KIT 13MM YOKE</t>
  </si>
  <si>
    <t>LATCH KIT 7-8MM YOKE</t>
  </si>
  <si>
    <t>BEARING &amp; SEALING SET AF08 PN. 241867</t>
  </si>
  <si>
    <t>ELECTRIC INSECT KILLER RACKET</t>
  </si>
  <si>
    <t>CABINET KEY</t>
  </si>
  <si>
    <t>STICKER CERTIFIED CALIBRATION</t>
  </si>
  <si>
    <t>PAINT MARKER SNOWMAN WP-12 WHITE</t>
  </si>
  <si>
    <t>FORM SURAT PERINTAH LEMBUR</t>
  </si>
  <si>
    <t>BOOK (SET)</t>
  </si>
  <si>
    <t>(A) LADDER</t>
  </si>
  <si>
    <t>RELAY</t>
  </si>
  <si>
    <t>SOLVENT DEGREASER MOTTOCHEM CLEAN 800</t>
  </si>
  <si>
    <t>PAINT REMOVER PLASTIC MOTTOCHEM 3040P</t>
  </si>
  <si>
    <t>(A) BARCODE READER</t>
  </si>
  <si>
    <t>SANDPAPER ABRASIVE ROLL GRADE 240</t>
  </si>
  <si>
    <t>GAS HIGH PREASURE HI-COOK 220 GRAM</t>
  </si>
  <si>
    <t>ELECTRICAL TAPE 0.13MMX19MMX20MM</t>
  </si>
  <si>
    <t>STAPLES MAX T3-10MB</t>
  </si>
  <si>
    <t>MILK POWDER DANCOW WHITE 400GR</t>
  </si>
  <si>
    <t>MOP DESTEC</t>
  </si>
  <si>
    <t>MOP DESTEC REFILL</t>
  </si>
  <si>
    <t>SMALL TRAY</t>
  </si>
  <si>
    <t>THERMOS</t>
  </si>
  <si>
    <t>PRAYER RUG SIZE 6 MTR</t>
  </si>
  <si>
    <t>CUSTOM SHIRT</t>
  </si>
  <si>
    <t>N0403</t>
  </si>
  <si>
    <t>TOOL CART 300KG KW05422</t>
  </si>
  <si>
    <t>LAMP HALOPIKA 65W</t>
  </si>
  <si>
    <t>FACE PLATE + MODULATOR PLUS</t>
  </si>
  <si>
    <t>CABLE SCUN</t>
  </si>
  <si>
    <t>SAFETY SHOE KRUSHER JENIFFER 214082</t>
  </si>
  <si>
    <t>PLAMUR</t>
  </si>
  <si>
    <t>ZINC</t>
  </si>
  <si>
    <t>WIRELESS N150 USB ADAPTER D-LINK DWA-123</t>
  </si>
  <si>
    <t>ANALGESIC BALM COUNTERPAIN 60 GR</t>
  </si>
  <si>
    <t>CABLE TIES NYLON 5 X 300MM</t>
  </si>
  <si>
    <t>CABLE TIES NYLON 7.2 X 500MM</t>
  </si>
  <si>
    <t>GRINDING WHEEL NIPPON RESIBON</t>
  </si>
  <si>
    <t>CUT OF WHEEL SUPER CUT RESIBON</t>
  </si>
  <si>
    <t>LUBRICATES MD-60 469ML</t>
  </si>
  <si>
    <t>PLASTIC BAG 1 KG</t>
  </si>
  <si>
    <t>SUNLIGHT BOTTLE 200 ML</t>
  </si>
  <si>
    <t>SILICONE SEALANT THREEBOND</t>
  </si>
  <si>
    <t>ELECTRIC ENGRAVER KW07-726</t>
  </si>
  <si>
    <t>PUSH BUTTON SCHNEIDER XAL-K174</t>
  </si>
  <si>
    <t>BATTERY GS TYPE NS70 65AH</t>
  </si>
  <si>
    <t>FIRST AID MEDICAL KIT</t>
  </si>
  <si>
    <t>PIN TIE ROD 1/8 X 1"</t>
  </si>
  <si>
    <t>EXTRA FAN AC 24V</t>
  </si>
  <si>
    <t>RUBBER HAND GLOVE</t>
  </si>
  <si>
    <t>BENCH VISE 8"</t>
  </si>
  <si>
    <t>(A) WATER HEATER</t>
  </si>
  <si>
    <t>INNER TUBE SIZE 700-12</t>
  </si>
  <si>
    <t>SELENOID VALVE</t>
  </si>
  <si>
    <t>LAMP TRAFO</t>
  </si>
  <si>
    <t>CABLE NYY</t>
  </si>
  <si>
    <t>ELBOW IRON</t>
  </si>
  <si>
    <t>PUMP PUSH BUTTON ON/OFF</t>
  </si>
  <si>
    <t>CAT SAFETY SHOE ARGON LOW CT</t>
  </si>
  <si>
    <t>FLASHLIGHT SWAT</t>
  </si>
  <si>
    <t>GARDEN LAMP TYPE TO-2-TL WHITE COLOR</t>
  </si>
  <si>
    <t>BEVERAGES - MINUTE MAID PULPY ORANGE</t>
  </si>
  <si>
    <t>HOSE SPIRAL KW1200275</t>
  </si>
  <si>
    <t>CABLE TIES 200MM</t>
  </si>
  <si>
    <t>CABLE TIES 300MM</t>
  </si>
  <si>
    <t>CABLE TIES 450MM</t>
  </si>
  <si>
    <t>ELECTRICAL CONTACT CLEANER UZZIEL 101</t>
  </si>
  <si>
    <t>INSULATING VARNISH UZZIEL 013</t>
  </si>
  <si>
    <t>SPOT FINDER CLEANER UZZIEL 210</t>
  </si>
  <si>
    <t>SPOT FINDER RED PENETRANT UZZIEL 211</t>
  </si>
  <si>
    <t>SPOT FINDER DEVELOPER UZZIEL 212</t>
  </si>
  <si>
    <t>PIPE PVC 4"</t>
  </si>
  <si>
    <t>GUTTER COVER</t>
  </si>
  <si>
    <t>DUST BIN CLEAN CAP. 15LT</t>
  </si>
  <si>
    <t>DUST BIN CLEAN CAP. 20LT</t>
  </si>
  <si>
    <t>CF CONTINUOUS FORM BLANK 5PLY</t>
  </si>
  <si>
    <t>JUMBO ROLL DISPENSER WYPALL</t>
  </si>
  <si>
    <t>ELBOW PVC 6"</t>
  </si>
  <si>
    <t>TIRE REAR DP25 BRIDGESTONE SIZE 6.00-09</t>
  </si>
  <si>
    <t>WATER DIPPER STAINLESS</t>
  </si>
  <si>
    <t>RUST REMOVER UZZIEL 051</t>
  </si>
  <si>
    <t>WRENCH PIPE</t>
  </si>
  <si>
    <t>WALL FAN</t>
  </si>
  <si>
    <t>LIMIT SWITCH</t>
  </si>
  <si>
    <t>DRIVE EXTENSION</t>
  </si>
  <si>
    <t>ACCU ZUUR</t>
  </si>
  <si>
    <t>SULFURIC ACID H2SO4 N 1</t>
  </si>
  <si>
    <t>SULFURIC ACID H2SO4 N 0.1</t>
  </si>
  <si>
    <t>DUST BIN BASKET</t>
  </si>
  <si>
    <t>CABLE LAN UTP AMP CAT.5E</t>
  </si>
  <si>
    <t>SWITCH 8 PORT TP-LINK TL-SF1008D</t>
  </si>
  <si>
    <t>MULTI CLEANER &amp; DEGREASER OSBOND 365</t>
  </si>
  <si>
    <t>HEAVY DUTY CLEANER OSBOND 970</t>
  </si>
  <si>
    <t>PORTABLE OXYGEN BAR</t>
  </si>
  <si>
    <t>TWEEZERS (PINSET)</t>
  </si>
  <si>
    <t>ECONO SHEARS MEDICAL SCISSOR</t>
  </si>
  <si>
    <t>CUSTOMIZED TRAKINDO CAT CAPS</t>
  </si>
  <si>
    <t>SANDPAPER ABRASIVE 1 1/2</t>
  </si>
  <si>
    <t>POWER INVERTER 500 WATT TBE</t>
  </si>
  <si>
    <t>INK REFILL PERMANENT MARKER.</t>
  </si>
  <si>
    <t>WALL CLOCK</t>
  </si>
  <si>
    <t>PIPE PVC 1 1/4"</t>
  </si>
  <si>
    <t>STAMP DATE TRODAT 4810</t>
  </si>
  <si>
    <t>HEATER NON CHEMICAL CAP PN. KHNC4-380</t>
  </si>
  <si>
    <t>LOWER AIR KIT PN. 1593623</t>
  </si>
  <si>
    <t>IRON BAR</t>
  </si>
  <si>
    <t>RADIO TRUNKING CHARGER MOTOROLA</t>
  </si>
  <si>
    <t>GPS TRACKER SUPERSPRING VT-90E</t>
  </si>
  <si>
    <t>PULSA</t>
  </si>
  <si>
    <t>SUGAR 1000 GR</t>
  </si>
  <si>
    <t>TEA SOSRO ISI 30</t>
  </si>
  <si>
    <t>COFFEE OBOR 1000 GR</t>
  </si>
  <si>
    <t>TISSUE TOILET ROLL MULTI 10 ROLL</t>
  </si>
  <si>
    <t>TISSUE MULTI 900 GR</t>
  </si>
  <si>
    <t>COFFEE GOOD DAY CAPPUCINO 100'S</t>
  </si>
  <si>
    <t>SARI KACANG HIJAU KOTAK ABC 250ML</t>
  </si>
  <si>
    <t>BATTERY MAXELL CR2032 3V</t>
  </si>
  <si>
    <t>HANDLE SLIDING T 3/4" PN. 5686</t>
  </si>
  <si>
    <t>SMART CARD</t>
  </si>
  <si>
    <t>(A) SPARE PART PROJECTOR</t>
  </si>
  <si>
    <t>(A) SOFA</t>
  </si>
  <si>
    <t>BUNK BED</t>
  </si>
  <si>
    <t>DRUM OIL DISPENSER MOBILE</t>
  </si>
  <si>
    <t>TAG - FIRE EXTINGUISHER</t>
  </si>
  <si>
    <t>GLOVES</t>
  </si>
  <si>
    <t>CHAIN SLING</t>
  </si>
  <si>
    <t>TRANSISTOR</t>
  </si>
  <si>
    <t>STAMP ARTLINE PAD INKCOLOR: BLUE</t>
  </si>
  <si>
    <t>HEAD RACHET 1” PN. 161-3973</t>
  </si>
  <si>
    <t>SPIDER KIT PN.MR232151</t>
  </si>
  <si>
    <t>GAUGE</t>
  </si>
  <si>
    <t>ELECTRICAL TAPE</t>
  </si>
  <si>
    <t>N2104</t>
  </si>
  <si>
    <t>RADIANT HEATER</t>
  </si>
  <si>
    <t>GRINDING WHEEL</t>
  </si>
  <si>
    <t>CLEANER FLOOR SO KLIN 900ML</t>
  </si>
  <si>
    <t>CONNECTOR VGA</t>
  </si>
  <si>
    <t>C'SUNK SCREW PN. 1127701</t>
  </si>
  <si>
    <t>PLASTIC PALLET NPD 1212</t>
  </si>
  <si>
    <t>PLASTIC PALLET NPD 1210</t>
  </si>
  <si>
    <t>(A) STEAM CLEANER PORTABLE</t>
  </si>
  <si>
    <t>HEX POINT KEY</t>
  </si>
  <si>
    <t>SPRING NO.3 MR992595</t>
  </si>
  <si>
    <t>CUTTER MICA</t>
  </si>
  <si>
    <t>SILICON RED PN.650</t>
  </si>
  <si>
    <t>SEAL KIT</t>
  </si>
  <si>
    <t>NOTE PAPER MEMO WHITE</t>
  </si>
  <si>
    <t>SOAP NOBLA</t>
  </si>
  <si>
    <t>BISCUIT KHONG GUAN</t>
  </si>
  <si>
    <t>PANTRY - KNIFE</t>
  </si>
  <si>
    <t>PANTRY - FORK</t>
  </si>
  <si>
    <t>8 YEARS - DESK CLOCK SERVICE YEAR AWARD</t>
  </si>
  <si>
    <t>N2901</t>
  </si>
  <si>
    <t>32 YEARS - GOLD HELMET SERVICE YEARS AWA</t>
  </si>
  <si>
    <t>PAINT FTALIT LEMON YELLOW 1KG</t>
  </si>
  <si>
    <t>ARMATURE</t>
  </si>
  <si>
    <t>CARBON BRUSH</t>
  </si>
  <si>
    <t>SOLENOID</t>
  </si>
  <si>
    <t>BEARING</t>
  </si>
  <si>
    <t>MANIFOLD DIGITAL GAUGE</t>
  </si>
  <si>
    <t>3MXT REACTION ARM</t>
  </si>
  <si>
    <t>JIGSAW (NON ASSET)</t>
  </si>
  <si>
    <t>POLO SHIRT</t>
  </si>
  <si>
    <t>PLASTIC GALLON CAP</t>
  </si>
  <si>
    <t>UMBRELLA FOLDING "TRAKINDO"</t>
  </si>
  <si>
    <t>UMBRELLA STANDART "TRAKINDO"</t>
  </si>
  <si>
    <t>SAFETY GLASS CIG TYPE 13CIG 165</t>
  </si>
  <si>
    <t>CEMENT NUT</t>
  </si>
  <si>
    <t>AIR CLEANER PN. 17801-61030</t>
  </si>
  <si>
    <t>UMBRELLA GOLF "TRAKINDO"</t>
  </si>
  <si>
    <t>SPARE PARTS - COMPRESSOR</t>
  </si>
  <si>
    <t>SMOOTH BRUSH WITH HANDLE</t>
  </si>
  <si>
    <t>SANDPAPER RUGGED GRADE 220</t>
  </si>
  <si>
    <t>PLASTIC BAG HD SIZE 35 X 55 CM</t>
  </si>
  <si>
    <t>BIOPLACENTON 15GRM</t>
  </si>
  <si>
    <t>TROMBOPHOP GEL</t>
  </si>
  <si>
    <t>SAFETY PIN (PENITI)</t>
  </si>
  <si>
    <t>HANDYPLAST</t>
  </si>
  <si>
    <t>MITELLA (PEMBALUT SEGITIGA)</t>
  </si>
  <si>
    <t>FLAG "TRAKINDO UTAMA"</t>
  </si>
  <si>
    <t>ANTISEPTIC SALVE</t>
  </si>
  <si>
    <t>ROPE NYLON 10MM</t>
  </si>
  <si>
    <t>ANTISEPTIC SOLUTION</t>
  </si>
  <si>
    <t>STERILIZED EYE DROPS</t>
  </si>
  <si>
    <t>ANALGESIC BALM COUNTERPAIN 30 GR</t>
  </si>
  <si>
    <t>SANDPAPER NIKKEN P400</t>
  </si>
  <si>
    <t>OIL CAP KIT PN. 101117786</t>
  </si>
  <si>
    <t>BUSHING STABILIZER MR150757</t>
  </si>
  <si>
    <t>STRAPPING SEAL</t>
  </si>
  <si>
    <t>SAFETY GOOGLES</t>
  </si>
  <si>
    <t>N1804</t>
  </si>
  <si>
    <t>GYPSUM BOARD - GRC</t>
  </si>
  <si>
    <t>N2002</t>
  </si>
  <si>
    <t>PLASTIC PALLET NPL 1210</t>
  </si>
  <si>
    <t>SIGN WALL RENTAL STORE</t>
  </si>
  <si>
    <t>CONTAINER PLASTIC RABBIT TYPE 5000</t>
  </si>
  <si>
    <t>RIBBON</t>
  </si>
  <si>
    <t>REFILL FIRST AID BOX FIBER</t>
  </si>
  <si>
    <t>CABLE TIES NYLON 2.5 X 150MM</t>
  </si>
  <si>
    <t>PIPE PVC RUCIKA 2"</t>
  </si>
  <si>
    <t>BALL VALVE PVC 2"</t>
  </si>
  <si>
    <t>TEE PVC 2"</t>
  </si>
  <si>
    <t>PIPE TEE PVC CONNECTOR 2" TO 1"</t>
  </si>
  <si>
    <t>FORM SHIPPING LIST MANUAL - COUNTER (N)</t>
  </si>
  <si>
    <t>FORM SHIPPING LIST MANUAL - SHOP (N)</t>
  </si>
  <si>
    <t>FITTING HOSE APAR 50 KG</t>
  </si>
  <si>
    <t>ELBOW PVC 1"</t>
  </si>
  <si>
    <t>PIPE PVC BALL VALVE 1"</t>
  </si>
  <si>
    <t>ELBOW PVC 2"</t>
  </si>
  <si>
    <t>FREON DUPONT R410A</t>
  </si>
  <si>
    <t>ROYAL PURPLE OIL SYNFILM</t>
  </si>
  <si>
    <t>ANCHOR SHACKLES</t>
  </si>
  <si>
    <t>WIRE ROPE</t>
  </si>
  <si>
    <t>PIPE PVC 1/2"</t>
  </si>
  <si>
    <t>BALL VALVE PVC 1/2"</t>
  </si>
  <si>
    <t>ELBOW PVC 1/2"</t>
  </si>
  <si>
    <t>TEE PVC 1/2"</t>
  </si>
  <si>
    <t>AIR HOSE</t>
  </si>
  <si>
    <t>CONNECTING HOSE</t>
  </si>
  <si>
    <t>CHISEL</t>
  </si>
  <si>
    <t>PRESSURE GAUGE</t>
  </si>
  <si>
    <t>EXHAUST FAN</t>
  </si>
  <si>
    <t>CONDUIT CLIPSAL</t>
  </si>
  <si>
    <t>ELBOW CONDUIT CLIPSAL</t>
  </si>
  <si>
    <t>BED SIZE SINGLE</t>
  </si>
  <si>
    <t>SHOWER SPRAY SAN-EI</t>
  </si>
  <si>
    <t>(A) WORKBENCH ALMIK AKB-WBDP 33</t>
  </si>
  <si>
    <t>CLAMP SIZE 20MM</t>
  </si>
  <si>
    <t>PRESCRIPTION SAFETY GLASSES RX-206</t>
  </si>
  <si>
    <t>FORM SERVICE REPORT FORM 01-084391-11</t>
  </si>
  <si>
    <t>PAPER BAG</t>
  </si>
  <si>
    <t>PLYWOOD 4MM</t>
  </si>
  <si>
    <t>ZIPLOCK 3" X 4" (100'S/PKT)</t>
  </si>
  <si>
    <t>ZIPLOCK 4" X 6"  (100'S/PKT)</t>
  </si>
  <si>
    <t>ZIPLOCK 6" X 9" (100'S/PKT)</t>
  </si>
  <si>
    <t>REGULAR PLASTIC BAGS 3" X 4"</t>
  </si>
  <si>
    <t>LB</t>
  </si>
  <si>
    <t>REGULAR PLASTIC BAGS 4" X 6"</t>
  </si>
  <si>
    <t>REGULAR PLASTIC BAGS 6" X 9"</t>
  </si>
  <si>
    <t>REGULAR PLASTIC BAGS 10" X 16"</t>
  </si>
  <si>
    <t>LAMP VISALUX 28W</t>
  </si>
  <si>
    <t>STICKER "EMERGENCY" 9X3 CM</t>
  </si>
  <si>
    <t>SAFETY BELT</t>
  </si>
  <si>
    <t>STICKER SIGN "OLD PARTS EXAMPLE"</t>
  </si>
  <si>
    <t>STICKER SIGN "OLD PARTS AREA"</t>
  </si>
  <si>
    <t>EXSTICK PH METER IP57 PH100</t>
  </si>
  <si>
    <t>TRANSMITAL ADVICE 3PLY @100LBR/PC</t>
  </si>
  <si>
    <t>FIRE EXTINGUISER POWDER REFILL 3KG</t>
  </si>
  <si>
    <t>SIGN "WARNING WET FLOOR"</t>
  </si>
  <si>
    <t>STICKER KOROSIF 10CM X 10CM</t>
  </si>
  <si>
    <t>PANTRY - STANILESS GLASS COVER</t>
  </si>
  <si>
    <t>SILICONE FLAZZ 300ML</t>
  </si>
  <si>
    <t>BRUSH ROLL</t>
  </si>
  <si>
    <t>PAINT DANALAC MADORA BROWN 245-2773</t>
  </si>
  <si>
    <t>SOCK PVC 2"</t>
  </si>
  <si>
    <t>SOCK PVC 1"</t>
  </si>
  <si>
    <t>3M AEARO E-A-R ULTRAFIT EAR PLUG</t>
  </si>
  <si>
    <t>CUTTING NOZZLE PN. 306048</t>
  </si>
  <si>
    <t>AIR HOSE REEL 15M KRISBOW PN. KW1200236</t>
  </si>
  <si>
    <t>SPRING BED SUPERLAND PURITY 120X200CM</t>
  </si>
  <si>
    <t>CYLINDER CLUTH PN. 31470-60161</t>
  </si>
  <si>
    <t>FLAP SIZE 8.25-15</t>
  </si>
  <si>
    <t>FUEL PUMP PN. 056200-0582</t>
  </si>
  <si>
    <t>DETTOL ANTISEPTIC LIQUID</t>
  </si>
  <si>
    <t>BETADINE ANTISEPTIC SOLUTION</t>
  </si>
  <si>
    <t>RESPIRATOR MASK CARTRIDGE RC 203</t>
  </si>
  <si>
    <t>EYE WASH GLASS</t>
  </si>
  <si>
    <t>PLASTER</t>
  </si>
  <si>
    <t>WALLFAN (NON ASSET)</t>
  </si>
  <si>
    <t>PLASTIC WRAPPING CLINGWRAP SIZE 50 CM</t>
  </si>
  <si>
    <t>COVER CONTAINER PLASTIC BOX 7099</t>
  </si>
  <si>
    <t>RIVET</t>
  </si>
  <si>
    <t>STRETCH FILM HAND ROLL 500MMX2.MICX300M</t>
  </si>
  <si>
    <t>BOLT NUT 80X20MM</t>
  </si>
  <si>
    <t>(A) SMART TV SAMSUNG 40"</t>
  </si>
  <si>
    <t>SMART TV 60"</t>
  </si>
  <si>
    <t>DIGITAL EARTH TESTER KYORITSU 4105A</t>
  </si>
  <si>
    <t>TIME ATTENDANCE CARD</t>
  </si>
  <si>
    <t>AMBI PUR REFILL</t>
  </si>
  <si>
    <t>CABLE ELECTRIC HELA</t>
  </si>
  <si>
    <t>RELAY BOSCH</t>
  </si>
  <si>
    <t>HOLLOW BRICK</t>
  </si>
  <si>
    <t>CHOPPING KNIFE (PARANG)</t>
  </si>
  <si>
    <t>GRASS CUTTER</t>
  </si>
  <si>
    <t>WHEEL CUTTER</t>
  </si>
  <si>
    <t>ENTRANCE MAT</t>
  </si>
  <si>
    <t>BOARD KALSIBOARD 4MM</t>
  </si>
  <si>
    <t>CONTACT TIP DIA 1.2MM</t>
  </si>
  <si>
    <t>CONTACT TIP DIA 1.6MM</t>
  </si>
  <si>
    <t>GAS DIFFUSER</t>
  </si>
  <si>
    <t>CHINESE NEW YEAR CARD 2018 #7505</t>
  </si>
  <si>
    <t>REFRIGRATION R22</t>
  </si>
  <si>
    <t>PAINT DANAGLOSS NC BLACK 245-0026</t>
  </si>
  <si>
    <t>SPECALOG 4 PAGE A4 OMEGA 150G 1000 BOOKS</t>
  </si>
  <si>
    <t>SEAL TAPE SIZE 2 INCH</t>
  </si>
  <si>
    <t>BUMP CAP BLUE EAGLE</t>
  </si>
  <si>
    <t>HAMMER KRISBOW</t>
  </si>
  <si>
    <t>WOOD SIZE 8 X 12 X 400 CM</t>
  </si>
  <si>
    <t>RUBBER MATS ANTISLIP</t>
  </si>
  <si>
    <t>REPAIR KIT</t>
  </si>
  <si>
    <t>CHAIN BLOCK</t>
  </si>
  <si>
    <t>WHEEL CHOCKE</t>
  </si>
  <si>
    <t>SPERIAN EYE WASH</t>
  </si>
  <si>
    <t>FAUCET</t>
  </si>
  <si>
    <t>BRASS GERINDA</t>
  </si>
  <si>
    <t>WATER TAP</t>
  </si>
  <si>
    <t>HAND RIVETER</t>
  </si>
  <si>
    <t>ELECTRICAL OUTLET</t>
  </si>
  <si>
    <t>OUTLET LEGRAND</t>
  </si>
  <si>
    <t>FITTING LAMP</t>
  </si>
  <si>
    <t>JUICE ABC KACANG IJO</t>
  </si>
  <si>
    <t>DUSTER (KEMOCENG)</t>
  </si>
  <si>
    <t>HAND CLEANER FAST ORANGE</t>
  </si>
  <si>
    <t>PLASTIC DOUBLE CLEAR 5" (GUNA COR SEMEN)</t>
  </si>
  <si>
    <t>(A) TV LED 32"</t>
  </si>
  <si>
    <t>HOOK LANYARD SOS</t>
  </si>
  <si>
    <t>ROTARY LAMP PRECO 4263 12-48 VDC</t>
  </si>
  <si>
    <t>FEATHER DUSTER</t>
  </si>
  <si>
    <t>LOBBY DUSTER 60CM</t>
  </si>
  <si>
    <t>GLASS WIPER (FOR WINDOW)</t>
  </si>
  <si>
    <t>HEAVY DUTY DEGREASER NEW SAVER - 853</t>
  </si>
  <si>
    <t>WASTE BASKET</t>
  </si>
  <si>
    <t>CARPET TOILET</t>
  </si>
  <si>
    <t>DUST BIN KRISBOW KW1801050 GREEN 240L</t>
  </si>
  <si>
    <t>DUST BIN KRISBOW KW1801052 BLUE 240L</t>
  </si>
  <si>
    <t>DUST BIN KRISBOW KW1801053 GREY 240L</t>
  </si>
  <si>
    <t>TORCH LIGHT "CAT"</t>
  </si>
  <si>
    <t>FORM DAILY INSPECTION REPORT</t>
  </si>
  <si>
    <t>CLIPSAL PIPE PVC 9020 M</t>
  </si>
  <si>
    <t>PIC BAND (PAPER TAPE)</t>
  </si>
  <si>
    <t>KASA HYDR STERIL 16/16 KH</t>
  </si>
  <si>
    <t>BOARD WOOD</t>
  </si>
  <si>
    <t>COPPER HAMMER 2 KG</t>
  </si>
  <si>
    <t>BRASS HAMMER IWT 1 KG</t>
  </si>
  <si>
    <t>FREON KLEA R134A</t>
  </si>
  <si>
    <t>FIRST AID BAG</t>
  </si>
  <si>
    <t>MEDICAL LATEX EXAM. GLOVES SENSI</t>
  </si>
  <si>
    <t>FIRST AID BOOK</t>
  </si>
  <si>
    <t>N0210</t>
  </si>
  <si>
    <t>CASH BOX</t>
  </si>
  <si>
    <t>CONTACT CLEANER PHILIPS 390CCS</t>
  </si>
  <si>
    <t>PLASTIC WRAPPING SIZE 25 CM</t>
  </si>
  <si>
    <t>CABLE TIES 150MM</t>
  </si>
  <si>
    <t>SCISSOR STAINLESS STEEL 12.5 CM</t>
  </si>
  <si>
    <t>CAJUPUT OIL (MINYAK KAYU PUTIH) 120ML</t>
  </si>
  <si>
    <t>FLASHLIGHT EVEREADY EV 244 SW</t>
  </si>
  <si>
    <t>SPOTLIGHT ZETALUX 500 WATT</t>
  </si>
  <si>
    <t>TENSIMETER</t>
  </si>
  <si>
    <t>CUTTING DISC 5"</t>
  </si>
  <si>
    <t>(A) RADIO RIG ICOM 2300</t>
  </si>
  <si>
    <t>ANTENNA RADIO</t>
  </si>
  <si>
    <t>(A) LUNCH BUFFET</t>
  </si>
  <si>
    <t>SUPPORT TOOLS</t>
  </si>
  <si>
    <t>BOLT / SCREW</t>
  </si>
  <si>
    <t>GLOVES JACKSON G40 - LATEX</t>
  </si>
  <si>
    <t>WHEEL NUT INDOCATOR TIPE CUP 21MM</t>
  </si>
  <si>
    <t>POCARY SWEET 350ML</t>
  </si>
  <si>
    <t>MINIMUM EXPORT CHARGE</t>
  </si>
  <si>
    <t>N1006</t>
  </si>
  <si>
    <t>LIMIT SWITCH MATTSON PN. M200-222</t>
  </si>
  <si>
    <t>DRILL BIT DIA. 4MM STELL</t>
  </si>
  <si>
    <t>DRILL BIT DIA. 6MM STELL</t>
  </si>
  <si>
    <t>PIPE PVC 6"</t>
  </si>
  <si>
    <t>REDUCER PVC 2" TO 1 1/2"</t>
  </si>
  <si>
    <t>SOCK PVC 1 1/2" OUTER TREAD</t>
  </si>
  <si>
    <t>PAINT WATERPROOF NO DROP</t>
  </si>
  <si>
    <t>TOWEL MAT</t>
  </si>
  <si>
    <t>DOOR HINGES</t>
  </si>
  <si>
    <t>STYROFOAM</t>
  </si>
  <si>
    <t>STOP KRAN UK. 3/4</t>
  </si>
  <si>
    <t>TIRE BRIDGESTONE 28 X 9 R15</t>
  </si>
  <si>
    <t>SLIDING KRISBOW T BAR SQ3/4IN KW0100488</t>
  </si>
  <si>
    <t>AIR HOSE REEL KRISBOW KW1200236</t>
  </si>
  <si>
    <t>PAINTS OSBON 45 F</t>
  </si>
  <si>
    <t>FORM P2H CRANE TRUCK</t>
  </si>
  <si>
    <t>WELDING JACKET</t>
  </si>
  <si>
    <t>FLAG COLOR (UMBUL-UMBUL)</t>
  </si>
  <si>
    <t>CABLE NYM 4X4MM SUPREME</t>
  </si>
  <si>
    <t>CHALK STEEL</t>
  </si>
  <si>
    <t>OIL FILTER PN.1230 A 045 A</t>
  </si>
  <si>
    <t>FLAG K3</t>
  </si>
  <si>
    <t>ROUTERS TP LINK WIRELESS 3000mbps</t>
  </si>
  <si>
    <t>CAPACITOR</t>
  </si>
  <si>
    <t>WHEELS</t>
  </si>
  <si>
    <t>ELECTRICAL TAGGING</t>
  </si>
  <si>
    <t>ELECTRIC VOLTAGE TESTER PEN (TEST PEN)</t>
  </si>
  <si>
    <t>FABRICATION TOOL</t>
  </si>
  <si>
    <t>CARPET FLOOR</t>
  </si>
  <si>
    <t>GLUE FOX 70GR</t>
  </si>
  <si>
    <t>(A) LED TV LG 24 INCH</t>
  </si>
  <si>
    <t>PLATE STEEL 5MM</t>
  </si>
  <si>
    <t>PIPE STEEL 2"</t>
  </si>
  <si>
    <t>VISES/RAGUM 100MM</t>
  </si>
  <si>
    <t>PLASTIC SIMONA (MILK COLOR) TICKNES:10MM</t>
  </si>
  <si>
    <t>INFRARED FLUX</t>
  </si>
  <si>
    <t>AUTOMATIC SPRAY PERFUME HELES REFILL</t>
  </si>
  <si>
    <t>FRAME PHOTO</t>
  </si>
  <si>
    <t>FORM OFF. RECEIPT W/ SECURITY INK (N)</t>
  </si>
  <si>
    <t>SCOTCH BRITE WIPRO MARRON</t>
  </si>
  <si>
    <t>BRACKET TV FLEXIBLE</t>
  </si>
  <si>
    <t>SOCK PVC 1/2" INNER TREAD</t>
  </si>
  <si>
    <t>ENGINE OIL</t>
  </si>
  <si>
    <t>THINNER SUPER 3.75 LTR</t>
  </si>
  <si>
    <t>CHEMICAL MASK</t>
  </si>
  <si>
    <t>DETERGENT RINSO ANTI NODA 1.4 KG</t>
  </si>
  <si>
    <t>GLASS MICA 5 MM</t>
  </si>
  <si>
    <t>SILICONE GLUE CLEAR</t>
  </si>
  <si>
    <t>GUN SILICONE GLUE</t>
  </si>
  <si>
    <t>WIRE SLING 12 MM</t>
  </si>
  <si>
    <t>CLAMP BENDING 1/2"</t>
  </si>
  <si>
    <t>WEBBING SLING 3 TON X 6 MTR</t>
  </si>
  <si>
    <t>TRACKER PULLER 3 FOOT</t>
  </si>
  <si>
    <t>WATER GUN CLEANER</t>
  </si>
  <si>
    <t>SEALER</t>
  </si>
  <si>
    <t>VARNISH</t>
  </si>
  <si>
    <t>PLYWOOD 15MM</t>
  </si>
  <si>
    <t>STICKER PRODUCT LINK WATER PROOF 5X2.5CM</t>
  </si>
  <si>
    <t>PCB</t>
  </si>
  <si>
    <t>DUST BIN</t>
  </si>
  <si>
    <t>VISES/RAGUM 250 MM</t>
  </si>
  <si>
    <t>SAFETY LINE 100 M (MTR)</t>
  </si>
  <si>
    <t>CARBONS PAPER GLOBE</t>
  </si>
  <si>
    <t>HAND PUMP</t>
  </si>
  <si>
    <t>BRAKE FLUID DOT3, 300ML PN. ML150003</t>
  </si>
  <si>
    <t>COVER CABLE TRAY 100X50MM</t>
  </si>
  <si>
    <t>SILICA GEL</t>
  </si>
  <si>
    <t>SANDBLAST WINDOW</t>
  </si>
  <si>
    <t>PLAFOND</t>
  </si>
  <si>
    <t>GLASSBOARD</t>
  </si>
  <si>
    <t>(A) BAR CHAIR</t>
  </si>
  <si>
    <t>BACKDROP</t>
  </si>
  <si>
    <t>PLASTIC FILM BLACK COLOR 40%</t>
  </si>
  <si>
    <t>LED PILOT LAMP RED</t>
  </si>
  <si>
    <t>DUST BIN CAP. 100L</t>
  </si>
  <si>
    <t>LED PILOT LAMP YELLOW</t>
  </si>
  <si>
    <t>LED PILOT LAMP GREEN</t>
  </si>
  <si>
    <t>SWITCH ELEMENT SED2Z.20E2S PN. 257378</t>
  </si>
  <si>
    <t>FLASHLIGHT ENERGIZER LED METAL 55 LUMENS</t>
  </si>
  <si>
    <t>KIMCARE KIMBERLY 3700 ML ORANGE</t>
  </si>
  <si>
    <t>ARTLINE MARKER PERMANENT 70 BULLET TIP</t>
  </si>
  <si>
    <t>SEAL KIT OUTRIGGER CLNDR PN.3709981 0537</t>
  </si>
  <si>
    <t>PIPE GALVANIS MEDIUM A 1/2"</t>
  </si>
  <si>
    <t>SOCK GALVANIS 1/2"</t>
  </si>
  <si>
    <t>PAINT AVIAN (1LT)</t>
  </si>
  <si>
    <t>PAPER CUTTER</t>
  </si>
  <si>
    <t>COVER CABLE TRAY 100X100MM</t>
  </si>
  <si>
    <t>FLASHBACK ARRESTOR F/ REGULATOR</t>
  </si>
  <si>
    <t>CYLINDER KIT PN. 04479-60030</t>
  </si>
  <si>
    <t>AIR QUICK COUPLER</t>
  </si>
  <si>
    <t>CART (ARCO)</t>
  </si>
  <si>
    <t>FLOOR CLEANER</t>
  </si>
  <si>
    <t>BUCKET</t>
  </si>
  <si>
    <t>TRAY</t>
  </si>
  <si>
    <t>ROUND CLIP</t>
  </si>
  <si>
    <t>JUMPER 3 PHASE</t>
  </si>
  <si>
    <t>CHALK WELD</t>
  </si>
  <si>
    <t>FACE SHIELD P/N : 10115836</t>
  </si>
  <si>
    <t>GRINDING STONE</t>
  </si>
  <si>
    <t>HEAD LAMP</t>
  </si>
  <si>
    <t>PLASTIC FUNNEL</t>
  </si>
  <si>
    <t>BRUSH</t>
  </si>
  <si>
    <t>PAINT JOTUN</t>
  </si>
  <si>
    <t>SEAL TAPE 1/2</t>
  </si>
  <si>
    <t>EMERGENCY LAMP</t>
  </si>
  <si>
    <t>TEE STEKER</t>
  </si>
  <si>
    <t>BALL JOINT UPPER PN. 43310-09015</t>
  </si>
  <si>
    <t>GATE PREASURE</t>
  </si>
  <si>
    <t>FREON R 22</t>
  </si>
  <si>
    <t>LAMP HALOGEN</t>
  </si>
  <si>
    <t>MCB 3 PHASE 32A</t>
  </si>
  <si>
    <t>TUBE</t>
  </si>
  <si>
    <t>WHITEBOARD</t>
  </si>
  <si>
    <t>REMOTE TV UNIVERSAL</t>
  </si>
  <si>
    <t>UMBRELLA</t>
  </si>
  <si>
    <t>ACRYLIC</t>
  </si>
  <si>
    <t>CABLE ETERNA NYM 2X2.5MM - 100M</t>
  </si>
  <si>
    <t>CABLE NYAF</t>
  </si>
  <si>
    <t>CABLE NYM</t>
  </si>
  <si>
    <t>CIRCUIT BREAKER</t>
  </si>
  <si>
    <t>DETERGENT DAIA 360GR</t>
  </si>
  <si>
    <t>DRUM (AFTER USED/SECOND)</t>
  </si>
  <si>
    <t>DURAND CHEMICAL</t>
  </si>
  <si>
    <t>ELECTRIC PLUG</t>
  </si>
  <si>
    <t>ELECTRIC SOCKET</t>
  </si>
  <si>
    <t>GLUE ARALDITE</t>
  </si>
  <si>
    <t>HEAVY DUTY FLOOR WIPER/WATER WIPER</t>
  </si>
  <si>
    <t>POWER BANK</t>
  </si>
  <si>
    <t>TERMINAL 3 HOLES</t>
  </si>
  <si>
    <t>CERAMIC 30 X 30 CM</t>
  </si>
  <si>
    <t>CUTTING WHEEL 4"</t>
  </si>
  <si>
    <t>WORK STATION NAME TAG WITH HOLDER</t>
  </si>
  <si>
    <t>OSBOND 679 POWDER DECARBONIZER</t>
  </si>
  <si>
    <t>FISCHER S.6</t>
  </si>
  <si>
    <t>BRANCHES CUTTER MACHINE</t>
  </si>
  <si>
    <t>ZINC PLAT</t>
  </si>
  <si>
    <t>BREATHER DC-2 PC</t>
  </si>
  <si>
    <t>KLEENGUARD-A40 LIQUID &amp; PARTICLE PROTECT</t>
  </si>
  <si>
    <t>CUTTING MACHINE 14 INCHI</t>
  </si>
  <si>
    <t>EXTRA MICROPHONE ICOM TYPE IC-V80</t>
  </si>
  <si>
    <t>HOSE ASSY</t>
  </si>
  <si>
    <t>KAPI 3" INCH</t>
  </si>
  <si>
    <t>FLAT FILE (KIKIR PLAT)</t>
  </si>
  <si>
    <t>BATTERY MAXELL LR44</t>
  </si>
  <si>
    <t>PAPER FLIPCHART</t>
  </si>
  <si>
    <t>STRIP'S PLATE</t>
  </si>
  <si>
    <t>BOX PIPE</t>
  </si>
  <si>
    <t>ALUMINIUM PLATE</t>
  </si>
  <si>
    <t>MOSQUITO OUSTING</t>
  </si>
  <si>
    <t>CANOPI URINOIR TOTO 57MM</t>
  </si>
  <si>
    <t>BOX PAINT</t>
  </si>
  <si>
    <t>PIPE 2"</t>
  </si>
  <si>
    <t>HOE</t>
  </si>
  <si>
    <t>DRUM WITH COVER</t>
  </si>
  <si>
    <t>OIL ABSORBENT SKU.42411</t>
  </si>
  <si>
    <t>BOOKLET P2H SECURITY 2 PLY</t>
  </si>
  <si>
    <t>TEE PN.31830-25090</t>
  </si>
  <si>
    <t>BEARING RODA FR PN.50KW01</t>
  </si>
  <si>
    <t>WHEEL CYLINDER MC 832754</t>
  </si>
  <si>
    <t>WIPER LINK MR 109454</t>
  </si>
  <si>
    <t>TARPULIN</t>
  </si>
  <si>
    <t>CABLE ETERNA NYYHY 3 X 2.5 MM</t>
  </si>
  <si>
    <t>STAND</t>
  </si>
  <si>
    <t>SOCKET OUTLET 2 PIN MK</t>
  </si>
  <si>
    <t>RATCHET PROTO P/N: 5249</t>
  </si>
  <si>
    <t>EXTENSION 3" PROTO P/N: 5260</t>
  </si>
  <si>
    <t>EXTENSION 6 PROTO P/N: 5260-06</t>
  </si>
  <si>
    <t>BRONZE HAMMER NON SPARKLING</t>
  </si>
  <si>
    <t>GOLDBAR 5 GRAM</t>
  </si>
  <si>
    <t>SCISSOR</t>
  </si>
  <si>
    <t>BISCUIT OREO</t>
  </si>
  <si>
    <t>BISCUIT CRISPY</t>
  </si>
  <si>
    <t>CHAMPHOR TOILET SWALLOW COLOUR BALL</t>
  </si>
  <si>
    <t>HORIZONTAL BLIND</t>
  </si>
  <si>
    <t>SHOCK FR MB 025383</t>
  </si>
  <si>
    <t>SHOCK RR PN 6803</t>
  </si>
  <si>
    <t>GREASE ROTARY</t>
  </si>
  <si>
    <t>PIPE TUBING 1/2 - 1/4</t>
  </si>
  <si>
    <t>MASKING TAPE ARMAPEX</t>
  </si>
  <si>
    <t>REFRIGERATOR TOSHIBA GR-N199GH</t>
  </si>
  <si>
    <t>N95 DUST MIST W/VALVE KW10-507</t>
  </si>
  <si>
    <t>METAL SPRAY 181P</t>
  </si>
  <si>
    <t>SCALE MODEL CAT 777D OFF-HIGHWAY TRUCK</t>
  </si>
  <si>
    <t>PRONTO STICK NOTES</t>
  </si>
  <si>
    <t>BATTERY HANDY TALKIE MOTOROLLA</t>
  </si>
  <si>
    <t>GREASE</t>
  </si>
  <si>
    <t>PLASTIC HDPE NO.28</t>
  </si>
  <si>
    <t>PLASTIC HDPE NO.35</t>
  </si>
  <si>
    <t>HOLDER DOCUMENT</t>
  </si>
  <si>
    <t>SAFETY PADLOCK MASTER LOCK 410 GREEN CLR</t>
  </si>
  <si>
    <t>BATTERY TADIRAN LITHIUM 3.6V 1/2 AA</t>
  </si>
  <si>
    <t>TIRE DUNLOP 185/65 R15</t>
  </si>
  <si>
    <t>TRANSPARENT PLASTIC FILM CORTEC VPCI-126</t>
  </si>
  <si>
    <t>LATCH</t>
  </si>
  <si>
    <t>REFERENCE RACK</t>
  </si>
  <si>
    <t>REGULATOR OXYGEN</t>
  </si>
  <si>
    <t>OIL SEPARATOR</t>
  </si>
  <si>
    <t>DRILL BIT</t>
  </si>
  <si>
    <t>LAN TESTER</t>
  </si>
  <si>
    <t>HAND PUMP OIL</t>
  </si>
  <si>
    <t>L-KEY STARS</t>
  </si>
  <si>
    <t>SCREWDRIVER PUNCH</t>
  </si>
  <si>
    <t>VALVE SIZE 1/2"</t>
  </si>
  <si>
    <t>IRON SIZE 10MM</t>
  </si>
  <si>
    <t>PIPE GALVANIS 3/4"</t>
  </si>
  <si>
    <t>DOUBLE NIPPLE 1"</t>
  </si>
  <si>
    <t>MULTIFOLD TISSUE</t>
  </si>
  <si>
    <t>TOILET SEAT CLEANER</t>
  </si>
  <si>
    <t>DISPENSER TISSUE</t>
  </si>
  <si>
    <t>HOSE WATER 3/4"</t>
  </si>
  <si>
    <t>HOSE WATER 1 1/4"</t>
  </si>
  <si>
    <t>CABLE TIES INSULOK 250MM</t>
  </si>
  <si>
    <t>CABLE TIES INSULOK 150MM</t>
  </si>
  <si>
    <t>CABLE TIES INSULOK 390MM</t>
  </si>
  <si>
    <t>CABLE TIES INSULOK 465MM</t>
  </si>
  <si>
    <t>WASHING APRON</t>
  </si>
  <si>
    <t>NITRILE CHEMICAL GLOVES JACKSON G80</t>
  </si>
  <si>
    <t>NAME DESK</t>
  </si>
  <si>
    <t>DOOR CLOSER</t>
  </si>
  <si>
    <t>BEVERAGES - CHOCOLATE MILO 300GR</t>
  </si>
  <si>
    <t>NAME TAG</t>
  </si>
  <si>
    <t>HANGING BANNER</t>
  </si>
  <si>
    <t>PLASTIC BAG CLIP PE SIZE 10X 15</t>
  </si>
  <si>
    <t>PLASTIC BAG CLIP PE SIZE 15 X 25</t>
  </si>
  <si>
    <t>PLASTIC BAG CLIP PE SIZE 8 X 10</t>
  </si>
  <si>
    <t>FORM CHECK LIST PER DAY</t>
  </si>
  <si>
    <t>MINERAL WATER AQUA BOTTLE 1500 ML</t>
  </si>
  <si>
    <t>CORTEC VCI-386 BLACK</t>
  </si>
  <si>
    <t>CORTEC VCI-386 YELLOW CATERPILLAR</t>
  </si>
  <si>
    <t>BED LINEN (SPREI)</t>
  </si>
  <si>
    <t>MULTITESTER</t>
  </si>
  <si>
    <t>(A) RADIO COMMUNICATION MOTOROLA GP388</t>
  </si>
  <si>
    <t>RUBBER WATER CLEANER</t>
  </si>
  <si>
    <t>RULER STEEL 50 CM (KENKO)</t>
  </si>
  <si>
    <t>CUTTER TUBING</t>
  </si>
  <si>
    <t>CYL SEAL KIT DISC BRAKE PN. UHY1-26-037</t>
  </si>
  <si>
    <t>CABLE 3.5 CORE</t>
  </si>
  <si>
    <t>SWITCH LAMP</t>
  </si>
  <si>
    <t>TERMINAL ELECTRIC</t>
  </si>
  <si>
    <t>PAINT BRUSH 1 1/2" ETERNA</t>
  </si>
  <si>
    <t>GARBAGE SPADE</t>
  </si>
  <si>
    <t>OSBOND 270 PENETRATING OIL</t>
  </si>
  <si>
    <t>OSBOND 369D FLAW DETECTOR DEVELOPER</t>
  </si>
  <si>
    <t>OSBOND 369P FLAW DETECTOR PENETRANT</t>
  </si>
  <si>
    <t>SEYTON 1010B CONTACT CLEANER</t>
  </si>
  <si>
    <t>VOUCHER MAP NOMINAL 100.000</t>
  </si>
  <si>
    <t>CARTRIDGE HP CZ107A HP 678 BLACK</t>
  </si>
  <si>
    <t>CARTRIDGE HP CZ108A HP 678 COLORS</t>
  </si>
  <si>
    <t>SIGN BOARD "MUSTER POINT"</t>
  </si>
  <si>
    <t>SELECTOR SWITCH LAMP</t>
  </si>
  <si>
    <t>(A) ELECTRIC CHAIN HOIST CAP. 2T</t>
  </si>
  <si>
    <t>DRAWER KEY</t>
  </si>
  <si>
    <t>DOORMAT</t>
  </si>
  <si>
    <t>STRAPPING TOOL</t>
  </si>
  <si>
    <t>CREAM SOAP EKONOMI</t>
  </si>
  <si>
    <t>HALF FACE RESPIRATOR 3M 6200</t>
  </si>
  <si>
    <t>CARTRIDGE 3M 6001</t>
  </si>
  <si>
    <t>PORTABLE ELECTRICAL TAG</t>
  </si>
  <si>
    <t>CUTTING</t>
  </si>
  <si>
    <t>OIL FUNNEL</t>
  </si>
  <si>
    <t>BROM RUBBER</t>
  </si>
  <si>
    <t>SCOOP RUBISH</t>
  </si>
  <si>
    <t>BASKET RUBISH</t>
  </si>
  <si>
    <t>SPECALOG 4 PAGE A4 OMEGA 150G 100 BOOKS</t>
  </si>
  <si>
    <t>JERRY CAN 20 LTR</t>
  </si>
  <si>
    <t>JERRY CAN 10 LTR</t>
  </si>
  <si>
    <t>VALVE 1/2"</t>
  </si>
  <si>
    <t>STICKER APAR</t>
  </si>
  <si>
    <t>APD TRAFFIC SIGN</t>
  </si>
  <si>
    <t>CARTRIDGE HP L0S72A BLACK</t>
  </si>
  <si>
    <t>BROOM</t>
  </si>
  <si>
    <t>CORPORATE EVENT GIFT</t>
  </si>
  <si>
    <t>CONTAINER PLASTIK RAPAT TIPE 7099 + K</t>
  </si>
  <si>
    <t>ASBESTOS CLOTH</t>
  </si>
  <si>
    <t>VELCRO</t>
  </si>
  <si>
    <t>FLOOR SCRAPPER</t>
  </si>
  <si>
    <t>PAPERCLIP NAME TAG MIKA (CLIP)</t>
  </si>
  <si>
    <t>PLASTIC BAG 2 KG</t>
  </si>
  <si>
    <t>ANGLE GRINDER MAKITA TYPE 9553B</t>
  </si>
  <si>
    <t>HOSE TOYORON TOYOX TRANSPARANT 1 1/2"</t>
  </si>
  <si>
    <t>ELECTRIC TAPE 3M BLUE</t>
  </si>
  <si>
    <t>ELECTRIC TAPE 3M RED</t>
  </si>
  <si>
    <t>FLINT LIGHTER PN. 308789</t>
  </si>
  <si>
    <t>FBA OXYGEN REGULATOR PN. 106521</t>
  </si>
  <si>
    <t>GARDEN SPRAYER</t>
  </si>
  <si>
    <t>PLASTIC PALLET PN. KW1700577</t>
  </si>
  <si>
    <t>PLASTIC PALLET NPS 1210</t>
  </si>
  <si>
    <t>PLASTIC PALLET BLACK</t>
  </si>
  <si>
    <t>SANDPAPER NIKKEN P1000</t>
  </si>
  <si>
    <t>DRIVE WHEEL</t>
  </si>
  <si>
    <t>PLASTIC ROLL SIZE 120 CM X 50 MTR</t>
  </si>
  <si>
    <t>FRESH PHONE STELLA ( SPRAY ) - REFILL</t>
  </si>
  <si>
    <t>HAND JACK PALLET WHEEL</t>
  </si>
  <si>
    <t>CERTIFICATE FOLDER</t>
  </si>
  <si>
    <t>COTTON</t>
  </si>
  <si>
    <t>PAPER TRAY</t>
  </si>
  <si>
    <t>SOCK PVC RUCIKA 1/2"</t>
  </si>
  <si>
    <t>CUTTING DISC 4"</t>
  </si>
  <si>
    <t>BOTTLE SPRAY</t>
  </si>
  <si>
    <t>QUICK COUPLER 9420</t>
  </si>
  <si>
    <t>TRIANGLE FILE</t>
  </si>
  <si>
    <t>TIRE DP50 GT RADIAL 7.00-12 14 PR NYLON</t>
  </si>
  <si>
    <t>TIRE DP50 GT RADIAL 300-15 18 PR NYLON</t>
  </si>
  <si>
    <t>TIRE TUBE DP50 GT RADIAL  7.00-12</t>
  </si>
  <si>
    <t>TIRE DP25 GT RADIAL 6.00-9 10 PT NYLON</t>
  </si>
  <si>
    <t>TIRE DP30 GT RADIAL 6.50-10 10 PR NYLON</t>
  </si>
  <si>
    <t>TIRE TUBE DP30 GT RADIAL 28X9 - 15</t>
  </si>
  <si>
    <t>TIRE TUBE DP30 GT RADIAL 6.50X10 - 10</t>
  </si>
  <si>
    <t>BLUE TOWEL-SwipeGo Microfiber 20pcs/pack</t>
  </si>
  <si>
    <t>SANDSTONE</t>
  </si>
  <si>
    <t>GM3</t>
  </si>
  <si>
    <t>GRIND CUTTING WHEEL 14" INCHI</t>
  </si>
  <si>
    <t>TIRE CART ARCO</t>
  </si>
  <si>
    <t>CAT 793F MINING TRUCK (1:125)</t>
  </si>
  <si>
    <t>SCALE MODEL CAT 3516B PACKAGE GNRTR SET</t>
  </si>
  <si>
    <t>PLASTIC BAG 10 KG</t>
  </si>
  <si>
    <t>(A) RACK</t>
  </si>
  <si>
    <t>TUMBLER STAR TRAVEL CAT</t>
  </si>
  <si>
    <t>PIPE 1"</t>
  </si>
  <si>
    <t>PIPE 3/4"</t>
  </si>
  <si>
    <t>PIPE 1/2"</t>
  </si>
  <si>
    <t>SHOWER CURTAIN</t>
  </si>
  <si>
    <t>DUST PAN (PENKI)</t>
  </si>
  <si>
    <t>RUBBER CLEANER OF GLASS</t>
  </si>
  <si>
    <t>STICKER PREVENTIVE MAINTENANCE - 3 MONTH</t>
  </si>
  <si>
    <t>STICKER PREVENTIVE MAINTENANCE - MONTHLY</t>
  </si>
  <si>
    <t>BORAKS</t>
  </si>
  <si>
    <t>(A) UPS ICA CP 700</t>
  </si>
  <si>
    <t>DOOR HANDLE "SES"</t>
  </si>
  <si>
    <t>PARTICULATE FILTER 3M 2091</t>
  </si>
  <si>
    <t>HALF FACE RESPIRATOR 3M 6000 SERIES</t>
  </si>
  <si>
    <t>TELEPHONE PANASONIC KX-T7730</t>
  </si>
  <si>
    <t>SOLDER 80 WATT</t>
  </si>
  <si>
    <t>PUNCH NUMBER</t>
  </si>
  <si>
    <t>PAINT BUCKET</t>
  </si>
  <si>
    <t>CONICAL BRAKE RING PN. 235377</t>
  </si>
  <si>
    <t>PUMP EBARA RINSE BAY</t>
  </si>
  <si>
    <t>TISSUE</t>
  </si>
  <si>
    <t>BIN</t>
  </si>
  <si>
    <t>EMERGENCY LAMP TWINSPOT LEGRAND BBT-10H</t>
  </si>
  <si>
    <t>(A) HAND DRYER KRISBOW GSX-1800A</t>
  </si>
  <si>
    <t>CARTRIDGE HP CN056A / 933 XL YELLOW</t>
  </si>
  <si>
    <t>CARTRIDGE HP CN054A / 933 XL CYAN</t>
  </si>
  <si>
    <t>CARTRIDGE HP CN055A / 933 XL MAGENTA</t>
  </si>
  <si>
    <t>CONNECTOR RJ45 CAT5E AMP</t>
  </si>
  <si>
    <t>CHEMICAL</t>
  </si>
  <si>
    <t>WELDING WIRE BRASS</t>
  </si>
  <si>
    <t>BACKPACK</t>
  </si>
  <si>
    <t>TRAFFIC CONE RUBBER ORANGE 70 CM</t>
  </si>
  <si>
    <t>HOUSING LAMP</t>
  </si>
  <si>
    <t>CABINET (NON ASSET)</t>
  </si>
  <si>
    <t>DONGLE TP-LINK</t>
  </si>
  <si>
    <t>SOLDER PASTE</t>
  </si>
  <si>
    <t>STECKER ARDE OFUD PN.52010075</t>
  </si>
  <si>
    <t>MEGAPHONE ER66 PN.54060020</t>
  </si>
  <si>
    <t>HOSE REEL 20 W/SWIVEL KW PN:KW1900663</t>
  </si>
  <si>
    <t>(A) RADIO ICOM</t>
  </si>
  <si>
    <t>LAMP PHILIP HPI-T 250 WATT</t>
  </si>
  <si>
    <t>JERRY CAN 30 LTR</t>
  </si>
  <si>
    <t>WATERMUR GALVANIS 1 1/4"</t>
  </si>
  <si>
    <t>PLASTIC</t>
  </si>
  <si>
    <t>(A) FIRE EXTINGUISER POWDER NEW 3KG</t>
  </si>
  <si>
    <t>TABLECLOTH NAKITA 14 X 24</t>
  </si>
  <si>
    <t>OSBOND 45F EPOXY FLOOR FINISH</t>
  </si>
  <si>
    <t>POWER AMPLIER</t>
  </si>
  <si>
    <t>SPOIT PAINTING</t>
  </si>
  <si>
    <t>ELECTRIC MOTOR PN. KW1300509</t>
  </si>
  <si>
    <t>NAIL SIZE 5 CM</t>
  </si>
  <si>
    <t>NAIL SIZE 7 CM</t>
  </si>
  <si>
    <t>LAMP 36 WATT</t>
  </si>
  <si>
    <t>STARTER LAMP</t>
  </si>
  <si>
    <t>SANDPAPER ABRASIVE NO.3</t>
  </si>
  <si>
    <t>MAGNETIC PARTICLE INSPECT. MAGNAFLUX 7HF</t>
  </si>
  <si>
    <t>CAM SWITCH 3 PHASE 30 A</t>
  </si>
  <si>
    <t>GLOVES JACKSON G40 - NITRILE</t>
  </si>
  <si>
    <t>(A) SMOKE DETECTOR APPRON HC-202D</t>
  </si>
  <si>
    <t>COPPER HAMMER HICKORY HDL PN. TB31440</t>
  </si>
  <si>
    <t>SPECALOG 4 PAGE A4 OMEGA 150G 500 BOOKS</t>
  </si>
  <si>
    <t>SPECALOG 4 PAGE A4 OMEGA 150G 200 BOOKS</t>
  </si>
  <si>
    <t>SUPERDRY CONTAINER DESSICANT</t>
  </si>
  <si>
    <t>SAFETY PADLOCK MASTER LOCK 410</t>
  </si>
  <si>
    <t>STARTER</t>
  </si>
  <si>
    <t>STOP CONTACT</t>
  </si>
  <si>
    <t>DIGITAL CLOCK</t>
  </si>
  <si>
    <t>WATER HOSE</t>
  </si>
  <si>
    <t>(A) STRETCHER</t>
  </si>
  <si>
    <t>MULTI METER LUTRON 5 IN 1 PN. LM-8102</t>
  </si>
  <si>
    <t>WATERPASS (SELANG TIMBANGAN)</t>
  </si>
  <si>
    <t>BRICKLAYER'S TROWEL (SENDOK SEMEN)</t>
  </si>
  <si>
    <t>CEMENT SMOOTHER (SETRIKA SEMEN)</t>
  </si>
  <si>
    <t>HOLE PUNCH</t>
  </si>
  <si>
    <t>ROLLUP BANNER SIZE 200X80CM - VINYL GERM</t>
  </si>
  <si>
    <t>SHOE RACK</t>
  </si>
  <si>
    <t>SEAL PN. 8437</t>
  </si>
  <si>
    <t>TOASTER</t>
  </si>
  <si>
    <t>BUSHING SPRING</t>
  </si>
  <si>
    <t>TIRE HANK00K DYNAPR0 A/T RF10 265/75 R16</t>
  </si>
  <si>
    <t>WELDING WIRE / ROD</t>
  </si>
  <si>
    <t>CAT JACKET CATERPILLAR</t>
  </si>
  <si>
    <t>CATERPILLAR T'SHIRT</t>
  </si>
  <si>
    <t>PAPER LENS</t>
  </si>
  <si>
    <t>ACCID AIR ZUUR</t>
  </si>
  <si>
    <t>ELBOW GALVANIS 2.5 INCH</t>
  </si>
  <si>
    <t>GERINDA STONE</t>
  </si>
  <si>
    <t>BEAKER GLASS 20ML</t>
  </si>
  <si>
    <t>PRINTER EPSON L210 MULTI FUNCTION</t>
  </si>
  <si>
    <t>STRAP</t>
  </si>
  <si>
    <t>WIPER BLADE</t>
  </si>
  <si>
    <t>STICK GROUNDING</t>
  </si>
  <si>
    <t>RESPIRATORY PRTECTION OSHA 3151-12R 2003</t>
  </si>
  <si>
    <t>ELECTRIC ENGRAVIER SELLERY 21-720 220V</t>
  </si>
  <si>
    <t>SWING FAN</t>
  </si>
  <si>
    <t>MASK RESPIRATOR SINGLE</t>
  </si>
  <si>
    <t>CPI CATERPILLAR BLACK PN.104-4100</t>
  </si>
  <si>
    <t>CPI CATERPILLAR BLACK DOFF PN.104-4101</t>
  </si>
  <si>
    <t>CPI CATERPILLAR BIEGE PN.104-4731</t>
  </si>
  <si>
    <t>CPI CATERPILLAR SILVER PN.104-4400</t>
  </si>
  <si>
    <t>GRINDING NIPPON RESIBON 4" 100X6X16</t>
  </si>
  <si>
    <t>CABLE NYAF 1.5MM HITAM</t>
  </si>
  <si>
    <t>CABLE NYAF 1.5MM RED</t>
  </si>
  <si>
    <t>RESIN FIBERGLASS</t>
  </si>
  <si>
    <t>HALF FACE RESPIRATOR 3M 3200</t>
  </si>
  <si>
    <t>CABLE GROUNDING 35 MM</t>
  </si>
  <si>
    <t>STAR BOX FILE AIRMAIL NO. 27</t>
  </si>
  <si>
    <t>LAMP VEHICLE FORD RH PN.UH77-51-160A</t>
  </si>
  <si>
    <t>SPLITTER 2-WAY</t>
  </si>
  <si>
    <t>BAR STOOL</t>
  </si>
  <si>
    <t>CARD HOLDER + BADGE REEL</t>
  </si>
  <si>
    <t>PAINT NIPPE SILVER</t>
  </si>
  <si>
    <t>GELAS UKUR 100ML</t>
  </si>
  <si>
    <t>KIT SHAMPOO</t>
  </si>
  <si>
    <t>SANDPAPER DISC SANDER UK. 93 X 228 MM</t>
  </si>
  <si>
    <t>WATER SCOOP</t>
  </si>
  <si>
    <t>SIKA GROUT</t>
  </si>
  <si>
    <t>SIGNAGE TRAKINDO</t>
  </si>
  <si>
    <t>COTTON BALL (50 BALL)</t>
  </si>
  <si>
    <t>WEBCOl ALCOHOL SWAB 3.5CMx3.5CM 200S/PAC</t>
  </si>
  <si>
    <t>COVER SEAT</t>
  </si>
  <si>
    <t>CAPASITOR</t>
  </si>
  <si>
    <t>LOCK 7"</t>
  </si>
  <si>
    <t>HYGROMETER DEKKO</t>
  </si>
  <si>
    <t>VOUCHER MAP NOMINAL 50.000</t>
  </si>
  <si>
    <t>PAINT DELUX PENTALITE</t>
  </si>
  <si>
    <t>THREAD</t>
  </si>
  <si>
    <t>RED INSULATING VARNISH</t>
  </si>
  <si>
    <t>Masker 3ply Medis (1 box 50pcs)</t>
  </si>
  <si>
    <t>ELASTIC BANDAGE</t>
  </si>
  <si>
    <t>HANDY CLEAN</t>
  </si>
  <si>
    <t>UNSTERILE GAUZE</t>
  </si>
  <si>
    <t>THERMOMETER</t>
  </si>
  <si>
    <t>7-5800COV_Masker Non Medis (1 box 50pcs)</t>
  </si>
  <si>
    <t>STICKER FRAGILE</t>
  </si>
  <si>
    <t>FIRST AID DRESSING ROLL</t>
  </si>
  <si>
    <t>GLOVES STERILIZE</t>
  </si>
  <si>
    <t>OXYGEN REFILL</t>
  </si>
  <si>
    <t>DOP</t>
  </si>
  <si>
    <t>LAMP</t>
  </si>
  <si>
    <t>SOCK</t>
  </si>
  <si>
    <t>ELBOW</t>
  </si>
  <si>
    <t>SOCK REDUCER</t>
  </si>
  <si>
    <t>CHROME LEATHER BIB APRON PN. A1/LS</t>
  </si>
  <si>
    <t>HOOD WAKATAC PROBAN DRAW PN. WAK/PHGM30</t>
  </si>
  <si>
    <t>CONTAINER PLASTIC RABBIT TYPE 2066</t>
  </si>
  <si>
    <t>WATER AND DUST PROOF CASE</t>
  </si>
  <si>
    <t>CONCRETE IRON 4" (BEHEL)</t>
  </si>
  <si>
    <t>CEMENT PORTLAND</t>
  </si>
  <si>
    <t>STONE GRAVEL</t>
  </si>
  <si>
    <t>BRACKET</t>
  </si>
  <si>
    <t>FITTING</t>
  </si>
  <si>
    <t>ROUNDOP</t>
  </si>
  <si>
    <t>BLIND RIVETS</t>
  </si>
  <si>
    <t>DISK/PAD SANDER</t>
  </si>
  <si>
    <t>PAINT REMOVER NEOREVER</t>
  </si>
  <si>
    <t>PAINT NIPPE YELLOW 448</t>
  </si>
  <si>
    <t>TERPAL</t>
  </si>
  <si>
    <t>VERTICAL BLIND</t>
  </si>
  <si>
    <t>PILLAR FOR FLAG</t>
  </si>
  <si>
    <t>BLADE FUSE 7.5 AMP BROWN PN. 752512</t>
  </si>
  <si>
    <t>BLADE FUSE 10 AMP RED PN. 752513</t>
  </si>
  <si>
    <t>BLADE FUSE 15 AMP BLUE PN. 752514</t>
  </si>
  <si>
    <t>BLADE FUSE 20 AMP YELLOW PN. 752515</t>
  </si>
  <si>
    <t>MINI BLADE FUSE 10 AMP RED PN. 752113</t>
  </si>
  <si>
    <t>MINI BLADE FUSE 15 AMP BLUE PN. 752114</t>
  </si>
  <si>
    <t>BLADE F. TERM. 6.3X0.8MM PINK 513028BL</t>
  </si>
  <si>
    <t>BLADE F. TERM. 6.3X0.8MM BLUE 513030BL</t>
  </si>
  <si>
    <t>BULLET MALE 4MM PINK PN. 513111BL</t>
  </si>
  <si>
    <t>BULLET MALE 4MM BLUE PN. 513113BL</t>
  </si>
  <si>
    <t>BULLET FEMALE 3MM PINK PN. 513115BL</t>
  </si>
  <si>
    <t>BULLET FEMALE 4MM BLUE PN. 513117BL</t>
  </si>
  <si>
    <t>RING TERMINAL FLARD 4.3MM BLUE 51321BL</t>
  </si>
  <si>
    <t>SPC CABLE DATA SWITCH (IM) 959149 MT1789</t>
  </si>
  <si>
    <t>14AM MAGNAFLUX PREPARED PN. 01.0145.40</t>
  </si>
  <si>
    <t>AIR COUPLER PLUG (NP-20PM) MALE PT 1/4"</t>
  </si>
  <si>
    <t>AIR COUPLER SOCK (NP-40SF) FEMALE PT 1/2</t>
  </si>
  <si>
    <t>MCB 2A + BOX</t>
  </si>
  <si>
    <t>LAMP PHILIPS TL TYPE 35W</t>
  </si>
  <si>
    <t>LAMP PHILIPS TL TYPE 18W</t>
  </si>
  <si>
    <t>TOXICANT GRASS</t>
  </si>
  <si>
    <t>(A) FIRE ALARM</t>
  </si>
  <si>
    <t>KIT BLACK MAGIC</t>
  </si>
  <si>
    <t>PICKING TROLLEY ALMIK 4.100-127</t>
  </si>
  <si>
    <t>LABU UKUR 500ML + CERT. "BRAND"</t>
  </si>
  <si>
    <t>BATTERY UPS</t>
  </si>
  <si>
    <t>EON RUST 501</t>
  </si>
  <si>
    <t>EON FILM 101</t>
  </si>
  <si>
    <t>VINYL TAPE 3M 471 SIZE 50 MM X 33 MTR</t>
  </si>
  <si>
    <t>PAINT TENOKOTE INK 1000WA DARK GREY</t>
  </si>
  <si>
    <t>FORM TOOL, MISSING &amp; DAMAGE REPORT (N)</t>
  </si>
  <si>
    <t>CARTRIDGE HP CE505A BLACK / HP 05A</t>
  </si>
  <si>
    <t>CREAM DETERGENT SOAP WINGS 350 GRAM</t>
  </si>
  <si>
    <t>MILK FULL CREAM INDOMILK</t>
  </si>
  <si>
    <t>VISOR</t>
  </si>
  <si>
    <t>THREEBOND PN. 1104</t>
  </si>
  <si>
    <t>PAINT DULUX W-SHIELD BAYFOG 30GG 72/032</t>
  </si>
  <si>
    <t>BACK UP ALARM 12V - 48V</t>
  </si>
  <si>
    <t>WIRE BRAKE PN. 47616-60020</t>
  </si>
  <si>
    <t>MOLECULAR SIEVE PN 6.2811.000</t>
  </si>
  <si>
    <t>INK TUBE</t>
  </si>
  <si>
    <t>SOLDER TIN 0.8 MM</t>
  </si>
  <si>
    <t>(A) FIX HEAT DETECTOR</t>
  </si>
  <si>
    <t>PAINT HEMPEL</t>
  </si>
  <si>
    <t>Y-RINS 2 X 12 ML</t>
  </si>
  <si>
    <t>(A) SMOKE DETECTOR</t>
  </si>
  <si>
    <t>DETERGENT RINSO 25GR</t>
  </si>
  <si>
    <t>GASKET</t>
  </si>
  <si>
    <t>BOARD</t>
  </si>
  <si>
    <t>PLASTIC BAG 20 KG</t>
  </si>
  <si>
    <t>STICKER PAPER HVS A4</t>
  </si>
  <si>
    <t>SCRAPER</t>
  </si>
  <si>
    <t>BALL VALVE KITZ SIZE 1"</t>
  </si>
  <si>
    <t>NIPPLE GALVANIS 1"</t>
  </si>
  <si>
    <t>MAGNETIC SHEET</t>
  </si>
  <si>
    <t>TIRE BRIDGESTONE 300-15 18PR JL</t>
  </si>
  <si>
    <t>SOCK GALVANIS 3/4"</t>
  </si>
  <si>
    <t>MICRODOT CASE CADDY SET 83122</t>
  </si>
  <si>
    <t>CABLE TIES 250MM</t>
  </si>
  <si>
    <t>CABLE TIES 400MM</t>
  </si>
  <si>
    <t>PADLOCK</t>
  </si>
  <si>
    <t>COATING EPOXY</t>
  </si>
  <si>
    <t>CLEANER SOKLIN 800ML REFIL</t>
  </si>
  <si>
    <t>DOOR HASP (ENGSEL PINTU)</t>
  </si>
  <si>
    <t>STICKER TAG INSPECTION STAND JAN-MAR YLW</t>
  </si>
  <si>
    <t>STICKER TAG INSPECTION STAND APR-JUN BLU</t>
  </si>
  <si>
    <t>STICKER TAG INSPECTION STAND JUL-SEP RED</t>
  </si>
  <si>
    <t>STICKER TAG INSPECTION STAND OCT-DEC GRN</t>
  </si>
  <si>
    <t>STAMP NAME (TRODAT 4911)</t>
  </si>
  <si>
    <t>SEAL PACKING  ZX.0557</t>
  </si>
  <si>
    <t>RICE COOKER</t>
  </si>
  <si>
    <t>RUST REMOVER</t>
  </si>
  <si>
    <t>RECEPTACLE 14 PIN PN. 4460752</t>
  </si>
  <si>
    <t>POMPA PLASTIK JERIGEN</t>
  </si>
  <si>
    <t>SABUN DETERGENT TANPA BUSA (25 LTR)</t>
  </si>
  <si>
    <t>SUPERWINCH SPARE PARTS PACKAGE</t>
  </si>
  <si>
    <t>MINI BLADE FUSES 20 AMP PN. 52720</t>
  </si>
  <si>
    <t>MINI BLADE FUSES 15 AMP PN. 52715</t>
  </si>
  <si>
    <t>LABEL PRINTER CASIO KL-820</t>
  </si>
  <si>
    <t>PTTUSB WHITE ENVELOPE WINDOW (22 X 11CM)</t>
  </si>
  <si>
    <t>RECEPTIONIST DESK</t>
  </si>
  <si>
    <t>SIGNAGE RECEPTIONIST</t>
  </si>
  <si>
    <t>POSTER DISPLAY</t>
  </si>
  <si>
    <t>GLOVES CLIP CIG TYPE 16CIGGC39</t>
  </si>
  <si>
    <t>POLYPROPYLENE SHEET</t>
  </si>
  <si>
    <t>DOOR LATCH</t>
  </si>
  <si>
    <t>PRINTING HYDRAULIC SCHEMATIC</t>
  </si>
  <si>
    <t>SCISSORS ESCO SIZE SMALL</t>
  </si>
  <si>
    <t>T-SHIRT TRAKINDO VOLUNTEERS</t>
  </si>
  <si>
    <t>BANNER 1 x 3 MTR</t>
  </si>
  <si>
    <t>ABSENT CARD FOR AMANO (100 PCS)</t>
  </si>
  <si>
    <t>COVER PLASTIC</t>
  </si>
  <si>
    <t>CATRIDGE RESPIRATOR 3M 3303K-100</t>
  </si>
  <si>
    <t>SWITCH ON-OFF CLIPSAL</t>
  </si>
  <si>
    <t>CLAMP 1/2 INCH</t>
  </si>
  <si>
    <t>FRUIT</t>
  </si>
  <si>
    <t>ADAPTOR HOSE</t>
  </si>
  <si>
    <t>INK REFILL CANON PG 830 BK</t>
  </si>
  <si>
    <t>GUTTER</t>
  </si>
  <si>
    <t>ELECTRIC TAG BLACK</t>
  </si>
  <si>
    <t>CABLE HDMI</t>
  </si>
  <si>
    <t>WIRE ROPE CLAMP</t>
  </si>
  <si>
    <t>GLOVES DOTTING</t>
  </si>
  <si>
    <t>CABLE (METER)</t>
  </si>
  <si>
    <t>BOOKLET MODULE TRAINING</t>
  </si>
  <si>
    <t>GRASS</t>
  </si>
  <si>
    <t>LAND</t>
  </si>
  <si>
    <t>BOLT CALIPER BRAKE</t>
  </si>
  <si>
    <t>EON WASH 600</t>
  </si>
  <si>
    <t>DR</t>
  </si>
  <si>
    <t>PLASTIC COVER RACK</t>
  </si>
  <si>
    <t>X BANNER</t>
  </si>
  <si>
    <t>APRON / CELEMEK</t>
  </si>
  <si>
    <t>(A) MOBILE DRAWER</t>
  </si>
  <si>
    <t>(A) WATER TANK CAP. 1200 LT</t>
  </si>
  <si>
    <t>BAYGON INSECT KILLER 600ML/BTL</t>
  </si>
  <si>
    <t>AIR CLEANER PN. 1500A-058A</t>
  </si>
  <si>
    <t>TO SUPPLY MAGNETIC BASE FOR</t>
  </si>
  <si>
    <t>AIR GUN MEIJI</t>
  </si>
  <si>
    <t>HOOD HINGE PN. MB866526</t>
  </si>
  <si>
    <t>BRAKE PAD PN. MR977365A1</t>
  </si>
  <si>
    <t>PISTON CALIPER PN. MR955109</t>
  </si>
  <si>
    <t>OUT SET SPRING CALIPER PN. KW060021</t>
  </si>
  <si>
    <t>BRAKE PAD PN. MR 977365A1</t>
  </si>
  <si>
    <t>LAMP HALOGEN 300W PHILIPS</t>
  </si>
  <si>
    <t>DELPHI CALIBRATION FLUID HAD400</t>
  </si>
  <si>
    <t>WEDABAY LOGO (3 COLOR) VINYL STICKER 8"</t>
  </si>
  <si>
    <t>WEDABAY LOGO (3 COLOR) VINYL STICKER 12"</t>
  </si>
  <si>
    <t>RELAY OMRON 14 PIN</t>
  </si>
  <si>
    <t>FIRE SODA</t>
  </si>
  <si>
    <t>CONNECTOR RJ45</t>
  </si>
  <si>
    <t>RIDGID 1/2"-3/4 BSPT-HS</t>
  </si>
  <si>
    <t>CABLE TIES 100</t>
  </si>
  <si>
    <t>ACRYLIC HANDLE TOTO</t>
  </si>
  <si>
    <t>FLASHLIGHT</t>
  </si>
  <si>
    <t>FRAME GLASSES</t>
  </si>
  <si>
    <t>KITCHEN FAUCET SWINGING</t>
  </si>
  <si>
    <t>MAGIC JAR</t>
  </si>
  <si>
    <t>BLENDER</t>
  </si>
  <si>
    <t>(A) CONTAINER</t>
  </si>
  <si>
    <t>(A) CREDENZA</t>
  </si>
  <si>
    <t>PAINT</t>
  </si>
  <si>
    <t>FERTILIZER PLANT</t>
  </si>
  <si>
    <t>RAINCOAT</t>
  </si>
  <si>
    <t>STICK</t>
  </si>
  <si>
    <t>BULB LAMP 25 WATT</t>
  </si>
  <si>
    <t>CABLE 3 SINGLE CORE</t>
  </si>
  <si>
    <t>TIN ROOF 8 FEET</t>
  </si>
  <si>
    <t>AVIANT PAINT</t>
  </si>
  <si>
    <t>EYE CUTTER GRINDER 4"</t>
  </si>
  <si>
    <t>L KEY</t>
  </si>
  <si>
    <t>SPOON BRAND DOLL</t>
  </si>
  <si>
    <t>TEASPOON (SENDOK TEH) BRAND DOLL</t>
  </si>
  <si>
    <t>CUP WHITE BRAND SANGO</t>
  </si>
  <si>
    <t>GLASS (GELAS KAKI)</t>
  </si>
  <si>
    <t>ELECTRIC KETTLE</t>
  </si>
  <si>
    <t>AIR COUPLER SOCK ( NP-20SF)</t>
  </si>
  <si>
    <t>WIRE BWG 0.8</t>
  </si>
  <si>
    <t>CARD COMPLIMENT</t>
  </si>
  <si>
    <t>RACOR FILTER</t>
  </si>
  <si>
    <t>COARSE SANDPAPER</t>
  </si>
  <si>
    <t>FINE SANDPAPER 400</t>
  </si>
  <si>
    <t>EON CRACK DEVELOPER 200C</t>
  </si>
  <si>
    <t>EON CRACK PENETRANT 200B</t>
  </si>
  <si>
    <t>CHEMICAL RENOCLEAN</t>
  </si>
  <si>
    <t>CHEMICAL ANTICHORIT</t>
  </si>
  <si>
    <t>STICK CONE</t>
  </si>
  <si>
    <t>BLACK BOX</t>
  </si>
  <si>
    <t>THERMOSTAT</t>
  </si>
  <si>
    <t>FUEL PUMP</t>
  </si>
  <si>
    <t>ELECTRICAL COIL</t>
  </si>
  <si>
    <t>FUEL FILTER</t>
  </si>
  <si>
    <t>LIGHT DUTY RACK</t>
  </si>
  <si>
    <t>FLASHLIGHT / SPOTLIGHT CHARGERABLE</t>
  </si>
  <si>
    <t>PIPE GALVANIS 1" MEDIUM A</t>
  </si>
  <si>
    <t>CONTACTOR 50/60HZ 42VAC LCI-D25D7</t>
  </si>
  <si>
    <t>DETERGENT RINSO LIQUID 1000ML</t>
  </si>
  <si>
    <t>CABLE (ROLL)</t>
  </si>
  <si>
    <t>CHECK VALVE 1" (KUNINGAN)</t>
  </si>
  <si>
    <t>CHECK VALVE 2" (KUNINGAN)</t>
  </si>
  <si>
    <t>DOUBLE NIPPLE GALVANIZE 1/2"</t>
  </si>
  <si>
    <t>CASSA 10 CM</t>
  </si>
  <si>
    <t>CASSA 5 CM</t>
  </si>
  <si>
    <t>CONTACTOR 50/60HZ 42VAC LCI-D18D7</t>
  </si>
  <si>
    <t>WOOD MERANTI BATU</t>
  </si>
  <si>
    <t>SAFETY TRIANGLE FOR CAR</t>
  </si>
  <si>
    <t>SAFETY BOOTS - FLORIDA 296159, COLOR:</t>
  </si>
  <si>
    <t>LV SPARE PARTS (EA)</t>
  </si>
  <si>
    <t>ID CARD DANGER TAG</t>
  </si>
  <si>
    <t>ROASTED PEANUT DUA KELINCI</t>
  </si>
  <si>
    <t>ATOM PEANUT DUA KELINCI</t>
  </si>
  <si>
    <t>WAFER TANGO</t>
  </si>
  <si>
    <t>SANDALS</t>
  </si>
  <si>
    <t>PAINT HARDENER</t>
  </si>
  <si>
    <t>CEILING FAN</t>
  </si>
  <si>
    <t>STAND FAN</t>
  </si>
  <si>
    <t>LPG CUTTING TIP</t>
  </si>
  <si>
    <t>ELEMENT SPARATOR P/N.88290015-567 WS1510</t>
  </si>
  <si>
    <t>RUBBER</t>
  </si>
  <si>
    <t>TIRE FLAP BRIDGESTONE SIZE 6.50 - 10</t>
  </si>
  <si>
    <t>TIRE FLAP BRIDGESTONE SIZE 28X9 - 15</t>
  </si>
  <si>
    <t>CABLE DUCT 25 X 50</t>
  </si>
  <si>
    <t>PLASTIC BAG SIZE 30 X 45</t>
  </si>
  <si>
    <t>SHOVEL</t>
  </si>
  <si>
    <t>WATER FAUCET 1/2"</t>
  </si>
  <si>
    <t>WATER FAUCET 3/4"</t>
  </si>
  <si>
    <t>CROWBAR</t>
  </si>
  <si>
    <t>POVIDONE IODINE 30 ML</t>
  </si>
  <si>
    <t>QUICK BANDAGE</t>
  </si>
  <si>
    <t>CARTRIDGE RACOR FILTER</t>
  </si>
  <si>
    <t>GREASE LUBRIPLATE</t>
  </si>
  <si>
    <t>SANDISK USB (8GB) WITH 3 COLOR LOGO</t>
  </si>
  <si>
    <t>SANDPAPER NIKKEN P80</t>
  </si>
  <si>
    <t>FORM GA REQUEST</t>
  </si>
  <si>
    <t>FORM SHE DAILY INSPECTION</t>
  </si>
  <si>
    <t>FORM SOSIALISASI JSA</t>
  </si>
  <si>
    <t>SOCKET OUTLET 3 HOLE</t>
  </si>
  <si>
    <t>CABLE DUCT 25 X 16</t>
  </si>
  <si>
    <t>CERTIFICATE SERVICE YEAR AWARD</t>
  </si>
  <si>
    <t>WHEEL TROLLY FIX</t>
  </si>
  <si>
    <t>SOCKET GALVANIZE 1/2"</t>
  </si>
  <si>
    <t>WALL LIST (WOOD)</t>
  </si>
  <si>
    <t>GLUE FOX CLEAR 1KG/CAN</t>
  </si>
  <si>
    <t>CHAIN SAW</t>
  </si>
  <si>
    <t>PIPE PVC 2"</t>
  </si>
  <si>
    <t>LAMP OSRAM TL 36W</t>
  </si>
  <si>
    <t>PANEL BOX</t>
  </si>
  <si>
    <t>EXPANDING FILE</t>
  </si>
  <si>
    <t>(A) PUMP</t>
  </si>
  <si>
    <t>WHITE CEMENT</t>
  </si>
  <si>
    <t>SIGN "EXIT"</t>
  </si>
  <si>
    <t>RORED HDA140 (OIL GARDAN SAE140)</t>
  </si>
  <si>
    <t>LED LAMP</t>
  </si>
  <si>
    <t>BOOK OUT TOOL LIST</t>
  </si>
  <si>
    <t>PLASTIC CURTAIN SIZE 3 MM</t>
  </si>
  <si>
    <t>TARP 8MX5MX0.38MM</t>
  </si>
  <si>
    <t>FORM SHE ATTENDANCE LIST TOOLBOX MEETING</t>
  </si>
  <si>
    <t>FORM SHE PPE REQUEST</t>
  </si>
  <si>
    <t>AUTOMATIC WATER PUMP 1/4"</t>
  </si>
  <si>
    <t>N0901</t>
  </si>
  <si>
    <t>ISI AGENDA KARYAWAN</t>
  </si>
  <si>
    <t>AC REFLECTOR ACRYLIC</t>
  </si>
  <si>
    <t>CONNECTOR</t>
  </si>
  <si>
    <t>BATTERY YUASA NS60 45A</t>
  </si>
  <si>
    <t>BEVERAGES - PULPY ORANGE SOFTDRINK</t>
  </si>
  <si>
    <t>PAINT FTALIT GRASS GREEN</t>
  </si>
  <si>
    <t>IRON SAW TPI 18</t>
  </si>
  <si>
    <t>PLASTIC CANVAS SIZE 2X3 M</t>
  </si>
  <si>
    <t>COUPLER WIND OUTSIDE THREAD 1/2</t>
  </si>
  <si>
    <t>AIR HOSE SIZE 1/2</t>
  </si>
  <si>
    <t>PLASTIC KEY TAG &amp; RING</t>
  </si>
  <si>
    <t>WALL BRACKET</t>
  </si>
  <si>
    <t>WATER DISPENCER TAP</t>
  </si>
  <si>
    <t>GLD-RING ASSEMBLY PN. P50-104C</t>
  </si>
  <si>
    <t>TELEPHONE PANASONIC KX-T2371MX</t>
  </si>
  <si>
    <t>PLASTIC SEALER IMPLUSE</t>
  </si>
  <si>
    <t>HEX NUT 1/4 INCH - 20 PN. V169C</t>
  </si>
  <si>
    <t>HANGER KSH SLIDING KSL PN. 57434</t>
  </si>
  <si>
    <t>REDUCER FX1" TO FX3/4" PN. HY-L-AC-1612</t>
  </si>
  <si>
    <t>VOICE RECORDER SONY ICD-UX533</t>
  </si>
  <si>
    <t>ENGRAVER</t>
  </si>
  <si>
    <t>CONTAINER PLASTIC RABBINT PN. 1188</t>
  </si>
  <si>
    <t>WEBBING SLING 2 TON X 4MTR</t>
  </si>
  <si>
    <t>COVER STAND SHAFT ROLLER &amp; IDLER</t>
  </si>
  <si>
    <t>POP UP VALVE MFR CLEMCO PN. 02322</t>
  </si>
  <si>
    <t>GRINDING STONE 2"</t>
  </si>
  <si>
    <t>GRINDING STONE 1 5/8"</t>
  </si>
  <si>
    <t>SPARE PARTS CASES RABBIT TYPE 4022</t>
  </si>
  <si>
    <t>PLASTIC BAG CLIP PESIZE 30 X 45 CM</t>
  </si>
  <si>
    <t>CORAL</t>
  </si>
  <si>
    <t>IBC TANK 1000 LTR</t>
  </si>
  <si>
    <t>KASTOR WHEEL ENDO FIXED 4"</t>
  </si>
  <si>
    <t>ZIP LOCK 3" X 4" X 0.05MM (100'S/PKT)</t>
  </si>
  <si>
    <t>CLEANER</t>
  </si>
  <si>
    <t>CCMT 09T 308-SMIC 907 INSERT</t>
  </si>
  <si>
    <t>PLATE</t>
  </si>
  <si>
    <t>HELMET</t>
  </si>
  <si>
    <t>PENETRANT</t>
  </si>
  <si>
    <t>WINDOW FILM</t>
  </si>
  <si>
    <t>LEVER JACK PN. 09114-28010</t>
  </si>
  <si>
    <t>3M SCOTCH TAPES 3/4" X 36 YARD</t>
  </si>
  <si>
    <t>INSULATING VARNISH RED SAVER 1013</t>
  </si>
  <si>
    <t>DUST CARTRIDGE PN. KW 10 - 19</t>
  </si>
  <si>
    <t>LPG PROPAN</t>
  </si>
  <si>
    <t>EXTENSION FORK</t>
  </si>
  <si>
    <t>MCM HAND CLEANER - 300</t>
  </si>
  <si>
    <t>HOSE REEL IT-RE-82075-OLP</t>
  </si>
  <si>
    <t>IMCO DOCUMENT KEEPER 20 POCKET 1811</t>
  </si>
  <si>
    <t>IMCO DOCUMENT KEEPER 40 HALAMAN 1812</t>
  </si>
  <si>
    <t>NN RULER METAL 50 CM</t>
  </si>
  <si>
    <t>PAINT PENTA SUPER GLOSS</t>
  </si>
  <si>
    <t>GLUE</t>
  </si>
  <si>
    <t>BATTERY ENERGIZER A23</t>
  </si>
  <si>
    <t>(A) POWER ADAPTOR CCTV</t>
  </si>
  <si>
    <t>MIKA SIMONA 5MM 120X240CM</t>
  </si>
  <si>
    <t>TIMER DIGITAL CLIPSAL 220 - 240V 50HZ</t>
  </si>
  <si>
    <t>CABLE ETERNA NYYHY 2 X 4 MM</t>
  </si>
  <si>
    <t>FORM TOOL BOX MEETING</t>
  </si>
  <si>
    <t>PLASTIC SHRINK</t>
  </si>
  <si>
    <t>(A) AIR CONDITIONER (AC) 1/2 PK</t>
  </si>
  <si>
    <t>WATER TANK</t>
  </si>
  <si>
    <t>BRICK (BATU BATA)</t>
  </si>
  <si>
    <t>HAND TOOL</t>
  </si>
  <si>
    <t>ELECTRIC GRINDER</t>
  </si>
  <si>
    <t>RED RUBBER GREASE</t>
  </si>
  <si>
    <t>LOCK</t>
  </si>
  <si>
    <t>(A) CHAIR</t>
  </si>
  <si>
    <t>INK REFILL BLACK</t>
  </si>
  <si>
    <t>INK REFILL E-PRINT BLACK CANON</t>
  </si>
  <si>
    <t>INK REFILL E-PRINT COLOR CANON</t>
  </si>
  <si>
    <t>KEY LOCKER LION L.554</t>
  </si>
  <si>
    <t>BRASS HAMMER</t>
  </si>
  <si>
    <t>HAND TAP</t>
  </si>
  <si>
    <t>STRECH PLASTIC 20CM X 500M</t>
  </si>
  <si>
    <t>ELCB 40A</t>
  </si>
  <si>
    <t>SEAL TAPE</t>
  </si>
  <si>
    <t>NAIL</t>
  </si>
  <si>
    <t>WATER CLOSET (WC) TOTO</t>
  </si>
  <si>
    <t>WATER PITCHER LUMINARC 1.3LT</t>
  </si>
  <si>
    <t>NYLON FOR BRUSH CUTTER TASCO</t>
  </si>
  <si>
    <t>DINNER BUFFET</t>
  </si>
  <si>
    <t>SANDER ELECTRIC</t>
  </si>
  <si>
    <t>DRUM OIL 200LT</t>
  </si>
  <si>
    <t>WEBBING SLING CAP 1 TON X 3M</t>
  </si>
  <si>
    <t>PIPE</t>
  </si>
  <si>
    <t>HANDPHONE</t>
  </si>
  <si>
    <t>DOOR HANDLE</t>
  </si>
  <si>
    <t>ABSORBENT BOOM</t>
  </si>
  <si>
    <t>SPOTCHECKER SKC-S</t>
  </si>
  <si>
    <t>FILE SET (KIKIR SET)</t>
  </si>
  <si>
    <t>INNER TIRE CATRS</t>
  </si>
  <si>
    <t>OUTSIDE TIRE CARTS</t>
  </si>
  <si>
    <t>WOOD SAW</t>
  </si>
  <si>
    <t>RULER ELBOW STAINLESS</t>
  </si>
  <si>
    <t>DUSTBIN SS 31X26X65CM W/ASHTRAY KW180104</t>
  </si>
  <si>
    <t>PAINT NIPPE WHITE</t>
  </si>
  <si>
    <t>SPRAY PAINT PYLOX YELLOW</t>
  </si>
  <si>
    <t>PAINT PLATEONE WHITE 1001</t>
  </si>
  <si>
    <t>PAINT FTALIT CREAM 127</t>
  </si>
  <si>
    <t>AIR FILTER</t>
  </si>
  <si>
    <t>BELT DRIVER</t>
  </si>
  <si>
    <t>EMERGENCY BUTTON</t>
  </si>
  <si>
    <t>CONTACTOR</t>
  </si>
  <si>
    <t>CONTAINER PLASTIC BOX KIRAMAS UK. 50 LTR</t>
  </si>
  <si>
    <t>N2005</t>
  </si>
  <si>
    <t>COUPLER</t>
  </si>
  <si>
    <t>ELECTRIC SOLDERING IRON</t>
  </si>
  <si>
    <t>CABLE DUCT</t>
  </si>
  <si>
    <t>(A) ALARM</t>
  </si>
  <si>
    <t>FORM SERVICE REQ FRM PSDV.SVOP.F.001 (N)</t>
  </si>
  <si>
    <t>CAM SWITCH</t>
  </si>
  <si>
    <t>NAPKINS (KAIN LAP)</t>
  </si>
  <si>
    <t>BEVERAGE</t>
  </si>
  <si>
    <t>FOOD</t>
  </si>
  <si>
    <t>TRAFO BALANCE 12V 60W DIMMABLE</t>
  </si>
  <si>
    <t>LUBRICANT OIL</t>
  </si>
  <si>
    <t>STAPLES</t>
  </si>
  <si>
    <t>CONCRETE DRILL</t>
  </si>
  <si>
    <t>FUEL LINE</t>
  </si>
  <si>
    <t>AIR REGULATOR AC 4000-04G</t>
  </si>
  <si>
    <t>FORM PARTS CONSIGNMENT STOCK (PCS)</t>
  </si>
  <si>
    <t>JERRY CAN</t>
  </si>
  <si>
    <t>BLANK ID CARD</t>
  </si>
  <si>
    <t>WRENCH LIFT CYL HYDRAULIC</t>
  </si>
  <si>
    <t>CALIBRATION FOR CURRENT TRANSFORMER</t>
  </si>
  <si>
    <t>FORM P2H FORKLIFT</t>
  </si>
  <si>
    <t>HAND-HELD CIRCULAR SAW</t>
  </si>
  <si>
    <t>CALIBRATION FOR AUTO MOTIVE METER</t>
  </si>
  <si>
    <t>CALIBRATION FOR INFRARED THERMOMETER</t>
  </si>
  <si>
    <t>CALIBRATION FOR TEMPERATURE CALIBRATOR</t>
  </si>
  <si>
    <t>CALIBRATION FOR PRESSURE GAUGE</t>
  </si>
  <si>
    <t>CALIBRATION FOR DOCUMENTING PROCESS</t>
  </si>
  <si>
    <t>COFFEE KAPAL API SPECIAL MIX 25GR</t>
  </si>
  <si>
    <t>HPL (PELAPIS FURNITURE)</t>
  </si>
  <si>
    <t>TRANSFLOOR (PER CAN)</t>
  </si>
  <si>
    <t>THINNER TRANS 210 @ 5 LTR</t>
  </si>
  <si>
    <t>AQUADES 100 ML</t>
  </si>
  <si>
    <t>VISCOMETER TUBE</t>
  </si>
  <si>
    <t>SCOTHLITE STICKER 3M</t>
  </si>
  <si>
    <t>CABLE S/CORE 4MM 15 A 100M</t>
  </si>
  <si>
    <t>POSTER WALL</t>
  </si>
  <si>
    <t>KRUSHERS SAFETY SHOES, NEVADA 213121</t>
  </si>
  <si>
    <t>DRILL BIT CONCREATE BOSCH DIA 12 MM</t>
  </si>
  <si>
    <t>KASTOR WHEEL ENDO FIXED 6 "</t>
  </si>
  <si>
    <t>PLASTIC TRASH BAG (SHEET/EA)</t>
  </si>
  <si>
    <t>CRC 2031 LECTRA SHIELD AEROSOL 300 GM</t>
  </si>
  <si>
    <t>GAS NOZZLE 16MM PN. KP1932-1</t>
  </si>
  <si>
    <t>CNC NOZZLE 105 A PN. 220990</t>
  </si>
  <si>
    <t>CNC SHIELD 105 A PN. 220993</t>
  </si>
  <si>
    <t>OIL</t>
  </si>
  <si>
    <t>BELT</t>
  </si>
  <si>
    <t>DUCTING 16 X 25 MM</t>
  </si>
  <si>
    <t>FORM CHECKLIST INSPECTION LV</t>
  </si>
  <si>
    <t>STOPPER PN. MB111253</t>
  </si>
  <si>
    <t>SWITCH STARTER</t>
  </si>
  <si>
    <t>SIFONE WASTAFEL</t>
  </si>
  <si>
    <t>LK POLISHING PAD WHITE 16" PN. NV0200341</t>
  </si>
  <si>
    <t>TAP MATIC</t>
  </si>
  <si>
    <t>PLASTIC BAG CLIP PESIZE 8 X 5</t>
  </si>
  <si>
    <t>CABLE BELDEN 9503-RS-232</t>
  </si>
  <si>
    <t>STROBE LIGHT</t>
  </si>
  <si>
    <t>CABLE ELECTRICAL</t>
  </si>
  <si>
    <t>BREAKER 32A 3 PHASE</t>
  </si>
  <si>
    <t>ADAPTOR AC / DC</t>
  </si>
  <si>
    <t>SOCKET PVC 1" - 3/4"</t>
  </si>
  <si>
    <t>BUSHING SHOCK</t>
  </si>
  <si>
    <t>CAPACITOR 30 MICRO</t>
  </si>
  <si>
    <t>CAPACITOR 1.5 MICRO</t>
  </si>
  <si>
    <t>CAPACITOR 2.5 MICRO</t>
  </si>
  <si>
    <t>ELEMENT RING</t>
  </si>
  <si>
    <t>DISPLAY BOX - ACRYLIC</t>
  </si>
  <si>
    <t>N0408</t>
  </si>
  <si>
    <t>SPECALOG 4 PAGE A4 OMEGA 150G 2000 BOOKS</t>
  </si>
  <si>
    <t>SPECALOG 8 PAGE A4 OMEGA 150G 2000 BOOKS</t>
  </si>
  <si>
    <t>STORAGE BOX REIKO</t>
  </si>
  <si>
    <t>INTERMEDIATE LENS CLEMCO</t>
  </si>
  <si>
    <t>INNER LENS CLEMCO</t>
  </si>
  <si>
    <t>FAN GRINDER</t>
  </si>
  <si>
    <t>OIL FILTER</t>
  </si>
  <si>
    <t>DRILL MACHINE</t>
  </si>
  <si>
    <t>QUICK COUPLING 1/2 X 1/2</t>
  </si>
  <si>
    <t>SLING BELT</t>
  </si>
  <si>
    <t>DUAL FLUSH VALVE</t>
  </si>
  <si>
    <t>COMBINATION HAMMER</t>
  </si>
  <si>
    <t>GLASS</t>
  </si>
  <si>
    <t>CLIP V8</t>
  </si>
  <si>
    <t>FORM SUMMARY REPORT</t>
  </si>
  <si>
    <t>GLOVES CLOTH</t>
  </si>
  <si>
    <t>BENCH VISE 6" W/ SWIVEL BASE</t>
  </si>
  <si>
    <t>HEAT GUN</t>
  </si>
  <si>
    <t>PRINTER EPSON L355</t>
  </si>
  <si>
    <t>LAMP 12V 60/55W</t>
  </si>
  <si>
    <t>HEAVY DUTY FLEXIBLE HOSE 1/2"X1/2"X300MM</t>
  </si>
  <si>
    <t>SHOWER SPRAY TOTO THX20NBP1V</t>
  </si>
  <si>
    <t>LAMP PHILIPS PL-S 2 P 9W/865</t>
  </si>
  <si>
    <t>EPOXY ADHESIVE DEXTONE</t>
  </si>
  <si>
    <t>CABLE VGA (EA)</t>
  </si>
  <si>
    <t>ACCU</t>
  </si>
  <si>
    <t>STEEL SHELVING KRISBOW KW17-60</t>
  </si>
  <si>
    <t>MEDIUM BLAST SUIT CLEMCO</t>
  </si>
  <si>
    <t>PLANT</t>
  </si>
  <si>
    <t>SOLVENT DEGREASER MOTTOCHEM</t>
  </si>
  <si>
    <t>MICA</t>
  </si>
  <si>
    <t>GRINDER</t>
  </si>
  <si>
    <t>FOAM</t>
  </si>
  <si>
    <t>DIE GRINDER</t>
  </si>
  <si>
    <t>PLASTIC WRAPPING</t>
  </si>
  <si>
    <t>FLAG LV</t>
  </si>
  <si>
    <t>HYDRAULIC CYLINDER REMOVAL</t>
  </si>
  <si>
    <t>FULL BODY HARNESS</t>
  </si>
  <si>
    <t>CABLE (EA)</t>
  </si>
  <si>
    <t>PIN BROS</t>
  </si>
  <si>
    <t>FLOWERPOT</t>
  </si>
  <si>
    <t>BRACKET ANTENNA RADIO ICOM</t>
  </si>
  <si>
    <t>FORM FAILURE PARTS TAG PSDV.SVOP.FRM.045</t>
  </si>
  <si>
    <t>CABLE EXTENTION USB 4M</t>
  </si>
  <si>
    <t>WEB CAMERA</t>
  </si>
  <si>
    <t>URINAL FLUSH VALVE TOTO T60P</t>
  </si>
  <si>
    <t>CAT SEIV BLACK</t>
  </si>
  <si>
    <t>CABLE SUPREME NYA 1.5 MM</t>
  </si>
  <si>
    <t>CARPET</t>
  </si>
  <si>
    <t>BUR CARBIDE CYL SQ/E DBL 1/2" X 1" SA500</t>
  </si>
  <si>
    <t>ANTISPATTER SPRAY JBS AEROSOL 500G</t>
  </si>
  <si>
    <t>SANDPAPER</t>
  </si>
  <si>
    <t>PHOTOCOPY PARTS BOOK</t>
  </si>
  <si>
    <t>PHOTOCOPY MANUAL BOOK</t>
  </si>
  <si>
    <t>ADHESIVE TAPE</t>
  </si>
  <si>
    <t>BANDAGE</t>
  </si>
  <si>
    <t>PUSH TALK TRANSMISSION FOR RADIO RIG</t>
  </si>
  <si>
    <t>CPI PAINT REMOVER 103-4000</t>
  </si>
  <si>
    <t>BAND AID</t>
  </si>
  <si>
    <t>ASSORTED SAFETY PINS (PAKET)</t>
  </si>
  <si>
    <t>ALTERNATRO ASSY PN.MD366050</t>
  </si>
  <si>
    <t>SAFETY GLASS</t>
  </si>
  <si>
    <t>HEATING ELEMENT</t>
  </si>
  <si>
    <t>ELBOW PIPE 3/4"</t>
  </si>
  <si>
    <t>TUNGSTEN ELECTRODE</t>
  </si>
  <si>
    <t>BOX ACRYLIC</t>
  </si>
  <si>
    <t>PIN PN 47639-60020</t>
  </si>
  <si>
    <t>BRACKET PN 47629-60010</t>
  </si>
  <si>
    <t>CON.MMC MINICOMPRESSOR PN. 88290014-903</t>
  </si>
  <si>
    <t>LIQUID DETERGENT</t>
  </si>
  <si>
    <t>CARPET VINIL</t>
  </si>
  <si>
    <t>FLOOR STOP PN. 1704424</t>
  </si>
  <si>
    <t>EON CRACK 200A</t>
  </si>
  <si>
    <t>N0606</t>
  </si>
  <si>
    <t>GLASSES ELVEX RXP-100 PRESCRIPTION</t>
  </si>
  <si>
    <t>WIRELESS</t>
  </si>
  <si>
    <t>ROUND BAR</t>
  </si>
  <si>
    <t>CHIPPING LENSES PN. 453999</t>
  </si>
  <si>
    <t>ABSORBENT</t>
  </si>
  <si>
    <t>POSTER SIZE 150 X 90 CM</t>
  </si>
  <si>
    <t>PLASTIC BAG CLIP PESIZE 15 X 12 CM</t>
  </si>
  <si>
    <t>AED PAD</t>
  </si>
  <si>
    <t>COOLANT RADIATOR</t>
  </si>
  <si>
    <t>HOSE FESTO PUN-12X2 PNEUMATIC 10 BAR</t>
  </si>
  <si>
    <t>SPEAKER</t>
  </si>
  <si>
    <t>STOPPER</t>
  </si>
  <si>
    <t>N2008</t>
  </si>
  <si>
    <t>AUTOMATED EXTERNAL DEFIBILATOR</t>
  </si>
  <si>
    <t>PLYWOOD 10MM</t>
  </si>
  <si>
    <t>SUPPLY &amp; INSTALL FENCE</t>
  </si>
  <si>
    <t>DRAIN OPENER SHOCK 375G</t>
  </si>
  <si>
    <t>POSTER A4</t>
  </si>
  <si>
    <t>BUSHING STABILIZER</t>
  </si>
  <si>
    <t>BEVERAGES - ABC SYRUP</t>
  </si>
  <si>
    <t>CONTAINER PLASTIC BOX LION STAR</t>
  </si>
  <si>
    <t>LIQUID FOR WATER CLOSET</t>
  </si>
  <si>
    <t>BARRICADE TAPE 3" 500MTR YELLOW</t>
  </si>
  <si>
    <t>ID CARD VISITOR</t>
  </si>
  <si>
    <t>CARTRIDGE HP CN055A / HP 933XL MAGENTA</t>
  </si>
  <si>
    <t>CARTRIDGE HP CN056A / HP 933XL YELLOW</t>
  </si>
  <si>
    <t>CABLE TIES NYLON</t>
  </si>
  <si>
    <t>BELT TRAKINDO 6SIGMA</t>
  </si>
  <si>
    <t>BARRICADE TAPE 3" 300MTR RED-WHITE</t>
  </si>
  <si>
    <t>TOOL CHARGING AC</t>
  </si>
  <si>
    <t>CRC 2016 CO CONTACT CLEAN AEROSOL 350GM</t>
  </si>
  <si>
    <t>CONTACT TIP</t>
  </si>
  <si>
    <t>ELECTRODE</t>
  </si>
  <si>
    <t>SLING</t>
  </si>
  <si>
    <t>CARTRIDGE HP CN053A / 932 XL BLACK</t>
  </si>
  <si>
    <t>(A) CABLING &amp; INSTALLATION MATERIALS</t>
  </si>
  <si>
    <t>EVENT MATERIAL</t>
  </si>
  <si>
    <t>N0301</t>
  </si>
  <si>
    <t>SUSPENSION FILING FOLDER</t>
  </si>
  <si>
    <t>FASTER BALLPOINT RETRACTABLE C6 (BOX)</t>
  </si>
  <si>
    <t>POLYESTER STICKER FOR "CATERPILLAR LOGO"</t>
  </si>
  <si>
    <t>BALL STOP</t>
  </si>
  <si>
    <t>NN PLASTIC CD CASE</t>
  </si>
  <si>
    <t>PRYBAR</t>
  </si>
  <si>
    <t>(A) RADIO MOTOROLA GM 3688VHF 25W</t>
  </si>
  <si>
    <t>WELDING MACHINE (&lt; IDR 10 MIO)</t>
  </si>
  <si>
    <t>NYLON</t>
  </si>
  <si>
    <t>GASKET MAKER (CUSTOM)</t>
  </si>
  <si>
    <t>FX DUFFLE BAG - RMDFLBAG - 001 BLACK</t>
  </si>
  <si>
    <t>FREEZER FOR TOOLS (&lt; IDR 10 MIO)</t>
  </si>
  <si>
    <t>WATER ADDITIVE BATTERY FLUID</t>
  </si>
  <si>
    <t>GRINDING WHEEL FLEXOVIT PN. 6710260</t>
  </si>
  <si>
    <t>AS SCREW</t>
  </si>
  <si>
    <t>STOP CONTACT ELECTRIC MALE SOCKET 220V</t>
  </si>
  <si>
    <t>OVERLOAD SCHNEIDER 2 - 6 A</t>
  </si>
  <si>
    <t>SCALE MODEL CAT G3516 GAS ENGINE</t>
  </si>
  <si>
    <t>DEGREASER</t>
  </si>
  <si>
    <t>SOCKET WRENCH</t>
  </si>
  <si>
    <t>HANDLE SOCKET</t>
  </si>
  <si>
    <t>(A) TELEVISION (TV)</t>
  </si>
  <si>
    <t>BOOKLET</t>
  </si>
  <si>
    <t>POP MIE</t>
  </si>
  <si>
    <t>ROPE</t>
  </si>
  <si>
    <t>MAGNAFLUX WCP2</t>
  </si>
  <si>
    <t>PENCIL</t>
  </si>
  <si>
    <t>FILTER</t>
  </si>
  <si>
    <t>SNAP RING PLIERS</t>
  </si>
  <si>
    <t>PORTABLE BACKDROP</t>
  </si>
  <si>
    <t>PAINT PLANTON BLACK</t>
  </si>
  <si>
    <t>OSBOND 394 ANTI RUST</t>
  </si>
  <si>
    <t>CUP FUEL TANK</t>
  </si>
  <si>
    <t>SAFETY NET SIZE 6 MTR X 100 MTR</t>
  </si>
  <si>
    <t>FRAME ACRYLIC SIZE 34 CM X 25 CM X 2MM</t>
  </si>
  <si>
    <t>POST IT NO. 654 (5 COLORS)</t>
  </si>
  <si>
    <t>POSTER</t>
  </si>
  <si>
    <t>TEE</t>
  </si>
  <si>
    <t>REDUCER</t>
  </si>
  <si>
    <t>CRC 3060 COMPOUND CUTTING TREFOLEX 500ML</t>
  </si>
  <si>
    <t>ALFAX SC612 SCISSORS</t>
  </si>
  <si>
    <t>STICKER CAT RENTAL STORE 82,5 X 21,5 CM</t>
  </si>
  <si>
    <t>STICKER CAT RENTAL STORE 57,5 X 21,5 CM</t>
  </si>
  <si>
    <t>STICKER CAT RENTAL STORE SZE 44.8X11.7CM</t>
  </si>
  <si>
    <t>STICKER CAT RENTAL STORE SZE 20 X 5.2 CM</t>
  </si>
  <si>
    <t>STICKER CAT RENTAL STORE SZE 10X2.6CM</t>
  </si>
  <si>
    <t>STICKER CAT CERTIFIED USED SZ 30,5X15CM</t>
  </si>
  <si>
    <t>FORM TOOL ISSUE &amp; RETURN RECORD INTERNAL</t>
  </si>
  <si>
    <t>FORM TOOL ISSUE &amp; RETURN RECORD EXTERNAL</t>
  </si>
  <si>
    <t>POSTER SIZE 46X34CM</t>
  </si>
  <si>
    <t>SNAP OFF BLADE CUTTER</t>
  </si>
  <si>
    <t>WHEEL POLISH</t>
  </si>
  <si>
    <t>CPR FACE SHIELD FOIL PACK</t>
  </si>
  <si>
    <t>COFFEE WHITE</t>
  </si>
  <si>
    <t>RING BINDER A4 2D 50MM CUSTOM COVER</t>
  </si>
  <si>
    <t>TIRE BRIDGESTONE 600 X 9 10 PR JL</t>
  </si>
  <si>
    <t>EPOXY FLOOR COATING (GLOSS)</t>
  </si>
  <si>
    <t>PAINT DANALAC BEIGE PN. 083-8760</t>
  </si>
  <si>
    <t>SPADE TERM.FLARED 4.3MM BLUE PN.513127BL</t>
  </si>
  <si>
    <t>RING TERM.FLARED 6.3MM BLUE PN.513127BL</t>
  </si>
  <si>
    <t>RING TERM.FLARED 9.5MM BLUE PN.513129BL</t>
  </si>
  <si>
    <t>BLADE FUSE 5 AMP ORANGE PN. 752511</t>
  </si>
  <si>
    <t>HOSE FUEL</t>
  </si>
  <si>
    <t>FRONT BUMPER</t>
  </si>
  <si>
    <t>N1602</t>
  </si>
  <si>
    <t>BUGGY WHIP</t>
  </si>
  <si>
    <t>SPARK PLUG KF</t>
  </si>
  <si>
    <t>MOP WITH HANDLE KRISBOW 18-02</t>
  </si>
  <si>
    <t>PNEUMATIC OIL DISPENSER 3-8 BAR 24 LTR</t>
  </si>
  <si>
    <t>CHARGER AL1 12.651-1</t>
  </si>
  <si>
    <t>PAINT FTALIT BLACK</t>
  </si>
  <si>
    <t>RAKE OF GARBAGE</t>
  </si>
  <si>
    <t>MOP NAGATA</t>
  </si>
  <si>
    <t>PRINT COLOUR A4 HVS</t>
  </si>
  <si>
    <t>PRINT COLOUR A5 ART PAPER 150GSM</t>
  </si>
  <si>
    <t>PRINT COLOUR A5 ART CARTON 210GSM-260GSM</t>
  </si>
  <si>
    <t>PRINT BW HVS A5</t>
  </si>
  <si>
    <t>PRINT BW HVS A4</t>
  </si>
  <si>
    <t>PHOTOCOPY BW HVS A4</t>
  </si>
  <si>
    <t>JILID RING KAWAT 61-100 LEMBAR</t>
  </si>
  <si>
    <t>PLASTIK MIKA TEBAL/DOFF A5</t>
  </si>
  <si>
    <t>SKUN (2-4 MM) RED &amp; BLACK</t>
  </si>
  <si>
    <t>JILID SOFT COVER A4</t>
  </si>
  <si>
    <t>T MOUNT (KSS 102)</t>
  </si>
  <si>
    <t>SOFTWARE AUTOCAD</t>
  </si>
  <si>
    <t>N1202</t>
  </si>
  <si>
    <t>MOTTOCHEM 2012 WATER SOLUBLE CLEANER</t>
  </si>
  <si>
    <t>(A) CCTV DVR</t>
  </si>
  <si>
    <t>TACHOMETER</t>
  </si>
  <si>
    <t>BINDING SOFT COVER A4 31-60 LBR</t>
  </si>
  <si>
    <t>MATCHES</t>
  </si>
  <si>
    <t>STICKER 10X6CM VINYL 3M LAMINATING DOVE</t>
  </si>
  <si>
    <t>KLEA OIL COMPRESSOR AC</t>
  </si>
  <si>
    <t>RTV CILICONE</t>
  </si>
  <si>
    <t>RTV CILICONE BLACK</t>
  </si>
  <si>
    <t>EMKARATE RL68H COMPRESSOR OIL</t>
  </si>
  <si>
    <t>STICKER 15X8CM VINYL 3M LAMINATING DOVE</t>
  </si>
  <si>
    <t>PHOTO PAPER HIGH GLOSSY</t>
  </si>
  <si>
    <t>TELEPHONE PANASONIC KX-T123</t>
  </si>
  <si>
    <t>N1301</t>
  </si>
  <si>
    <t>LIGHTING SET PHILIPS 2X36 WATT WATERPROO</t>
  </si>
  <si>
    <t>(A) ALPHA TRIPOD SCREEN 70"</t>
  </si>
  <si>
    <t>DOMPOL</t>
  </si>
  <si>
    <t>(A) PROJECTOR INFOCUS IN114A</t>
  </si>
  <si>
    <t>POSTER SIZE 60X90CM</t>
  </si>
  <si>
    <t>DIGITAL KEY</t>
  </si>
  <si>
    <t>BBQ GRILL GAS BURNER</t>
  </si>
  <si>
    <t>GLUE FOX 5KG</t>
  </si>
  <si>
    <t>DURABLE PLASTIC</t>
  </si>
  <si>
    <t>PUMP ASSY FUEL PN 23221-13010</t>
  </si>
  <si>
    <t>GASKET COVER PN ME200403</t>
  </si>
  <si>
    <t>HEMPEL'S THINNER PN 08450</t>
  </si>
  <si>
    <t>EONHAND 270 (1CAN/5LTR)</t>
  </si>
  <si>
    <t>EONCLEAN 500 (1PAIL/25LTR)</t>
  </si>
  <si>
    <t>PLASTIC PALLET NPS 1208</t>
  </si>
  <si>
    <t>TAG STRETCHER</t>
  </si>
  <si>
    <t>COMPONENT RACK</t>
  </si>
  <si>
    <t>PARTICULATE RESPIRATOR HONEYWELL NH 801</t>
  </si>
  <si>
    <t>IMPACT WRENCH HEAVY DUTY</t>
  </si>
  <si>
    <t>RACHET TIE DOWN</t>
  </si>
  <si>
    <t>COMPONENT BASKET</t>
  </si>
  <si>
    <t>(A) WORKBENCH &amp; DRAWER</t>
  </si>
  <si>
    <t>CASTOR HEAVY DUTY C610 POLYURETHANE 5"</t>
  </si>
  <si>
    <t>CEMENT TIGARODA 50KG</t>
  </si>
  <si>
    <t>BRAKE FLUID</t>
  </si>
  <si>
    <t>PIPE BRUSH</t>
  </si>
  <si>
    <t>HANDTRUCK TROLLEY NG 402</t>
  </si>
  <si>
    <t>TRAFFIC BUTTON LIGHT</t>
  </si>
  <si>
    <t>RESPIRATOR R10 N95 UNVAIVE</t>
  </si>
  <si>
    <t>CONTROLLER DSC PN 207614</t>
  </si>
  <si>
    <t>(A) VACUM CLEANER</t>
  </si>
  <si>
    <t>SCALE MODEL MOTOR GRADER 24H</t>
  </si>
  <si>
    <t>CARTRIDGE CANON MG2570 745XL BLACK</t>
  </si>
  <si>
    <t>CARTRIDGE CANON MG2570 746XL COLOUR</t>
  </si>
  <si>
    <t>RECYCLE BAG COLOR. BLACK (SABLON 2 MUKA)</t>
  </si>
  <si>
    <t>SCALE MODEL OHT 777D</t>
  </si>
  <si>
    <t>STAMP NAME + TITLE (TRODAT 4911)</t>
  </si>
  <si>
    <t>PULLEY ADJUSTER</t>
  </si>
  <si>
    <t>TO REPLACE STICKER</t>
  </si>
  <si>
    <t>IRON (SETRIKA) PHILIPS MODEL HD 1172</t>
  </si>
  <si>
    <t>DRESS HANGER</t>
  </si>
  <si>
    <t>OVERVAL</t>
  </si>
  <si>
    <t>HANDLE RADIO</t>
  </si>
  <si>
    <t>HUB/SWITCH 6 PORT</t>
  </si>
  <si>
    <t>(A) COMPRESSOR</t>
  </si>
  <si>
    <t>PKH LAB COAT WITH TRAKINDO LOGO</t>
  </si>
  <si>
    <t>SAFETY VEST COMMANDER</t>
  </si>
  <si>
    <t>(A) PUMP SPRAYER</t>
  </si>
  <si>
    <t>CHAIN BLOCK BRAND VITAL CAP.3TON</t>
  </si>
  <si>
    <t>FLOOR TAPE</t>
  </si>
  <si>
    <t>LINCOLN 7018</t>
  </si>
  <si>
    <t>LANOTEC HEAVY DUTY LIQUID LANOLIN</t>
  </si>
  <si>
    <t>HOSE SPIRAL COMPRESSOR LIPRO 9 MTR</t>
  </si>
  <si>
    <t>WEBBING SLING CAP 2 TON X 4 MTR</t>
  </si>
  <si>
    <t>WEBBING SLING CAP 2 TON X 6 MTR</t>
  </si>
  <si>
    <t>CLEANING MATERIAL</t>
  </si>
  <si>
    <t>CLEANING CONSUMABLE</t>
  </si>
  <si>
    <t>CIRCULAR SAW BLADE</t>
  </si>
  <si>
    <t>FAN</t>
  </si>
  <si>
    <t>ELECTRIC POWER</t>
  </si>
  <si>
    <t>MODULAR</t>
  </si>
  <si>
    <t>TYRE BRIDGESTONE</t>
  </si>
  <si>
    <t>HAND FAN (TRAKINDO LOGO)</t>
  </si>
  <si>
    <t>NOZZEL</t>
  </si>
  <si>
    <t>SPIRAL</t>
  </si>
  <si>
    <t>RUSTY PREVENTIVE 7P 157  - BRAND TEEPRO</t>
  </si>
  <si>
    <t>WELDING HANDLE</t>
  </si>
  <si>
    <t>JACK TEKIRO</t>
  </si>
  <si>
    <t>SWITCH ON/OFF</t>
  </si>
  <si>
    <t>CAP RADIATOR PN JK022510-1570</t>
  </si>
  <si>
    <t>SAFETY CATCH HOOK</t>
  </si>
  <si>
    <t>REFILL ACETYLENE</t>
  </si>
  <si>
    <t>PROTECTION APPAREL</t>
  </si>
  <si>
    <t>THERMAL</t>
  </si>
  <si>
    <t>CASIO CALCULATOR 12 DIGIT MX-12S/MZ-12S</t>
  </si>
  <si>
    <t>TRASH BIN 42 LT COMET STAR GREY</t>
  </si>
  <si>
    <t>WELDING CABLE</t>
  </si>
  <si>
    <t>TANG MASSA</t>
  </si>
  <si>
    <t>VINYL FLOOR</t>
  </si>
  <si>
    <t>AIBON GLUE</t>
  </si>
  <si>
    <t>KIT WAX RESTORATIVE 225 gr</t>
  </si>
  <si>
    <t>MULTI DRUG 6 P 25T/BOX BRAND MONO</t>
  </si>
  <si>
    <t>HARDISK</t>
  </si>
  <si>
    <t>BODY COVER</t>
  </si>
  <si>
    <t>ELBOW PVC 45 DEGREE DIA. 3"</t>
  </si>
  <si>
    <t>COLD WATER HIGH PRESSURE CLEANER</t>
  </si>
  <si>
    <t>BULP LAMP 36WATT</t>
  </si>
  <si>
    <t>MOP (KAIN PEL)</t>
  </si>
  <si>
    <t>COMMUNICATION MODULE</t>
  </si>
  <si>
    <t>BOLT</t>
  </si>
  <si>
    <t>WASHER</t>
  </si>
  <si>
    <t>TOOLS</t>
  </si>
  <si>
    <t>CUP</t>
  </si>
  <si>
    <t>LENS</t>
  </si>
  <si>
    <t>CUTTING PLIERS</t>
  </si>
  <si>
    <t>SHOCK BREAKER PN HU 36110-FD100</t>
  </si>
  <si>
    <t>FAN BELT PN. WL81-15-380</t>
  </si>
  <si>
    <t>MAGNETIC BAR</t>
  </si>
  <si>
    <t>PULLEY AC WLBC-15-940A</t>
  </si>
  <si>
    <t>BUSHING</t>
  </si>
  <si>
    <t>CASTER3500# SWIVEL WHEEL PN 1A070001-S</t>
  </si>
  <si>
    <t>CENDO CENFRESH ED (MINIDOSE) (1SET=5EA)</t>
  </si>
  <si>
    <t>REGULATOR</t>
  </si>
  <si>
    <t>SURFACE SWITCH WHS20 IP66 20A</t>
  </si>
  <si>
    <t>SELECTOR SWITCH TRIPPLE POLE PN 56SW320</t>
  </si>
  <si>
    <t>Box Beam L 2500 150 X 50 X 3.0 (2 X 1,5)</t>
  </si>
  <si>
    <t>ISOLASI HITAM</t>
  </si>
  <si>
    <t>ISOLASI KERTAS</t>
  </si>
  <si>
    <t>SEAL TIP</t>
  </si>
  <si>
    <t>KUAS 1.5</t>
  </si>
  <si>
    <t>KUAS 2.5</t>
  </si>
  <si>
    <t>AIR ACCU ZUUR</t>
  </si>
  <si>
    <t>RED SILICONE</t>
  </si>
  <si>
    <t>BAN DALAM</t>
  </si>
  <si>
    <t>SCREWDRIVER SETS</t>
  </si>
  <si>
    <t>TWIN HOSE OXY/ACET 5MM 5 MTR PN 308693</t>
  </si>
  <si>
    <t>PRODUCT CLIPSAL</t>
  </si>
  <si>
    <t>STOP VALVE</t>
  </si>
  <si>
    <t>PUSH TO TALK FOR RADIO</t>
  </si>
  <si>
    <t>RUBBER SANDPAPER</t>
  </si>
  <si>
    <t>SOCKET WITH BREAK ISOLATING SWITCH</t>
  </si>
  <si>
    <t>CHALK</t>
  </si>
  <si>
    <t>ALUM (TAWAS)</t>
  </si>
  <si>
    <t>WELDING TOOLS</t>
  </si>
  <si>
    <t>STICKER FIXED ASSET TAGGING 3X6CM</t>
  </si>
  <si>
    <t>PNEUMATIC</t>
  </si>
  <si>
    <t>SWITCH</t>
  </si>
  <si>
    <t>STEKER</t>
  </si>
  <si>
    <t>DONGLE WIRELESS</t>
  </si>
  <si>
    <t>GRINDING MACHINE</t>
  </si>
  <si>
    <t>CHAIN HOIST</t>
  </si>
  <si>
    <t>SOCKET 12 MM 12 PT PN 5212M</t>
  </si>
  <si>
    <t>WRENCH COMBINATION 10 MM PN 1210MASD</t>
  </si>
  <si>
    <t>PRESTONE ANTIFREEZE COOLANT</t>
  </si>
  <si>
    <t>REFILL TONER/CARTRIDGE PRINTER</t>
  </si>
  <si>
    <t>SOAP DISPENSER</t>
  </si>
  <si>
    <t>PATCHPANEL</t>
  </si>
  <si>
    <t>SPARE PARTS (PIECE)</t>
  </si>
  <si>
    <t>MINI DUCT</t>
  </si>
  <si>
    <t>ELCB 25A 1 PHASE</t>
  </si>
  <si>
    <t>ALFAX TAPE DISPENSER</t>
  </si>
  <si>
    <t>RIBBON PRINTER DATA PRODUCT 8500</t>
  </si>
  <si>
    <t>LIFE JACKET</t>
  </si>
  <si>
    <t>BATA WORKMATES TITAN BROWN LACE UP</t>
  </si>
  <si>
    <t>SAFETY PADLOCK MASTERLOCK 410 YELLOW CLR</t>
  </si>
  <si>
    <t>FABRICATED CYLINDER TOOLS</t>
  </si>
  <si>
    <t>JAR SNACK/CANDY (TOPLES KUE/PERMEN)</t>
  </si>
  <si>
    <t>STEROFOAM GIANT CERTICATE</t>
  </si>
  <si>
    <t>24 YEARS - ORIS WATCH MEN SERVICE YEARS</t>
  </si>
  <si>
    <t>EON SOLV 135</t>
  </si>
  <si>
    <t>SEAL OIL</t>
  </si>
  <si>
    <t>BOOK (SHT)</t>
  </si>
  <si>
    <t>DRILL</t>
  </si>
  <si>
    <t>CLOCK</t>
  </si>
  <si>
    <t>EARPLUG 3M TYPE 312-1250 (BOX)</t>
  </si>
  <si>
    <t>TEE GALVANIS</t>
  </si>
  <si>
    <t>BALL VALVE KITZ</t>
  </si>
  <si>
    <t>CAP WELDERS PROBAN WAKATAC 152</t>
  </si>
  <si>
    <t>SPARE PARTS (SET)</t>
  </si>
  <si>
    <t>UMBUL-UMBUL (M2)</t>
  </si>
  <si>
    <t>M-2</t>
  </si>
  <si>
    <t>WHEEL NUT INDICATOR</t>
  </si>
  <si>
    <t>CROSS TEE</t>
  </si>
  <si>
    <t>ROOT DRAT</t>
  </si>
  <si>
    <t>ROTARY SWITCH</t>
  </si>
  <si>
    <t>PHOTO PAPER "BANTEX"</t>
  </si>
  <si>
    <t>STATER</t>
  </si>
  <si>
    <t>BATA SPORTMATES EDISON LACE UP ANKLE</t>
  </si>
  <si>
    <t>PHOTOBOOTH</t>
  </si>
  <si>
    <t>GOODIE BAG</t>
  </si>
  <si>
    <t>APPLICATION DEVELOPMENT (SOFTWARE)</t>
  </si>
  <si>
    <t>STOOL / BENCH</t>
  </si>
  <si>
    <t>CONTACT BATTERY SWITCH ON/OFF</t>
  </si>
  <si>
    <t>COLOUR PAPER FOR ENGINE BOOK</t>
  </si>
  <si>
    <t>SEAL</t>
  </si>
  <si>
    <t>MAGNUM GUN</t>
  </si>
  <si>
    <t>PIN CASTER</t>
  </si>
  <si>
    <t>KNOB</t>
  </si>
  <si>
    <t>BOAT</t>
  </si>
  <si>
    <t>INK EPSON L120 BLACK</t>
  </si>
  <si>
    <t>INK EPSON L120 RED</t>
  </si>
  <si>
    <t>INK EPSON L120 YELLOW</t>
  </si>
  <si>
    <t>INK EPSON L120 BLUE</t>
  </si>
  <si>
    <t>RING</t>
  </si>
  <si>
    <t>LAMP LED</t>
  </si>
  <si>
    <t>EPSON C13T143190 - BLACK  (WF-7511)</t>
  </si>
  <si>
    <t>EPSON C13T143290 - CYAN (WF-7511)</t>
  </si>
  <si>
    <t>EPSON C13T143390 - MAGENTA (WF-7511)</t>
  </si>
  <si>
    <t>EPSON C13T143490 - YELLOW  (WF-7511)</t>
  </si>
  <si>
    <t>INNER TUBE</t>
  </si>
  <si>
    <t>FLAP</t>
  </si>
  <si>
    <t>HEAVY DUTY OPEN HOSE REEL</t>
  </si>
  <si>
    <t>SPARE PART AIR IMPACT WRENCH</t>
  </si>
  <si>
    <t>CARTRIDGE PRINTER IP2770 TRI COLUR</t>
  </si>
  <si>
    <t>CARTRIDGE PRINTER IP2770 BLACK</t>
  </si>
  <si>
    <t>PDH WELDER ORANGE (FOREMAN/OIL GAS)</t>
  </si>
  <si>
    <t>UNTILITY KNIFE BLADES (1 PACK=10 PCS)</t>
  </si>
  <si>
    <t>DOOR SIGNAGE</t>
  </si>
  <si>
    <t>REMOTE</t>
  </si>
  <si>
    <t>BREATHER</t>
  </si>
  <si>
    <t>CUTLERIES (DIRECTOR'S)</t>
  </si>
  <si>
    <t>HOUSEKEEPING TOOLS</t>
  </si>
  <si>
    <t>KITCHEN TOOLS</t>
  </si>
  <si>
    <t>BATHROOM ACCESSORIES</t>
  </si>
  <si>
    <t>CONNECTOR PLUG</t>
  </si>
  <si>
    <t>JACK 2 TON</t>
  </si>
  <si>
    <t>REFILL APAR</t>
  </si>
  <si>
    <t>SLINK TOWING</t>
  </si>
  <si>
    <t>(A) HYDRAULIC ENGINE CRANE 2T</t>
  </si>
  <si>
    <t>COMET 3 MIXER</t>
  </si>
  <si>
    <t>HANDLIFT</t>
  </si>
  <si>
    <t>SUCTION PUMP ELECTRIC</t>
  </si>
  <si>
    <t>PLASTIC LID BOX FH 302 1100X750X100 T-5</t>
  </si>
  <si>
    <t>ADJUSTABLE WRENCH</t>
  </si>
  <si>
    <t>INNER TIRE</t>
  </si>
  <si>
    <t>MAGNETIC NOTICE BOARD (750 mm X 1400 mm)</t>
  </si>
  <si>
    <t>BOTTLE</t>
  </si>
  <si>
    <t>LOAD CELL ASSY</t>
  </si>
  <si>
    <t>TIMER</t>
  </si>
  <si>
    <t>TRANSFORMER</t>
  </si>
  <si>
    <t>VOLTMETER</t>
  </si>
  <si>
    <t>DIGITAL SCALE</t>
  </si>
  <si>
    <t>BROCHURE CUSTOMER TRAINING</t>
  </si>
  <si>
    <t>(A) MACHINE DRILLING</t>
  </si>
  <si>
    <t>(A) HANDY TALKIE MOTOROLLA</t>
  </si>
  <si>
    <t>HUB / SWITCH</t>
  </si>
  <si>
    <t>(A) MOBILE TOOL TROLLEY</t>
  </si>
  <si>
    <t>COVER PAPER BUFFALO (1 PAC=100 SHT)</t>
  </si>
  <si>
    <t>PLASTIC FLOAT</t>
  </si>
  <si>
    <t>CORTEC</t>
  </si>
  <si>
    <t>POSTER ACRYLIC</t>
  </si>
  <si>
    <t>TAP TOOL</t>
  </si>
  <si>
    <t>ELECTRIC DRILL MAKITA HP 1630</t>
  </si>
  <si>
    <t>POSTER ACRYLIC CORE VALUES</t>
  </si>
  <si>
    <t>DETERGENT POWDER</t>
  </si>
  <si>
    <t>TOILET BALL DAHLIA</t>
  </si>
  <si>
    <t>AIR VALVE</t>
  </si>
  <si>
    <t>HEADSET (NON ASSET)</t>
  </si>
  <si>
    <t>HYTORCH PUMP</t>
  </si>
  <si>
    <t>HYTORCH WRENCH</t>
  </si>
  <si>
    <t>TRAINING CENTER OUTLINE</t>
  </si>
  <si>
    <t>RADIO TRUNK</t>
  </si>
  <si>
    <t>COVER BASKET</t>
  </si>
  <si>
    <t>(A) LCD MONITOR</t>
  </si>
  <si>
    <t>N1101</t>
  </si>
  <si>
    <t>SINGLE CABLE</t>
  </si>
  <si>
    <t>POLYFLEX CORRUGATED CONDUIT</t>
  </si>
  <si>
    <t>MINI BLADE FUSE</t>
  </si>
  <si>
    <t>SPADE TERIMAL FLARED</t>
  </si>
  <si>
    <t>HORN</t>
  </si>
  <si>
    <t>SOLID TIRE</t>
  </si>
  <si>
    <t>EYE BOLT</t>
  </si>
  <si>
    <t>APPA 51 THERMOMETER</t>
  </si>
  <si>
    <t>COVER ENGINE</t>
  </si>
  <si>
    <t>WOOD</t>
  </si>
  <si>
    <t>TYRE INFLATOR</t>
  </si>
  <si>
    <t>RETAINING RING</t>
  </si>
  <si>
    <t>NOZZLE GUN</t>
  </si>
  <si>
    <t>CAMLOCK</t>
  </si>
  <si>
    <t>AIR OIL FILTER KIT</t>
  </si>
  <si>
    <t>GREASE TUBE</t>
  </si>
  <si>
    <t>BLOWER</t>
  </si>
  <si>
    <t>HEATER</t>
  </si>
  <si>
    <t>TIP HOLDER</t>
  </si>
  <si>
    <t>KEY</t>
  </si>
  <si>
    <t>SHAFT</t>
  </si>
  <si>
    <t>A4 BLANK PAPER 70G-YELLOW</t>
  </si>
  <si>
    <t>TRAKINDO CAT LOGO 28 CM X 7 CM</t>
  </si>
  <si>
    <t>PCBA CONTROLLER BOARD AND FAN</t>
  </si>
  <si>
    <t>FITTING HOUSING LAMP</t>
  </si>
  <si>
    <t>CABLE NYMHY</t>
  </si>
  <si>
    <t>PDH WELDER BLUE (NON FOREMAN)</t>
  </si>
  <si>
    <t>CANTILEVER RACK</t>
  </si>
  <si>
    <t>TERASHINE</t>
  </si>
  <si>
    <t>WIRING HARNESS</t>
  </si>
  <si>
    <t>FURNITURE (NON ASSET)</t>
  </si>
  <si>
    <t>PTTUSB WHITE NON-WINDOW 1/2 A4 ENVELOPE</t>
  </si>
  <si>
    <t>CARTRIDGE RESPIRATOR</t>
  </si>
  <si>
    <t>(A) OUTSIDE MICROMETER</t>
  </si>
  <si>
    <t>(A) CONNECTOR RJ45 (EA)</t>
  </si>
  <si>
    <t>SELECTIVE PALLET RACK H3 X W2.2 X D1 (m)</t>
  </si>
  <si>
    <t>DETERGENT RINSO SACHET</t>
  </si>
  <si>
    <t>DUST CUP</t>
  </si>
  <si>
    <t>CABLE NYYHY</t>
  </si>
  <si>
    <t>CABLE GLAND</t>
  </si>
  <si>
    <t>FLANGE</t>
  </si>
  <si>
    <t>RECHARGEABLE BATTERY</t>
  </si>
  <si>
    <t>LAMP PHILIPS</t>
  </si>
  <si>
    <t>OVEN</t>
  </si>
  <si>
    <t>(A) STOVE</t>
  </si>
  <si>
    <t>STRAINER</t>
  </si>
  <si>
    <t>ZINC ROOF 700 MM (4 M)</t>
  </si>
  <si>
    <t>BOLT + NUT</t>
  </si>
  <si>
    <t>REDUSER</t>
  </si>
  <si>
    <t>MEASURING TAPE</t>
  </si>
  <si>
    <t>FARGO RIBBON CARTRIDGE</t>
  </si>
  <si>
    <t>RUBBER ELECTRICAL TAPE</t>
  </si>
  <si>
    <t>TRANSCOAT 2152</t>
  </si>
  <si>
    <t>DYNABOLT M16 X 85</t>
  </si>
  <si>
    <t>CONTAINER LID TYPE L 2035</t>
  </si>
  <si>
    <t>SAND (PER BAG)</t>
  </si>
  <si>
    <t>RUBBER SHOES</t>
  </si>
  <si>
    <t>EARMUFF FACESHIELD VISOR ELVEX HM 2529</t>
  </si>
  <si>
    <t>LIFE JACKET THE VERSATILE I465</t>
  </si>
  <si>
    <t>TRANSMISSION STAND</t>
  </si>
  <si>
    <t>FLEXIBLE RUBBER WHEELS</t>
  </si>
  <si>
    <t>NAIL RIVET</t>
  </si>
  <si>
    <t>CARBIDE BLADE</t>
  </si>
  <si>
    <t>HACKSAW</t>
  </si>
  <si>
    <t>COUPLING</t>
  </si>
  <si>
    <t>SOLDERING GAS</t>
  </si>
  <si>
    <t>BULB</t>
  </si>
  <si>
    <t>BRAKE PAD</t>
  </si>
  <si>
    <t>MICRO SWITCH</t>
  </si>
  <si>
    <t>REPEATER SIGNAL GSM</t>
  </si>
  <si>
    <t>N1302</t>
  </si>
  <si>
    <t>TRIGGER</t>
  </si>
  <si>
    <t>THROTTLE VALVE</t>
  </si>
  <si>
    <t>VANE PACK</t>
  </si>
  <si>
    <t>LEVER</t>
  </si>
  <si>
    <t>SNAP RING</t>
  </si>
  <si>
    <t>WELDING HELMET</t>
  </si>
  <si>
    <t>ANTENNA</t>
  </si>
  <si>
    <t>LED INSPECTION LAMP</t>
  </si>
  <si>
    <t>V-BELT</t>
  </si>
  <si>
    <t>QUICK COUPLER</t>
  </si>
  <si>
    <t>FILTER ELEMENT</t>
  </si>
  <si>
    <t>ROTO INJECT FLUID</t>
  </si>
  <si>
    <t>CREAM SOAP WINGS</t>
  </si>
  <si>
    <t>MAGAZINE ANTARKITA</t>
  </si>
  <si>
    <t>TOWEL RACK</t>
  </si>
  <si>
    <t>(A) SPRING BED</t>
  </si>
  <si>
    <t>METAL VETO 831 N</t>
  </si>
  <si>
    <t>MOTOR</t>
  </si>
  <si>
    <t>COPPER CLEANER "BRASSO"</t>
  </si>
  <si>
    <t>BALE OF RICE</t>
  </si>
  <si>
    <t>FIBER GLASS PAPER</t>
  </si>
  <si>
    <t>AIR CYLINDER</t>
  </si>
  <si>
    <t>ROD</t>
  </si>
  <si>
    <t>CARBON REMOVER</t>
  </si>
  <si>
    <t>FIRST AID PERSONAL KIT (16.5X12.5X6 CM)</t>
  </si>
  <si>
    <t>AIR FRESHENER</t>
  </si>
  <si>
    <t>REFILL AIR FRESHENER</t>
  </si>
  <si>
    <t>FLOOR MARKING TAPE</t>
  </si>
  <si>
    <t>WATER RESISTANT CLOTH TAPE</t>
  </si>
  <si>
    <t>ID CARD HOLDER</t>
  </si>
  <si>
    <t>LICENSE</t>
  </si>
  <si>
    <t>N1203</t>
  </si>
  <si>
    <t>SOLDER TIN</t>
  </si>
  <si>
    <t>TOYOTA RUSH 1.5 S A/T OTR SILVER</t>
  </si>
  <si>
    <t>CAR ATTACHMENT SAFETY SPEC 1 &amp; 2</t>
  </si>
  <si>
    <t>VOUCHER (PRINTED)</t>
  </si>
  <si>
    <t>BELZONA 5831 R/M TG-ST BARRIER</t>
  </si>
  <si>
    <t>STEAM NOZZLE</t>
  </si>
  <si>
    <t>TIP WELDING GUN</t>
  </si>
  <si>
    <t>SPUL MAGNET</t>
  </si>
  <si>
    <t>REFLECTIVE TAPE</t>
  </si>
  <si>
    <t>((A) ANALEXPQL-PQ INSTRUMENT</t>
  </si>
  <si>
    <t>WATER DIPPER</t>
  </si>
  <si>
    <t>STONE SET</t>
  </si>
  <si>
    <t>ANGLE STEEL</t>
  </si>
  <si>
    <t>CF CAT ENGINE DSR 01-083995-10 500SET</t>
  </si>
  <si>
    <t>REFRIGERANT</t>
  </si>
  <si>
    <t>SHE MANAGEMENT SOFTWARE</t>
  </si>
  <si>
    <t>HEATSHRINK</t>
  </si>
  <si>
    <t>BLADE</t>
  </si>
  <si>
    <t>FEMALE BULLET</t>
  </si>
  <si>
    <t>O RING</t>
  </si>
  <si>
    <t>JOINT</t>
  </si>
  <si>
    <t>WELDING RESPIRATOR 3M 8515 (N95)</t>
  </si>
  <si>
    <t>SERVICE EQUIPMENT TAG</t>
  </si>
  <si>
    <t>TESTO SENSOR</t>
  </si>
  <si>
    <t>SAFETY SHOE KING'S KR805C MIDSOLE STEEL</t>
  </si>
  <si>
    <t>BEA BALIK NAMA LIGHT VEHICLE</t>
  </si>
  <si>
    <t>ROOM AMENITIES</t>
  </si>
  <si>
    <t>TAG - CHECK 15 X 17.5 CM</t>
  </si>
  <si>
    <t>MATT BLACK FINISHING WOODEN FRAME WITH</t>
  </si>
  <si>
    <t>FANFOLD 2-PLY 70/70GSM; SIZE: 175M X 27"</t>
  </si>
  <si>
    <t>RACK EMERGENCY RESPONSE TEAM</t>
  </si>
  <si>
    <t>TORCH</t>
  </si>
  <si>
    <t>TAG - USED 15 X 17.5 CM</t>
  </si>
  <si>
    <t>BUILDING</t>
  </si>
  <si>
    <t>ACCUMULATOR / BATTERY</t>
  </si>
  <si>
    <t>TAG - NOT ACCOUNT 15 X 17.5 CM</t>
  </si>
  <si>
    <t>HAND GRIP DILUTER</t>
  </si>
  <si>
    <t>ISOPROPANOL</t>
  </si>
  <si>
    <t>MAGNETIC STIRRER</t>
  </si>
  <si>
    <t>CATERPILLAR GRAVEL WALLET</t>
  </si>
  <si>
    <t>SULFUR</t>
  </si>
  <si>
    <t>(A) BICYCLE</t>
  </si>
  <si>
    <t>CAT CAP</t>
  </si>
  <si>
    <t>VACUUM COMPRESSOR</t>
  </si>
  <si>
    <t>VIBRATION METER</t>
  </si>
  <si>
    <t>HYDROTEST TABUNG</t>
  </si>
  <si>
    <t>POLO DRYFIT CAT-BLACK &amp; GREY</t>
  </si>
  <si>
    <t>COFFEE MACHINE KRUPS KM9008</t>
  </si>
  <si>
    <t>PTTU PURBAG LARGE 150GR (35 X 32.5 X 10)</t>
  </si>
  <si>
    <t>SALES TRANSACTIONAL INVOICE PAPER</t>
  </si>
  <si>
    <t>MAGNETIC ANCHOR</t>
  </si>
  <si>
    <t>SENSOR SYSTEM</t>
  </si>
  <si>
    <t>ERASE WHITEBOARD</t>
  </si>
  <si>
    <t>TONER CARTRIDGE FUJI XEROX 3.0K APO VL17</t>
  </si>
  <si>
    <t>CONTROL SET</t>
  </si>
  <si>
    <t>HANDLE DRIVE</t>
  </si>
  <si>
    <t>PRINT CLR ALBATROS A2 + LAM DOFF/GLOSSY</t>
  </si>
  <si>
    <t>FLYER A5 (4/0) - QTY 100 SHEET</t>
  </si>
  <si>
    <t>FLYER A5 (4/0) - QTY 2000 SHEET</t>
  </si>
  <si>
    <t>SCALE MODEL 6030</t>
  </si>
  <si>
    <t>KRUPS - DUO FILTER (M) WATER FILTRATION</t>
  </si>
  <si>
    <t>CELLULOSE TAPE 18MM X 25,8 ROLL/BX</t>
  </si>
  <si>
    <t>PLAKAT - BASE ON WOOD</t>
  </si>
  <si>
    <t>(A) CRANE</t>
  </si>
  <si>
    <t>SCALE MODEL CAT D9T TRACK-TYPE TRACTOR</t>
  </si>
  <si>
    <t>BALLAST</t>
  </si>
  <si>
    <t>HEATSHRINK (ISOLASI BAKAR)</t>
  </si>
  <si>
    <t>BOOK (EA)</t>
  </si>
  <si>
    <t>POWER CONTROLLER</t>
  </si>
  <si>
    <t>SAFETY DEVICE SYSTEM</t>
  </si>
  <si>
    <t>SNOWMAN MARKER PW-12A</t>
  </si>
  <si>
    <t>CAT R1700G U/G MINING LOADER</t>
  </si>
  <si>
    <t>PTTU PURBAG SMALL 150 GR TANPA PUNGGUNG</t>
  </si>
  <si>
    <t>STICKER "HEMAT LISTRIK"</t>
  </si>
  <si>
    <t>STETHOSCOPE</t>
  </si>
  <si>
    <t>FINGER / HAND SPALK</t>
  </si>
  <si>
    <t>EONSOLV 134 (1 DRUM/200 LTR)</t>
  </si>
  <si>
    <t>Safety Shoe Kurshers Madona Black 214081</t>
  </si>
  <si>
    <t>WYPALL SWIPE-ALL S70</t>
  </si>
  <si>
    <t>FLYER A4 (4/0) - QTY 100 SHEET</t>
  </si>
  <si>
    <t>FLYER A4 (4/0) - QTY 200 SHEET</t>
  </si>
  <si>
    <t>FLYER A4 (4/0) - QTY 300 SHEET</t>
  </si>
  <si>
    <t>FLYER A4 (4/0) - QTY 500 SHEET</t>
  </si>
  <si>
    <t>FLYER A4 (4/0) - QTY 1000 SHEET</t>
  </si>
  <si>
    <t>FLYER A4 (4/0) - QTY 2000 SHEET</t>
  </si>
  <si>
    <t>CAMERA DIGITAL</t>
  </si>
  <si>
    <t>FORM EQUIPMENT CONDITION REPORT(ECR)</t>
  </si>
  <si>
    <t>CABLE LINER SIZE 1.6-2.0MM PN. 1933-3B1</t>
  </si>
  <si>
    <t>COVER ROTARY</t>
  </si>
  <si>
    <t>CONTACT TIP DIA 0.9MM</t>
  </si>
  <si>
    <t>GAS INSULATOR PN. KP34A</t>
  </si>
  <si>
    <t>GROUND CLAMP PN. EG50</t>
  </si>
  <si>
    <t>TCMT 110204-SMIC 907 BIG INSERT</t>
  </si>
  <si>
    <t>DCMT 11T304-SMIC 907 BIG INSERT</t>
  </si>
  <si>
    <t>CUTTING DISC 7"</t>
  </si>
  <si>
    <t>GRINDING WHEEL DIA. 5"</t>
  </si>
  <si>
    <t>AMMETER</t>
  </si>
  <si>
    <t>CAT 1:50 777D OFF HIGHWAY TRUCK</t>
  </si>
  <si>
    <t>CLIPBOARD COVER BLUE BANTEX REF.4211</t>
  </si>
  <si>
    <t>HOLDER CHAMFER</t>
  </si>
  <si>
    <t>HOLDER FINISHING</t>
  </si>
  <si>
    <t>HOLDER ROUGH</t>
  </si>
  <si>
    <t>NOZZEL 16MM PN. 345P001210</t>
  </si>
  <si>
    <t>SOLID CORE/WIRE MERIT 0.9MM 15KG/ROLL</t>
  </si>
  <si>
    <t>SOLID CORE/WIRE MERIT 1.2MM 15KG/ROLL</t>
  </si>
  <si>
    <t>FLUX CORED WIRE PRIMACORE LW71</t>
  </si>
  <si>
    <t>REGULATOR ARGON</t>
  </si>
  <si>
    <t>MAGNAFLUX 7HF</t>
  </si>
  <si>
    <t>MAGNAFLUX CLEANER</t>
  </si>
  <si>
    <t>MAGNAFLUX PENETRANT</t>
  </si>
  <si>
    <t>CABLE LUG/SKUN SIZE 95/12MM</t>
  </si>
  <si>
    <t>FERRARI STONE PENCIL</t>
  </si>
  <si>
    <t>ARCAIR GOUGING CARBON PN. 22043003</t>
  </si>
  <si>
    <t>ARCAIR GOUGING CARBON PN. 22053003</t>
  </si>
  <si>
    <t>ARCAIR GOUGING TORCH PN. AA61082008</t>
  </si>
  <si>
    <t>ALUMINA NOZZLE NO 5 PN. 10N49</t>
  </si>
  <si>
    <t>STICK / E 7018 / 4 MM PN. 01A11</t>
  </si>
  <si>
    <t>STICK / E 7018 / 3.2 MM PN. 09A28</t>
  </si>
  <si>
    <t>STICK / E 7018 / 2.5 MM PN. 04A09</t>
  </si>
  <si>
    <t>SATINCHROME 309 PN. 611692</t>
  </si>
  <si>
    <t>STICK ELECTRODE HOLDER PN. LT400</t>
  </si>
  <si>
    <t>POWERFLEX CABLE 95MM 500A 100M/ROLL</t>
  </si>
  <si>
    <t>ZIRCONIA FLAP DISC 125X22MM 80 GRID</t>
  </si>
  <si>
    <t>ZIRCONIA FLAP DISC 100X22MM 80 GRID</t>
  </si>
  <si>
    <t>DISC FIBRE RESIN F226 178X22MM 120 GRID</t>
  </si>
  <si>
    <t>LPG GAS REGULATOR PN. 301525</t>
  </si>
  <si>
    <t>TIP CLEANER SET PN. 308036</t>
  </si>
  <si>
    <t>FLINTS PN. 308790</t>
  </si>
  <si>
    <t>CRC 5-56 PENETRANT/LUB PN. 03968204</t>
  </si>
  <si>
    <t>ENERPAC HYDRAULIC OIL 5L PN. 07879108</t>
  </si>
  <si>
    <t>WELDING OXY GOOGLE PN. 454031</t>
  </si>
  <si>
    <t>REGULATOR FLASHBACK ARRESTER ACET F2B</t>
  </si>
  <si>
    <t>REGULATOR FLASHBACK ARRESTER OXY F2B</t>
  </si>
  <si>
    <t>ROCOL DRILLING&amp;CUTTING FLIUD PN.03360364</t>
  </si>
  <si>
    <t>WELD HOOD MEDIUM DUTY PROBAN PN.PHGM/30Y</t>
  </si>
  <si>
    <t>COMET OXY/ACET CUTTING NOZZLES</t>
  </si>
  <si>
    <t>3SEAT OXY/ACET CUTTING NOZZLES</t>
  </si>
  <si>
    <t>LOBBY DUSTER 90CM</t>
  </si>
  <si>
    <t>COMET OXY/LPG SUPERHEATING TIP PN.307118</t>
  </si>
  <si>
    <t>COMET TWIN HOSE 5MMX20M PN. 308815</t>
  </si>
  <si>
    <t>COMET 3 CUTTING ATTACHMENT HD PN. 304005</t>
  </si>
  <si>
    <t>COMET 3 BLOWPIPE HEAVY DUTY PN. 304001</t>
  </si>
  <si>
    <t>INSULATOR&amp;SCREWS K4000 PN.94-433-183</t>
  </si>
  <si>
    <t>SPOOL ONLY K4000 PN.94-801-010</t>
  </si>
  <si>
    <t>CUSTOMIZED HANDSHAKE LIU LI AWARD</t>
  </si>
  <si>
    <t>LANCING ROD 16MM</t>
  </si>
  <si>
    <t>WLDSTAR MILD STEEL MIG WIRE</t>
  </si>
  <si>
    <t>OMNI-WELDING LENS SHADE 11 PN.453855</t>
  </si>
  <si>
    <t>OMNI-WELDING LENS SHADE 12 PN.453856</t>
  </si>
  <si>
    <t>COMET OXY/LPG SUPERHEATING PN.308755</t>
  </si>
  <si>
    <t>BUR SET MASTER CARBIDE</t>
  </si>
  <si>
    <t>END MILLS HSSCO 4 FLUTE R30 N REGULAR</t>
  </si>
  <si>
    <t>TCMT16T308-F2,TP35 INSERT</t>
  </si>
  <si>
    <t>INPUT CABLE POWER JEMBO NYYHY 4X6</t>
  </si>
  <si>
    <t>BEINZEL GUN LINNER (1.6MM)</t>
  </si>
  <si>
    <t>WELDING CABLE POWERFLEX 50MM</t>
  </si>
  <si>
    <t>BINZEL GUN LINNER (1.6MM)</t>
  </si>
  <si>
    <t>PRESERVATION CARD</t>
  </si>
  <si>
    <t>SAFETY GLASS KING'S KY 2221 CLEAR LENS</t>
  </si>
  <si>
    <t>SOFTWARE ADOBE PDF PROFESSIONAL</t>
  </si>
  <si>
    <t>LETTERHEAD</t>
  </si>
  <si>
    <t>PTTUSB WHITE ENVELOPE A4 (32.5 X 22.6CM)</t>
  </si>
  <si>
    <t>BIRTHDAY CARDS</t>
  </si>
  <si>
    <t>CALIBRATION FOR DIGITAL VIBRATION METER</t>
  </si>
  <si>
    <t>STABILO RETRACTABLE BALL POINT PEN 308F</t>
  </si>
  <si>
    <t>PLYWOOD CASE SIZE: OD L250 X W90 X H90CM</t>
  </si>
  <si>
    <t>PLYWOOD CASE SIZE: OD L180 XW100 XH170CM</t>
  </si>
  <si>
    <t>PLYWOOD CASE SIZE: L144 X W98 X H80CM</t>
  </si>
  <si>
    <t>PLYWOOD CASE SIZE: OD L310X W110X H110CM</t>
  </si>
  <si>
    <t>INSERT WNMG 080408-TF 432-TF</t>
  </si>
  <si>
    <t>DRILL HIGH SPEED TAPER SHANK</t>
  </si>
  <si>
    <t>3 STEP TAP METRIC</t>
  </si>
  <si>
    <t>3 STEP TAP IMPERIAL UNC</t>
  </si>
  <si>
    <t>PLYWOOD CASE SIZE: L120 X W74 X H74 CM</t>
  </si>
  <si>
    <t>KNIGHT CLEAN SAFETY SHOES</t>
  </si>
  <si>
    <t>UNI LAKNOCK 0.5MM BALL PEN</t>
  </si>
  <si>
    <t>PLYWOOD CASE SIZE:OD L160 X W90 X H130CM</t>
  </si>
  <si>
    <t>PLYWOOD CASE SIZE:OD L110 X W90 X H150CM</t>
  </si>
  <si>
    <t>PLYWOOD CASE SIZE:OD L280 X W150X H115CM</t>
  </si>
  <si>
    <t>PLYWOOD CASE SIZE: OD L120X W110X H40 CM</t>
  </si>
  <si>
    <t>SPECALOG 10 PAGE A4 OMEGA 150G 500 BOOKS</t>
  </si>
  <si>
    <t>PLYWOOD CASE SIZE: OD L210X W210X H62 CM</t>
  </si>
  <si>
    <t>PLYWOOD CASE SIZE: OD L130X W84 X H79 CM</t>
  </si>
  <si>
    <t>PLYWOOD CASE SIZE: L187 X W136 X H50 CM</t>
  </si>
  <si>
    <t>PLYWOOD CASE SIZE: OD L300X W120X H110CM</t>
  </si>
  <si>
    <t>1:50 CAT AD60 SCALE MODEL</t>
  </si>
  <si>
    <t>TO SUPPLY LABOUR AND PART (BELT ASSY)</t>
  </si>
  <si>
    <t>PLYWOOD CASE SIZE:OD L280X W160X H120CM</t>
  </si>
  <si>
    <t>V-SOLVE (ISI 4 GALON)</t>
  </si>
  <si>
    <t>WRAPPING PAPER</t>
  </si>
  <si>
    <t>CORONG PISAH 500ML</t>
  </si>
  <si>
    <t>WATER</t>
  </si>
  <si>
    <t>BASED WOODEN PALLET SIZE: 225 X 225CM</t>
  </si>
  <si>
    <t>STANLEY PAINT BRUSH 2"</t>
  </si>
  <si>
    <t>MINI WIRE BRUSH</t>
  </si>
  <si>
    <t>STANLEY ST-03120BAR DRIVER SET SIZE</t>
  </si>
  <si>
    <t>HAWK SANDPAPER 9 X 11 X G800</t>
  </si>
  <si>
    <t>M10 S/S FLEX SCRAPER RED HANDLE 1-1/4</t>
  </si>
  <si>
    <t>ALLWAYS F.G. CLAW HAMMER 27MM</t>
  </si>
  <si>
    <t>TIGER PRUNING SHEAR - 702</t>
  </si>
  <si>
    <t>AIR DIE GRINDER MINI 1/4</t>
  </si>
  <si>
    <t>THERMOHYGROMETER "DEKKO"</t>
  </si>
  <si>
    <t>CUSTOM PLYWOOD SIZE: L198 X W198 X H92CM</t>
  </si>
  <si>
    <t>WOODEN PALLET SIZE: 225 X 225CM</t>
  </si>
  <si>
    <t>WOODEN PALLET SIZE: 170 X 170CM</t>
  </si>
  <si>
    <t>PLYWOOD CASE SIZE: L280 X W90 X H130CM</t>
  </si>
  <si>
    <t>LAMPU SOROT LED 30 W,BRAND PHILLIPS</t>
  </si>
  <si>
    <t>LAMPU SOROT LED 50 WBRAND PHILLIPS</t>
  </si>
  <si>
    <t>LAMPU SOROT 70 WBRAND PHILLIPS</t>
  </si>
  <si>
    <t>PLYWOOD CASE SIZE: L160 X W140 X H70CM</t>
  </si>
  <si>
    <t>IODINE POVIDONE 10% 30 ML</t>
  </si>
  <si>
    <t>ET TOOL / LAPTOP</t>
  </si>
  <si>
    <t>N1102</t>
  </si>
  <si>
    <t>(A) SERVICE TOOLS</t>
  </si>
  <si>
    <t>(A) HYDRAULIC POWER PACK</t>
  </si>
  <si>
    <t>CAT WATCH NP.143.11.132</t>
  </si>
  <si>
    <t>FORM CHECKLIST</t>
  </si>
  <si>
    <t>SECO SQUER TOOLBIT HSS PN. 00175272</t>
  </si>
  <si>
    <t>CHAIN</t>
  </si>
  <si>
    <t>SIKA QUICK</t>
  </si>
  <si>
    <t>CUSTOM MADE PLYWOOD CASE</t>
  </si>
  <si>
    <t>23142M BLACK CLASSIC CAT POLO SHIRT (M)</t>
  </si>
  <si>
    <t>23142L BLACK CLASSIC CAT POLO SHIRT (L)</t>
  </si>
  <si>
    <t>DECADRY DLW1794, 210 X 148.5MM</t>
  </si>
  <si>
    <t>PLYWOOD CASE SIZE: L224 X W132 X H82CM</t>
  </si>
  <si>
    <t>ACRYLIC BRACKET 58MM WIDTH W/DISPLAY</t>
  </si>
  <si>
    <t>PLYWOOD CASE SIZE: L206 X W193 X H86CM</t>
  </si>
  <si>
    <t>BOSCH CORDLESS DRIVER DRILL GSR1440-LI</t>
  </si>
  <si>
    <t>CAT D8R II TRACTOR (1:50)</t>
  </si>
  <si>
    <t>(A) SAMSUNG 24" LCD MONITOR</t>
  </si>
  <si>
    <t>PLYWOOD CASE WITH MACHINE BASE &amp; NORMAL</t>
  </si>
  <si>
    <t>PLUMP BOB</t>
  </si>
  <si>
    <t>PTTUSB LETTERHEAD (ORBIT BOND)</t>
  </si>
  <si>
    <t>ACRYLIC BRACKET 58MM WIDTH W/ NAME</t>
  </si>
  <si>
    <t>WOODEN PALLET C/W METAL STRAPPING SIZE:</t>
  </si>
  <si>
    <t>PLYWOOD CASE SIZE: L130 X W60 X H65CM</t>
  </si>
  <si>
    <t>PLYWOOD CASE SIZE: L320 X W120 X H110 CM</t>
  </si>
  <si>
    <t>BUSINESS CARD / NAME CARD</t>
  </si>
  <si>
    <t>PLYWOOD CASE SIZE: L325 X W115 X H102CM</t>
  </si>
  <si>
    <t>WOODEN PALLET SKID SIZE: L224 X W220CM</t>
  </si>
  <si>
    <t>WOODEN PALLET SKID SIZE: L220 X W200CM</t>
  </si>
  <si>
    <t>WOODEN PALLET SKID SIZE: L250 X W220CM</t>
  </si>
  <si>
    <t>ADDITIONAL ACCESSORIES</t>
  </si>
  <si>
    <t>PLYWOOD CASE SIZE: L180 X W160 X H120CM</t>
  </si>
  <si>
    <t>PLYWOOD CASE SIZE: L140 X W140 X H140CM</t>
  </si>
  <si>
    <t>PLYWOOD CASE SIZE: ID L61 X W38 X H38CM</t>
  </si>
  <si>
    <t>VINYL STICKER SIZE: 95MM X 15MM</t>
  </si>
  <si>
    <t>WOODEN PALLET SKID SIZE: L180 X W180CM</t>
  </si>
  <si>
    <t>WOODEN PALLET SIZE: L180 X W180CM</t>
  </si>
  <si>
    <t>WOODEN PALLET SKID SIZE: L240 X W220CM</t>
  </si>
  <si>
    <t>POST-IT FLAG, "SIGN HERE", 684-SH 1/2"</t>
  </si>
  <si>
    <t>LONG SERVICE AWARD RECTANGLE PLAQUE M</t>
  </si>
  <si>
    <t>CUSTOMIZED PLYWOOD CASE (NO BASE)</t>
  </si>
  <si>
    <t>PTTUSB WHITE ENVELOPE F4 (35.5 X 25.5CM)</t>
  </si>
  <si>
    <t>PLYWOOD CASE SIZE: L260 X W100 X H110CM</t>
  </si>
  <si>
    <t>1624 TT STANDARD 016 AL</t>
  </si>
  <si>
    <t>1655 TONGUE &amp; DOUBLE SLOT</t>
  </si>
  <si>
    <t>EXPORT SERVICE CHARGE</t>
  </si>
  <si>
    <t>PLYWOOD CASE SIZE: OD: L68 X W45 X H55CM</t>
  </si>
  <si>
    <t>23559 RECHARGEABLE FLASHLIGHT WITH</t>
  </si>
  <si>
    <t>CAT G3516 GAS ENGINE (1:25)</t>
  </si>
  <si>
    <t>CAT CG260-16 GAS GENERATOR (1:25)</t>
  </si>
  <si>
    <t>TO SUPPLY TEAK WOODEN BASE AND PLAQUE</t>
  </si>
  <si>
    <t>23560 BUSINESS GLASS CUP</t>
  </si>
  <si>
    <t>PLYWOOD CASE SIZE: L175 X W138 X H180CM</t>
  </si>
  <si>
    <t>3M 6834 POST-IT FLAGS 0.4" X 1-3/4" 4COL</t>
  </si>
  <si>
    <t>85199 1:50 CAT 330DL HYDRAULIC EXCAVATOR</t>
  </si>
  <si>
    <t>SELF-INKING STAMP (BLUE)</t>
  </si>
  <si>
    <t>PLYWOOD CASE SIZE: L212 X W29 X H40CM</t>
  </si>
  <si>
    <t>PLYWOOD CASE SIZE: L483 X W58 X H43CM</t>
  </si>
  <si>
    <t>WOODEN PALLET SKID SIZE: L270 X W228CM</t>
  </si>
  <si>
    <t>PTTUSB WHITE ENVELOPE NON-WINDOW 22X11CM</t>
  </si>
  <si>
    <t>FUJI XEROX PROFESSIONAL A4 PHOTOCOPIER</t>
  </si>
  <si>
    <t>FUJI XEROX PROFESSIONAL A3 PHOTOCOPIER</t>
  </si>
  <si>
    <t>WOODEN PALLET SIZE: L150 X W90 X H160CM</t>
  </si>
  <si>
    <t>WOODEN PALLET SIZE: L260 X W240 CM</t>
  </si>
  <si>
    <t>PLYWOOD CASE SIZE: 68 X 45 X 55CM</t>
  </si>
  <si>
    <t>PLYWOOD CASE SIZE: L200 X W170 X H65 CM</t>
  </si>
  <si>
    <t>PLYWOOD CASE SIZE: L120 X W100 X H130 CM</t>
  </si>
  <si>
    <t>PLYWOOD CASE SIZE: L250 X W50 X H80 CM</t>
  </si>
  <si>
    <t>PLYWOOD CASE SIZE: L400 X W243 X H165 CM</t>
  </si>
  <si>
    <t>CARTRIDGE FUJI XEROX CT202330 BLACK</t>
  </si>
  <si>
    <t>PLYWOOD CASE SIZE: L205 X W183 X H213 CM</t>
  </si>
  <si>
    <t>PLYWOOD CASE SIZE: L210 X W58 X H68 CM</t>
  </si>
  <si>
    <t>PLYWOOD CASE SIZE: L198 X W193 X H98CM</t>
  </si>
  <si>
    <t>50X75MM PAPER MATERIAL STICKER (10K PCS)</t>
  </si>
  <si>
    <t>PLYWOOD CASE ID SIZE : L190 X 130 X 75CM</t>
  </si>
  <si>
    <t>PLYWOOD CASE EXT SIZE: L300 X 50 X 70CM</t>
  </si>
  <si>
    <t>PLYWOOD CASE SIZE: L150 X 80 X 50CM</t>
  </si>
  <si>
    <t>D&amp;D SAFETY SHOES, MID CUT 03838, BLACK</t>
  </si>
  <si>
    <t>PLYWOOD CASE SIZE: L250 X W50 X H70 CM</t>
  </si>
  <si>
    <t>PLYWOOD CASE SIZE: ID L112 X 68 X 58CM</t>
  </si>
  <si>
    <t>BATA WALKMATES MF TITAN 2 BROWN LACE UP</t>
  </si>
  <si>
    <t>PLYWOOD CASE EXT SIZE: L250 X 55 X 80 CM</t>
  </si>
  <si>
    <t>INSTRUMENT TOOLING</t>
  </si>
  <si>
    <t>BENCH TOOLS AND JACKS</t>
  </si>
  <si>
    <t>LIFTING GEARS</t>
  </si>
  <si>
    <t>ERASER PENTEL CORRECTION PEN ZLC1-W</t>
  </si>
  <si>
    <t>BATTERY ENERGIZER AA, 4'S/PKT</t>
  </si>
  <si>
    <t>BATTERY ENERGIZER AAA, 4'S/PKT</t>
  </si>
  <si>
    <t>STAMP ARTLINE PAD LINKCOLOR</t>
  </si>
  <si>
    <t>PLASTIC RULER LONG 30CM/12"</t>
  </si>
  <si>
    <t>L-SHAPE CLEAR HOLDER 22L</t>
  </si>
  <si>
    <t>PLASTIC RULER SHORT 15CM/6"</t>
  </si>
  <si>
    <t>PEN STABILO LINER 808FCOLOR:</t>
  </si>
  <si>
    <t>HERMA SUPER PRINT LABEL #4678</t>
  </si>
  <si>
    <t>L-SHAPE CLEAR HOLDER ALFAX 22L</t>
  </si>
  <si>
    <t>PEN PILOT BP-S FINE</t>
  </si>
  <si>
    <t>LABEL STICKER P/N: LBL-LB-1C-07500500PM</t>
  </si>
  <si>
    <t>0772L MIDBACK OFFICE CHAIR WITH ARM REST</t>
  </si>
  <si>
    <t>PTTUSB WHITE ENVELOPE A4 9" X 12-3/4"</t>
  </si>
  <si>
    <t>85528 CAT 745 ARTICULATED TRUCK (1:50)</t>
  </si>
  <si>
    <t>NUEVOPAK XPAD PLUS PAPER CUSHIONING</t>
  </si>
  <si>
    <t>PVC BANNER "THANK YOU"</t>
  </si>
  <si>
    <t>SCALE MODEL CAT 793D MINING TRUCK</t>
  </si>
  <si>
    <t>PLYWOOD CASE SIZE: L135 X W70 X H60CM</t>
  </si>
  <si>
    <t>PLYWOOD CASE SIZE: L90 X W90 X H150CM</t>
  </si>
  <si>
    <t>WOODEN PALLET WITH METAL STRAPPING</t>
  </si>
  <si>
    <t>KING'S LADIES SAFETY SHOES, MDL:KL331X</t>
  </si>
  <si>
    <t>PEN CROSS REFILL 8513MEDIUM</t>
  </si>
  <si>
    <t>POST-IT-NOTE PAD 3M 653 1.5"X2",12'S/PKT</t>
  </si>
  <si>
    <t>BINDERCLIP ART NO: 155 (32MM)</t>
  </si>
  <si>
    <t>CASIO AX-120ST 12 DIGITS CALCULATOR</t>
  </si>
  <si>
    <t>ARTEX AR5209 ARROW FLAG 8 COLOR 200'S</t>
  </si>
  <si>
    <t>NIKKI COTTON TWINE #4</t>
  </si>
  <si>
    <t>SCALE MODEL CAT 390 EXCAVATORS</t>
  </si>
  <si>
    <t>PLYWOOD CASE OD SIZE:L110 X W90 X H100CM</t>
  </si>
  <si>
    <t>WOODEN PALLET SIZE : L220 X W220 CM</t>
  </si>
  <si>
    <t>23142XL BLACK CLASSIC CAT POLO SHIRT (XL</t>
  </si>
  <si>
    <t>23544 CAT METAL USB-STICK (32G)</t>
  </si>
  <si>
    <t>23815 CAT METAL BALLPOINT PEN (BLUE)</t>
  </si>
  <si>
    <t>PLYWOOD CASE SIZE:OD L510 X W95 X H90CM</t>
  </si>
  <si>
    <t>PLYWOOD CASE SIZE:OD L385 X W80 X H70CM</t>
  </si>
  <si>
    <t>ADDITIONAL SUPPORT WOOD REINFORCEMENT</t>
  </si>
  <si>
    <t>PLYWOOD CASE SIZE:OD L160 X W90 X H50CM</t>
  </si>
  <si>
    <t>WOODEN PALLET SIZE : L200 X W200 CM</t>
  </si>
  <si>
    <t>CHOKING TIMBER SIZE: 8 IN X 8 IN X 12 IN</t>
  </si>
  <si>
    <t>SCALE MODEL CAT 988K WHEEL LOADER</t>
  </si>
  <si>
    <t>SCALE MODEL CAT 14M MOTOR GRADER</t>
  </si>
  <si>
    <t>85569 CAT 320 NG HYD EXCAVATOR (1:50)</t>
  </si>
  <si>
    <t>10400638 NEW 80LED WORK LIGHT</t>
  </si>
  <si>
    <t>10400636A 14+1 LED WORK LIGHT</t>
  </si>
  <si>
    <t>SPECIAL TOOL</t>
  </si>
  <si>
    <t>CAT D10T2 DOZER SCALE MODEL</t>
  </si>
  <si>
    <t>6 ROLLS BRASS WIRE BRUSH</t>
  </si>
  <si>
    <t>RIBBON DNP SSW WAX 110MM X 300M</t>
  </si>
  <si>
    <t>WOODEN PALLET SIZE: L 210 X W 210CM</t>
  </si>
  <si>
    <t>CAT 745 ARTICULATED DUMP TRUCK CAP</t>
  </si>
  <si>
    <t>LAKELAND M100 KN95 RESPIRATOR</t>
  </si>
  <si>
    <t>PROPOSED ADDITION &amp; ALTERATION WORK</t>
  </si>
  <si>
    <t>SILVER FOIL MATCHA MIX (1KG)</t>
  </si>
  <si>
    <t>GOLD FOIL PREMIUM CHOCOLATE MIX (1KG)</t>
  </si>
  <si>
    <t>BROWN FOIL ITALIAN ROAST BEANS (200GM)</t>
  </si>
  <si>
    <t>FARMHOUSE UHT MILK 1L (PINK)</t>
  </si>
  <si>
    <t>SPRAY BOOTH FILTER PAD : 50 X 63CM</t>
  </si>
  <si>
    <t>UNION INDUSTRIAL CUP BRUSH</t>
  </si>
  <si>
    <t>CUSTOM PRINTED STICKER FOR BINDER</t>
  </si>
  <si>
    <t>CUSTOM NATURE TEAKWOOD FRAME</t>
  </si>
  <si>
    <t>ER153 PENTEL ROLLING GLUE RUBBER ROL</t>
  </si>
  <si>
    <t>23842L SAPPHIRE BLUE POLO SHIRT</t>
  </si>
  <si>
    <t>23368 SHOPPING BAG (L)</t>
  </si>
  <si>
    <t>23920 CANVAS SHOPPING BAG EXCAVATOR</t>
  </si>
  <si>
    <t>23929 BLACK INSULATED COFFEE CUP</t>
  </si>
  <si>
    <t>WOODEN PALLET SIZE: L190 X W180CM</t>
  </si>
  <si>
    <t>MICROSOFT OFFICE HOME &amp; BUSINESS 2019</t>
  </si>
  <si>
    <t>AUTOCAD - SOFTWARE FOR 2D &amp; 3D CAD</t>
  </si>
  <si>
    <t>DELL DISPLAYPORT HDMI TO VGA ADAPTER</t>
  </si>
  <si>
    <t>SAFETY SHOE KING'S KWS803</t>
  </si>
  <si>
    <t>POST IT NOTE PAD 3" X 3"</t>
  </si>
  <si>
    <t>SPECALOG 10PAGE A4 OMEGA 150G 1000 BOOKS</t>
  </si>
  <si>
    <t>WOODEN PALLET SIZE: L250 X W250CM</t>
  </si>
  <si>
    <t>SAFETY SHOES KRS NVD BLACK 296141 MID.11</t>
  </si>
  <si>
    <t>LIMBAH OLI/OLI KOTOR</t>
  </si>
  <si>
    <t>FILTER BEKAS</t>
  </si>
  <si>
    <t>KAIN MAJUN/USED RAGS</t>
  </si>
  <si>
    <t>KEMASAN BEKAS B3</t>
  </si>
  <si>
    <t>AKI/BATERAI BEKAS</t>
  </si>
  <si>
    <t>CONTAMINANTED GOOD</t>
  </si>
  <si>
    <t>SLUDE/TANAH TERKONTAMINASI</t>
  </si>
  <si>
    <t>LIMBAH LAMPU TL</t>
  </si>
  <si>
    <t>GLASSBOARD 120 X 120 CM</t>
  </si>
  <si>
    <t>OLI BEKAS</t>
  </si>
  <si>
    <t>LIMBAH DOMISTIK</t>
  </si>
  <si>
    <t>SSK NICOLE BLACK 214080 NO 6</t>
  </si>
  <si>
    <t>LONG SERVICE 999 FINE SILVER MEDALLION</t>
  </si>
  <si>
    <t>SILVER LEATHERETTE PACKAGING BOX W/ LOGO</t>
  </si>
  <si>
    <t>Compound ALFAGLOS 4 Kg</t>
  </si>
  <si>
    <t>COBRA THINNER 5 LTR HITAM</t>
  </si>
  <si>
    <t>COBRA THINNER 5 LTR MERAH</t>
  </si>
  <si>
    <t>PC0610 PLASTIC CLIP 06 x 10 (100LBR  /PA</t>
  </si>
  <si>
    <t>PC1520 PLASTIC CLIP 15 X 20 (100LBR  /PA</t>
  </si>
  <si>
    <t>PC2025 PLASTIC CLIP 20 X 25 (100LBR  /PA</t>
  </si>
  <si>
    <t>PC2337 PLASTIC BAG CLIP 23 X 37  (100LBR</t>
  </si>
  <si>
    <t>PC3035 PLASTIC CLIP 30 X 35 (100LBR  /PA</t>
  </si>
  <si>
    <t>PC3040 PLASTIC CLIP 30 X 40 (100LBR  /PA</t>
  </si>
  <si>
    <t>PC3541 PLASTIC CLIP 35 X 41 (1 PACK = 10</t>
  </si>
  <si>
    <t>PC4550 PLASTIC CLIP 45 X 50 (100LBR  /PA</t>
  </si>
  <si>
    <t>PLASTIC ROLL - 165 CM</t>
  </si>
  <si>
    <t>Cable Roll Kenmaster 50 Meter</t>
  </si>
  <si>
    <t>Twist Cup Wire Brush 4" (UNION type KC44</t>
  </si>
  <si>
    <t>Twist Cup Wire Brush 5" (UNION type KC54</t>
  </si>
  <si>
    <t>KRP20 - KAIGO RUST PREVENTIVE OIL (GREAS</t>
  </si>
  <si>
    <t>KRP202 - KAIGO RUST PREVENTIVE OIL (GREA</t>
  </si>
  <si>
    <t>print certificate 4/4 (IVORY, A4)</t>
  </si>
  <si>
    <t>PRINT CERTIFICATE 4/0 (IVORY, A4)</t>
  </si>
  <si>
    <t>Certificate paper (IVORYA4)</t>
  </si>
  <si>
    <t>Sticker Segel</t>
  </si>
  <si>
    <t>KRISBOW 10110701 LED WORK LIGHT</t>
  </si>
  <si>
    <t>HP LOSO9AA/975X Black</t>
  </si>
  <si>
    <t>HP LOSOOAA/975X Cyan</t>
  </si>
  <si>
    <t>HP LOSO3AA/975X Magenta</t>
  </si>
  <si>
    <t>HP LOSO6AA/975X Yellow</t>
  </si>
  <si>
    <t>2016M CRC CONTACT CLEANER 12.75 OZ</t>
  </si>
  <si>
    <t>WD40412 WD-40 - 412ML</t>
  </si>
  <si>
    <t>SKL-WP MAGNAFLUX PENETRAN</t>
  </si>
  <si>
    <t>ZUA</t>
  </si>
  <si>
    <t>SKD-S2 MAGNAFLUX SKD-S2 DEVELOPER</t>
  </si>
  <si>
    <t>N0222 AIR ACCU MURNI FORMULA (1000ML / B</t>
  </si>
  <si>
    <t>PYL101 PYLOX PAINT SPRAY 101 (RED)</t>
  </si>
  <si>
    <t>PYL102 PYLOX PAINT SPRAY 102 (WHITE)</t>
  </si>
  <si>
    <t>PYL109 PYLOX PAINT SPRAY 109 (BLACK)</t>
  </si>
  <si>
    <t>CT20X4.7S HEAVY DUTY CAB TIE / INSULOK C</t>
  </si>
  <si>
    <t>CT30CMS INSULOK 30CM/T30LL/PUTIH</t>
  </si>
  <si>
    <t>Cover Muffler Uk. 7"</t>
  </si>
  <si>
    <t>Cover Forklift DP 25</t>
  </si>
  <si>
    <t>Cover Forklift DP 50</t>
  </si>
  <si>
    <t>Cover Forklift DP 100</t>
  </si>
  <si>
    <t>THINNER IMPALA KEMASAN 1 LTR/CAN- A SPES</t>
  </si>
  <si>
    <t>TERPAL DOUBLE LAYER A12 UK. 10 X 5 M</t>
  </si>
  <si>
    <t>TERPAL DOUBLE LAYER A12 UK. 6 X 5 M</t>
  </si>
  <si>
    <t>TERPAL DOUBLE LAYER A12 UK. 9 X 6 M</t>
  </si>
  <si>
    <t>TERPAL DOUBLE LAYER A12 UK. 7 X 3 M</t>
  </si>
  <si>
    <t>BOSCH CUTTING DISC 14" BOSCH</t>
  </si>
  <si>
    <t>CUTTING WHEEL 14" NIPPON RESIBON</t>
  </si>
  <si>
    <t>METERAN 5 MTR HI LOCK TAJIMA</t>
  </si>
  <si>
    <t>Signage Dimension Small 0.35m x 0.35m</t>
  </si>
  <si>
    <t>Signage Dimension Big 0.9m x 0.6m</t>
  </si>
  <si>
    <t>Signage Directional 39.5cm x 42cm</t>
  </si>
  <si>
    <t>TAG - Information</t>
  </si>
  <si>
    <t>Sticker Bulat 24H â€“ Merah</t>
  </si>
  <si>
    <t>BRUSH ROLL 10 CM (4")</t>
  </si>
  <si>
    <t>BRUSH ROLL REFILL 10 CM (4")</t>
  </si>
  <si>
    <t>TERPAL DOUBLE LAYER A12 UK. 3 X 3 M</t>
  </si>
  <si>
    <t>LED LAMP 8 WATT PHILIPS</t>
  </si>
  <si>
    <t>CLEANING MATERIAL SUPPLY-YARD CAKUNG</t>
  </si>
  <si>
    <t>MON</t>
  </si>
  <si>
    <t>CLEANING MATERIAL SUPPLY - HO</t>
  </si>
  <si>
    <t>CLEANING MATERIAL SUPPLY-PDI Cilengsi</t>
  </si>
  <si>
    <t>CLEANING MATERIAL SUPPLY-TC Cilengsi</t>
  </si>
  <si>
    <t>CLEANING MATERIAL SUPPLY-YARD BJM</t>
  </si>
  <si>
    <t>KAIGO PENETRATING OIL (400 ml/ BOTLE)</t>
  </si>
  <si>
    <t>KAIGO RUST REMOVAL (20 L/ PAIL)</t>
  </si>
  <si>
    <t>KAIGO MPD 100 (20 L/ PAIL)</t>
  </si>
  <si>
    <t>KAIGO MPD 150 (20 L/ PAIL)</t>
  </si>
  <si>
    <t>CUSTOMISE VINYL STICKER WITH LAMINATION</t>
  </si>
  <si>
    <t>POSTER TRAKINDO CORPORATE</t>
  </si>
  <si>
    <t>WD40 OIL</t>
  </si>
  <si>
    <t>TERPAL DOUBLE LAYER A12 UK. 4 X 6 M</t>
  </si>
  <si>
    <t>MINERAL WATER GALLON VIT</t>
  </si>
  <si>
    <t>MINERAL WATER GALLON AQUA</t>
  </si>
  <si>
    <t>3M WP96 GLASS FACE SHILED</t>
  </si>
  <si>
    <t>Exstick PH meter IP57 PH100</t>
  </si>
  <si>
    <t>3M H8A HEADGEAR FACESHIELD</t>
  </si>
  <si>
    <t>EARPLUG 3M ULTRAFIT 340-4004</t>
  </si>
  <si>
    <t>HONEYWELL 1011993 EARMUFF</t>
  </si>
  <si>
    <t>RAINCOAT PVC  SIZE  L</t>
  </si>
  <si>
    <t>RAINCOAT PVC+REFLECTIVE  SIZE L</t>
  </si>
  <si>
    <t>TERPAL DOUBLE LAYER A12 UK. 6 X 8 M</t>
  </si>
  <si>
    <t>DALO METAL MARKER WHITE</t>
  </si>
  <si>
    <t>DALO METAL MARKER YELLOW</t>
  </si>
  <si>
    <t>SANDEN SP-20 (TUTUP PUTIH) @ 250 ml</t>
  </si>
  <si>
    <t>MOLYKOTE G-N METAL ASSEMBLY PASTE 500 GR</t>
  </si>
  <si>
    <t>PN. 3541521-H WIRE BRUSH (HALUS)</t>
  </si>
  <si>
    <t>PN. 3541521-K WIRE BRUSH (KASAR)</t>
  </si>
  <si>
    <t>CABEL TIES INSULOK 40CMX7.5MM/T120R/HTM</t>
  </si>
  <si>
    <t>PN. 2BTR9V BATTERY ENERGIZER 9 VOLT</t>
  </si>
  <si>
    <t>Transfloor P100 Clear</t>
  </si>
  <si>
    <t>TP120 White - Transfloor White 5 ltr</t>
  </si>
  <si>
    <t>TP120 Black - Transfloor Black 5 ltr</t>
  </si>
  <si>
    <t>TP120 Yellow - Transfloor Yellow 5 ltr</t>
  </si>
  <si>
    <t>TP120 Mint Green-Transfloor 5 ltr</t>
  </si>
  <si>
    <t>TT70 - Thinner Trans 70 (1 PAIL@ 20 ltr)</t>
  </si>
  <si>
    <t>TT220 Thinner Trans 220 (1 CAN@ 5 ltr)</t>
  </si>
  <si>
    <t>PERMATEX FAST ORANGE HAND CLEANER 3,78L</t>
  </si>
  <si>
    <t>KUAS LUKIS NO.12</t>
  </si>
  <si>
    <t>PN.42411 OIL ABSORBENT PAD S,40 GRAM</t>
  </si>
  <si>
    <t>PN. 93495 WYPALL X60 WIPERS</t>
  </si>
  <si>
    <t>Grounding Road Material</t>
  </si>
  <si>
    <t>LT</t>
  </si>
  <si>
    <t>PLASTIK WRAPPING 17 MIKRON X 300 M</t>
  </si>
  <si>
    <t>DEMPUL SANPOLAC @1KG</t>
  </si>
  <si>
    <t>DAIMARU OPP PACKING TAPE 2"-BROWN</t>
  </si>
  <si>
    <t>PAINT BRUSH 2. 5" ETERNA</t>
  </si>
  <si>
    <t>SANDFLEX HACKSAW BLADE 12'X24TPI</t>
  </si>
  <si>
    <t>DANAGLOSS SMT GREEN (@ 1LTR)</t>
  </si>
  <si>
    <t>DANAGLOSS WHITE (@1LTR)</t>
  </si>
  <si>
    <t>COMPONENT ELECTRICAL PANEL</t>
  </si>
  <si>
    <t>DANAPAINT HELLA GREY (1 Kg/ CAN)</t>
  </si>
  <si>
    <t>SIKAFLEX 255 FC - 310ML</t>
  </si>
  <si>
    <t>KIMTECH BLUE TOWEL PN 33560 (8 PACK/BOX)</t>
  </si>
  <si>
    <t>MECHANIX ORANGE HC 3,78 L</t>
  </si>
  <si>
    <t>94447 Jackson G80 NITRILE GLOVES</t>
  </si>
  <si>
    <t>SWIPE-ALL S70 Roll White,900 sheets</t>
  </si>
  <si>
    <t>Swipe All P80 Oil Sorbent Pad White</t>
  </si>
  <si>
    <t>KUAS LUKIS NO.6"</t>
  </si>
  <si>
    <t>KUAS ETERNA NO.2"</t>
  </si>
  <si>
    <t>KUAS ETERNA NO.3"</t>
  </si>
  <si>
    <t>KUAS ETERNA NO.4"</t>
  </si>
  <si>
    <t>DAIMARU MASKING TAPE 2"X25 YARDS</t>
  </si>
  <si>
    <t>PC1015 PLASTIC CLIP@100SHT,100LBR/PACK</t>
  </si>
  <si>
    <t>PC2030PLASTIC BAGCLIP20X30,100LBR/PACK</t>
  </si>
  <si>
    <t>PLASTIK PALLET TYPE NPJ-1210</t>
  </si>
  <si>
    <t>WYPALL Kimtech Science TISSUE GLASSES</t>
  </si>
  <si>
    <t>SCJohnson Terrashine Hard Fl.Coating 28L</t>
  </si>
  <si>
    <t>SCJohnson Cong R Dust (Dust Trap)</t>
  </si>
  <si>
    <t>TUMBLERROSWELL CAT-Vacum Flask kap.320ml</t>
  </si>
  <si>
    <t>FINGERTIP OXIMETER</t>
  </si>
  <si>
    <t>SAMSUNG GALAXY SMARTPHONE</t>
  </si>
  <si>
    <t>Seal Karet for Donalson Filter</t>
  </si>
  <si>
    <t>Seal Plastik for Donalson Filter</t>
  </si>
  <si>
    <t>Air Coupler Plug (NP-20PM) Male PT 1/4 â</t>
  </si>
  <si>
    <t>Air Coupler sock (NP-20SF) Female P 1/4â</t>
  </si>
  <si>
    <t>SSK TULSA BLACK 216190 No 9</t>
  </si>
  <si>
    <t>Guard Kaca Cabin CAT 950GC &amp; Roof Guard</t>
  </si>
  <si>
    <t>Guard Kaca Cabin CAT 966H &amp; Roof Guard</t>
  </si>
  <si>
    <t>KUAS ETERNA 1. 5"</t>
  </si>
  <si>
    <t>7-5800COV_Medical Latex Gloves</t>
  </si>
  <si>
    <t>7-5800COV_Disinfectant 5 Liter</t>
  </si>
  <si>
    <t>Polo shirt - 50 Tahun Trakindo</t>
  </si>
  <si>
    <t>Tumbler for External - 50 Tahun Trakindo</t>
  </si>
  <si>
    <t>Payung - 50 Tahun Trakindo</t>
  </si>
  <si>
    <t>SHE SIGN PERFORMANCE BOARD150Lx170W</t>
  </si>
  <si>
    <t>HEAT TREATMENT CERTIFICATION</t>
  </si>
  <si>
    <t>OSBOND 806 SEALING LUBRICANT (5 L/ GLN)</t>
  </si>
  <si>
    <t>PN. 104-4101 CPI CATERPILLAR BLACK DOFF</t>
  </si>
  <si>
    <t>PN. 104-4900 CPI CATERPILLAR BLUE</t>
  </si>
  <si>
    <t>PN. 104-4790 CPI CATERPILLAR GREEN</t>
  </si>
  <si>
    <t>PN. 104-4400 CPI CATERPILLAR SILVER</t>
  </si>
  <si>
    <t>CAT SHOES Outline ST Honey Reset</t>
  </si>
  <si>
    <t>CAT SHOES Streamline CT Charcoal</t>
  </si>
  <si>
    <t>CAT SHOES Nitrogen CT Dark Beige</t>
  </si>
  <si>
    <t>CAT SHOES PARKER ESD DARK BEIGE</t>
  </si>
  <si>
    <t>CAT SHOES Device CTWP- Dark Beige</t>
  </si>
  <si>
    <t>SAFETY SHOE CAT SECOND SHIFT ST</t>
  </si>
  <si>
    <t>SCOTCH TAPE DISPENSER</t>
  </si>
  <si>
    <t>SCISSORS ALFAX SC612 6.5"</t>
  </si>
  <si>
    <t>CUTTER A300RP</t>
  </si>
  <si>
    <t>PEN ALFAX K058 HOLDER SQUARE</t>
  </si>
  <si>
    <t>PENTEL CORRECTION TAPE ZT45-WO 5M</t>
  </si>
  <si>
    <t>ALFAX TWO HOLE PUNCHER</t>
  </si>
  <si>
    <t>SHELVING H2300xW1000xD600mm</t>
  </si>
  <si>
    <t>SHELVING H2300xW1000xD400mm</t>
  </si>
  <si>
    <t>LONGSPAN H3000xW2200xD800mm</t>
  </si>
  <si>
    <t>LONGSPAN H3000xW2700xD800mm</t>
  </si>
  <si>
    <t>MEZZANINE_TYPE B</t>
  </si>
  <si>
    <t>POST PROTECTOR TYPE L &amp; U</t>
  </si>
  <si>
    <t>FCL-200 MAX BORE 56mm -DYNO SPAREPART</t>
  </si>
  <si>
    <t>TEKIRO Shock 3/8â€ DR. Socket 6PT 10 PC</t>
  </si>
  <si>
    <t>STANLEY Hummer PN.51-081</t>
  </si>
  <si>
    <t>PN.104-4100 CPI CATERPILLAR BLACK</t>
  </si>
  <si>
    <t>PN.104-4500 CPI CATERPILLAR RED</t>
  </si>
  <si>
    <t>PN.104-4731 CPI CATERPILLAR BEIGE</t>
  </si>
  <si>
    <t>MEZZANINE_TYPE A</t>
  </si>
  <si>
    <t>First Aid Content Set</t>
  </si>
  <si>
    <t>CASIO AX120ST CALCULATOR 12DIGITS</t>
  </si>
  <si>
    <t>KIT WAX ORIGINAL 225 gr</t>
  </si>
  <si>
    <t>GS Battery Premium 95D31L (NX120-7L)</t>
  </si>
  <si>
    <t>MAIN HOSE PN. 8.06.100 HOSE MACHINE</t>
  </si>
  <si>
    <t>Kapas Putih</t>
  </si>
  <si>
    <t>Sticker Dashboard Truck Delivery</t>
  </si>
  <si>
    <t>WOODEN PALLET SIZE: L240 X W240CM</t>
  </si>
  <si>
    <t>PKH SHORT SLEEVES - NEW LOGO NO BADGE</t>
  </si>
  <si>
    <t>CUSTOMISATION CHARGES</t>
  </si>
  <si>
    <t>PENTA HEAT RESISTANT 200 BLACK (1CAN=1KG</t>
  </si>
  <si>
    <t>THINNER NO.10 MERK JOTUN 1 klg=5 ltr</t>
  </si>
  <si>
    <t>PN. SSK THINNER SSK @ 5 LTR</t>
  </si>
  <si>
    <t>CS-THINNER 1-THINNER AVIA 1 LITER</t>
  </si>
  <si>
    <t>AIR ACCU AQUADES (20 LTR/ PAIL)</t>
  </si>
  <si>
    <t>PN. PYL124 PYLOX SILVER</t>
  </si>
  <si>
    <t>PYLOX PAINT SPRAY 114 DARK GREEN</t>
  </si>
  <si>
    <t>PYLOX PAINT SPRAY DARK BLUE</t>
  </si>
  <si>
    <t>PRESTONE BREAK FLUID DOT3 - @ 1 LTR</t>
  </si>
  <si>
    <t>PRESTONE CRAB &amp; COKE CLEANER</t>
  </si>
  <si>
    <t>MULTI PURPOSE GREASE 400 GM/ UPS</t>
  </si>
  <si>
    <t>2S3230 ALTIS - EM2 GREASE ( 18 KG/ PAIL)</t>
  </si>
  <si>
    <t>CROWN 6080 DRY MOL LUBRICANT</t>
  </si>
  <si>
    <t>SANDPAPER GRINDING NO 2</t>
  </si>
  <si>
    <t>AMPLAS NO.3</t>
  </si>
  <si>
    <t>KUAS ETERNA 1" TYPE 611</t>
  </si>
  <si>
    <t>CAT 1C.127.21.247</t>
  </si>
  <si>
    <t>CAT 1D.167.21.241</t>
  </si>
  <si>
    <t>CAT 1D.167.26.241</t>
  </si>
  <si>
    <t>CAT P9.150.25.721</t>
  </si>
  <si>
    <t>CAT P9.160.21.424</t>
  </si>
  <si>
    <t>Sticker Tegur Saya</t>
  </si>
  <si>
    <t>Tagging APAR</t>
  </si>
  <si>
    <t>Plakat PPGT</t>
  </si>
  <si>
    <t>SQUARE DRIVE 1 " S3000X</t>
  </si>
  <si>
    <t>HEXAGON DRIVE W4000X</t>
  </si>
  <si>
    <t>HEX CASSETE 46MM W4113</t>
  </si>
  <si>
    <t>HEX CASSETE 55MM W4203X</t>
  </si>
  <si>
    <t>DANALAC KUNING/HIJAU 1 KG</t>
  </si>
  <si>
    <t>DANAGLOSS HITAM/PUTIH 1 KG</t>
  </si>
  <si>
    <t>DULUX CAT TEMBOK INDOOR PUTIH 2,5 KG</t>
  </si>
  <si>
    <t>DULUX CAT TEMBOK OUTDOOR PUTIH 2,5 KG</t>
  </si>
  <si>
    <t>PAINT PENTA SUPER GLOSS YELLOW @1 KG/CAN</t>
  </si>
  <si>
    <t>PAINT PENTA SUPER GLOSS PINK (1 KG/ CAN)</t>
  </si>
  <si>
    <t>PAINT PENTA SUPER GLOSS MERAH @1 KG/CAN</t>
  </si>
  <si>
    <t>PAINT PENTA SUPER GLOSS PUTIH (1 KG/CAN)</t>
  </si>
  <si>
    <t>PAINT PENTA SUPER GLOSS HIJAU (1 KG/CAN)</t>
  </si>
  <si>
    <t>PAINT PENTA SUPER GLOSS HITAM @1 KG/CAN</t>
  </si>
  <si>
    <t>PAINT GRASS GREEN KANSAI (1 KG/ CAN)</t>
  </si>
  <si>
    <t>PAINT BROWN KANSAI (1 KG/ CAN)</t>
  </si>
  <si>
    <t>TERPAL DOUBLE LAYER A12 UK. 8 X 3 M</t>
  </si>
  <si>
    <t>SIKAT BESI KECIL KUNING</t>
  </si>
  <si>
    <t>SIKAT KAWAT KUNINGAN</t>
  </si>
  <si>
    <t>SIKAT KAWAT BAJA (KASAR)</t>
  </si>
  <si>
    <t>SIKAT KAWAT BAJA 4 BARIS</t>
  </si>
  <si>
    <t>SIKAT KAWAT BAJA GAGANG PLASTIK</t>
  </si>
  <si>
    <t>BATTERY PANASONIC 6V-4.5 AH</t>
  </si>
  <si>
    <t>BATTERY ABC BIG SIZE D 1.5V</t>
  </si>
  <si>
    <t>DAIMARU TAPE CLOTH 1" X 12 M -BLACK</t>
  </si>
  <si>
    <t>DOUBLE TAPE 3M 2"</t>
  </si>
  <si>
    <t>UNIBEL ELECTRICAL TAPE-BLACK</t>
  </si>
  <si>
    <t>DEXTONE SILICONE RUBBER SEALANT 70 GR</t>
  </si>
  <si>
    <t>NIPPON RESIBON CUTTING WHEEL 4"X3</t>
  </si>
  <si>
    <t>Raincoat PVC DUSAFE W/ Reflective Sz L</t>
  </si>
  <si>
    <t>Fuel Solar B30</t>
  </si>
  <si>
    <t>Fuel Solar Pertamina Dex</t>
  </si>
  <si>
    <t>Buku Peraturan Perusahaan</t>
  </si>
  <si>
    <t>LAMP PHILIPS LED 12 WATT</t>
  </si>
  <si>
    <t>LAMP PHILIPS TL LED 14,5 WATT</t>
  </si>
  <si>
    <t>FUJI THREAD SEAL TAPE 1/2"</t>
  </si>
  <si>
    <t>SIKASIL AP SILICONE SEALANT BLACK</t>
  </si>
  <si>
    <t>SIKASIL AP SILICONE SEALANT CLEAR</t>
  </si>
  <si>
    <t>METAL MARKER WHITE SAKURA</t>
  </si>
  <si>
    <t>METAL MARKER YELLOW SAKURA</t>
  </si>
  <si>
    <t>TERPAL DOUBLE LAYER A12 UK. 8 X 6 M</t>
  </si>
  <si>
    <t>KERAN AIR TOTO T23B13</t>
  </si>
  <si>
    <t>KERAN AIR ONDA A 901 BI</t>
  </si>
  <si>
    <t>MEETING CHAIR</t>
  </si>
  <si>
    <t>MEETING TABLE</t>
  </si>
  <si>
    <t>PAINT SCRAPER (KAPE) UK. 5"</t>
  </si>
  <si>
    <t>PAINT SCRAPER (KAPE) UK. 9"</t>
  </si>
  <si>
    <t>CABEL TIES INSULOK 750MM-HITAM (760MM)</t>
  </si>
  <si>
    <t>BATTERY ENERGIZER ALKALINE A4 @1 SET=2EA</t>
  </si>
  <si>
    <t>NITTO BROCO STEKER ARDE 2 ROUND PIN</t>
  </si>
  <si>
    <t>NITTO HI CUPLA SOCKET 1/2' 40 SH</t>
  </si>
  <si>
    <t>EXPOXY DEXTONE 48GR</t>
  </si>
  <si>
    <t>1VV21AA HP GT53XL 135 ml</t>
  </si>
  <si>
    <t>CHINESE NEW YEAR CARD 2021 #78921</t>
  </si>
  <si>
    <t>E-Voucher TADA PARTS LEAGUE @ 3 JUTA</t>
  </si>
  <si>
    <t>E-Voucher TADA PARTS LEAGUE @ 2 JUTA</t>
  </si>
  <si>
    <t>E-Voucher TADA PARTS LEAGUE @ 1 JUTA</t>
  </si>
  <si>
    <t>E-Voucher TADA PARTS LEAGUE @ 250 RIBU</t>
  </si>
  <si>
    <t>1VV22AA HP GT53A 90 ml</t>
  </si>
  <si>
    <t>Bubble Wrapping</t>
  </si>
  <si>
    <t>PLASTIC WRAPPING 17 MIKRON 500M L45</t>
  </si>
  <si>
    <t>Polo Shirt 6Sigma</t>
  </si>
  <si>
    <t>Paint Scraper (KAPE) @ 50/80/100/120 mm</t>
  </si>
  <si>
    <t>LED Philips BVP 176 (200 Watt)</t>
  </si>
  <si>
    <t>Sticker Certified Calibration</t>
  </si>
  <si>
    <t>KAIGO ELECTRIC CONTACT CLEANER (500ml)</t>
  </si>
  <si>
    <t>KAIGO MPD 100 DEGRESER (20 L/ PAIL)</t>
  </si>
  <si>
    <t>KAIGO RADIATOR COOLANT 50/50 (20 liter)</t>
  </si>
  <si>
    <t>WOODEN PALLET SIZE: L280 X W280CM</t>
  </si>
  <si>
    <t>11 HOLE SHEET PROTECTOR</t>
  </si>
  <si>
    <t>UHU GLUE STICK 40G</t>
  </si>
  <si>
    <t>3M 136 DOUBLE SIDED TAPE 1/2" X 250"</t>
  </si>
  <si>
    <t>PILOT V BOARD MASTER WHITEBOARD MARKER</t>
  </si>
  <si>
    <t>Standing Tripod</t>
  </si>
  <si>
    <t>POSTER Standing Tripod</t>
  </si>
  <si>
    <t>CAT LE.111.21.137</t>
  </si>
  <si>
    <t>CAT LE.111.21.731</t>
  </si>
  <si>
    <t>SUPER POWER PUSHER</t>
  </si>
  <si>
    <t>GAUGE BLOCK STEEL SET (47) 0 516-962-10</t>
  </si>
  <si>
    <t>CALIPER CHECKER 300MM 515-555</t>
  </si>
  <si>
    <t>Grinding Wheel 4" poles wool polishing</t>
  </si>
  <si>
    <t>GRINDING CUTTING WOOD 4" 72T</t>
  </si>
  <si>
    <t>Grinding Wheel 4" poles NIPPON RESIBON</t>
  </si>
  <si>
    <t>Mounting Bracket Ripper D9R/T (SET @ 2 E</t>
  </si>
  <si>
    <t>CAT Power Bank</t>
  </si>
  <si>
    <t>Sticker MonoLight</t>
  </si>
  <si>
    <t>Sticker Sign "Welcome To"</t>
  </si>
  <si>
    <t>Sticker Sign "Trakindo Cat"</t>
  </si>
  <si>
    <t>Sticker Sign "CAT Rental Store"</t>
  </si>
  <si>
    <t>Sticker Sign "Fluid Analysis SOS Lab"</t>
  </si>
  <si>
    <t>Sticker for Building</t>
  </si>
  <si>
    <t>MICROSOFT WINDOWS 10 PRO LICENSE</t>
  </si>
  <si>
    <t>Gloves Ansell Hyflex 11-801</t>
  </si>
  <si>
    <t>23840M BLACK GOLD FOIL T-SHIRT (M)</t>
  </si>
  <si>
    <t>23840L BLACK GOLD FOIL T-SHIRT (L)</t>
  </si>
  <si>
    <t>23840XL BLACK GOLD FOIL T-SHIRT (XL)</t>
  </si>
  <si>
    <t>CAT 1:50 R1700 U/G MINING LOADER</t>
  </si>
  <si>
    <t>CAT 1:50 D8T TRACK-TYPED TRACTOR</t>
  </si>
  <si>
    <t>CAT 1:50 18 MOTOR GRADER</t>
  </si>
  <si>
    <t>CAT 1:50 D6R DOZER</t>
  </si>
  <si>
    <t>WOODEN PALLET SIZE: 160 X 160CM</t>
  </si>
  <si>
    <t>Samsung Galaxy Tab S7</t>
  </si>
  <si>
    <t>Samsung Galaxy S20</t>
  </si>
  <si>
    <t>Laptop Lenovo Legion 5i (82AU00K9ID)</t>
  </si>
  <si>
    <t>Divider Acrylic 25 (W)x205(L)x60(H)</t>
  </si>
  <si>
    <t>C1RK1-002900-L983 AUTOCAD LICENSE</t>
  </si>
  <si>
    <t>CAT WATCH PX.189.19.639 SS RG BLUE</t>
  </si>
  <si>
    <t>BATTERY FOR LAPTOP DELL LATITUDE 7480</t>
  </si>
  <si>
    <t>Divider Acrylic 30 (W)x150(L)x60(H)</t>
  </si>
  <si>
    <t>Divider Acrylic 30 (W)x200(L)x60(H)</t>
  </si>
  <si>
    <t>Divider Acrylic 30 (W)x145(L)x60(H)</t>
  </si>
  <si>
    <t>Divider Acrylic 55(W)x80(L)x60(H)</t>
  </si>
  <si>
    <t>Divider Acrylic 25(W)x120(L)x60(H)</t>
  </si>
  <si>
    <t>CAT WATCH DW.161.16.131</t>
  </si>
  <si>
    <t>CAT WATCH NA.143.27.127</t>
  </si>
  <si>
    <t>Buku Modul Pembelajaran COOP (SMK)</t>
  </si>
  <si>
    <t>Buku Modul Pembelajaran COOP (Politeknik</t>
  </si>
  <si>
    <t>CAT LF.111.26.632</t>
  </si>
  <si>
    <t>CAT LG.140.21.721</t>
  </si>
  <si>
    <t>24007S BLACK CERAMIC MULBERRY SILK POLO</t>
  </si>
  <si>
    <t>24007M BLACK CERAMIC MULBERRY SILK POLO</t>
  </si>
  <si>
    <t>24007L BLACK CERAMIC MULBERRY SILK POLO</t>
  </si>
  <si>
    <t>24007XL BLACK CERAMIC MULBERRY SILK POLO</t>
  </si>
  <si>
    <t>23385 SHOPPING BAG (S)</t>
  </si>
  <si>
    <t>23886 CAT MULTI-TOOL</t>
  </si>
  <si>
    <t>CAT 320 DL SCALA 1 : 87</t>
  </si>
  <si>
    <t>CAT D9T SCALA 1 : 87</t>
  </si>
  <si>
    <t>TRAKINDO LOGO FOAM BOARD</t>
  </si>
  <si>
    <t>PN. 2901036300 MAINTENANCE KIT GA11-22</t>
  </si>
  <si>
    <t>PN.2901161700 THERMOSTA T KIT 60 DEGREE</t>
  </si>
  <si>
    <t>PN.2904500069 SERVICE KIT WSD25-40</t>
  </si>
  <si>
    <t>PN.6236382300 EV.REGULATION 230V</t>
  </si>
  <si>
    <t>PN.9762810286 CARBON REMOVER</t>
  </si>
  <si>
    <t>PN.1630204120 OIL RS ULTRA 20L</t>
  </si>
  <si>
    <t>Pylon Sign "TRAKINDO" W1mxL4mxH6m</t>
  </si>
  <si>
    <t>Polo Shirt Hitam List Kuning CAT HUT 50T</t>
  </si>
  <si>
    <t>Rosewell Tumbler CAT HUT 50TH</t>
  </si>
  <si>
    <t>SCALE MODEL MD6250</t>
  </si>
  <si>
    <t>CAT 1A.137.23.241</t>
  </si>
  <si>
    <t>20331 5M TAPE MEASURE</t>
  </si>
  <si>
    <t>CAT 1D.167.27.241</t>
  </si>
  <si>
    <t>CAT WATCH LH SERIES 1</t>
  </si>
  <si>
    <t>CAT MC.155.27.137</t>
  </si>
  <si>
    <t>FOLDABLE SHOPPING BAG LOD</t>
  </si>
  <si>
    <t>Samsung Note 20 Ultra</t>
  </si>
  <si>
    <t>CS11 GC Vibratory Soil Compactor</t>
  </si>
  <si>
    <t>320 Hydraulic Excavator</t>
  </si>
  <si>
    <t>320 GC Hydraulic Excavator</t>
  </si>
  <si>
    <t>950 GC Wheel Loade</t>
  </si>
  <si>
    <t>Samsung A71</t>
  </si>
  <si>
    <t>CAT SHOES PASSAGE CT REGAL RED</t>
  </si>
  <si>
    <t>SHOES CAT STREAMLINE CT</t>
  </si>
  <si>
    <t>Kansai Zinc Chromate Primer (1 KG)</t>
  </si>
  <si>
    <t>LAMPU PHILIPS LED 19 WATT</t>
  </si>
  <si>
    <t>Hard Box HUT 50 th</t>
  </si>
  <si>
    <t>Linkage Protector CAT 305</t>
  </si>
  <si>
    <t>Linkage Protector CAT 307</t>
  </si>
  <si>
    <t>TOWEL KANEBO 3M</t>
  </si>
  <si>
    <t>Packing CAT 416F Wheel Standart Export</t>
  </si>
  <si>
    <t>AIR COMPRESSOR SULLAIR  AS 5508 C/w ACC</t>
  </si>
  <si>
    <t>CCTV PTZ SNP 6233RH SAMSUNG C/W BRACKET</t>
  </si>
  <si>
    <t>NVR SAMSUNG  RAID 5 XRN-410S +HDD 2TERRA</t>
  </si>
  <si>
    <t>AXIAL FAN CKE 10000CFM</t>
  </si>
  <si>
    <t>AXIAL FAN CKE CAP.5700 CMH</t>
  </si>
  <si>
    <t>MEDALI LARI - BEST DISTANCE</t>
  </si>
  <si>
    <t>MEDALI LARI - BEST WORKOUT TIME</t>
  </si>
  <si>
    <t>MEDALI LARI - BEST PHOTO</t>
  </si>
  <si>
    <t>LED TV SAMSUNG 32 INCH</t>
  </si>
  <si>
    <t>Cat 966M Wheel Loader 1 : 50</t>
  </si>
  <si>
    <t>DOCKING STATION FOR HP SPECTRE X360 13</t>
  </si>
  <si>
    <t>TALI NYLON 6MM ( 200 METER/ ROLL)</t>
  </si>
  <si>
    <t>PN. 40226 G40 Nitrile Gloves size: 8</t>
  </si>
  <si>
    <t>PN. 13838 G40 Polyurethane Gloves size:8</t>
  </si>
  <si>
    <t>PN. 13839 G40 Polyurethane Gloves size:9</t>
  </si>
  <si>
    <t>PN. 94447 KLEENGUARD G80 NITRILE GLOVES</t>
  </si>
  <si>
    <t>308E2 CR SB MINI HYDRAULIC ESCAVAT 1:32</t>
  </si>
  <si>
    <t>D5K2 LGP TRAC TYPE TRACTOR</t>
  </si>
  <si>
    <t>SCLAE MODEL CS15</t>
  </si>
  <si>
    <t>CAT CB.149.11.132 CARBON BLADE SILVER</t>
  </si>
  <si>
    <t>HOSE 3/8IN NILFISK 10M PN.700550039</t>
  </si>
  <si>
    <t>ACC.KIT NILFISK D14.4MM 700540033F/C110</t>
  </si>
  <si>
    <t>BATTERY GS HYBRID 12V 35AH NS40ZL</t>
  </si>
  <si>
    <t>PAINT SPRAY GUN MEIJI F75</t>
  </si>
  <si>
    <t>AIR HOSE REEL10085429 KRISBOW</t>
  </si>
  <si>
    <t>Emergency Shower</t>
  </si>
  <si>
    <t>Ethernet Surge Protector</t>
  </si>
  <si>
    <t>E-Voucher TADA SERVICE LEAGUE @ 2 JUTA</t>
  </si>
  <si>
    <t>E-Voucher TADA SERVICE LEAGUE @ 500 RIBU</t>
  </si>
  <si>
    <t>E-Voucher TADA SERVICE LEAGUE @ 250 RIBU</t>
  </si>
  <si>
    <t>E-Voucher TADA SERVICE LEAGUE @ 4.250.00</t>
  </si>
  <si>
    <t>E-Voucher TADA SERVICE LEAGUE @ 4.750.00</t>
  </si>
  <si>
    <t>E-Voucher TADA SERVICE LEAGUE @ 5.000.00</t>
  </si>
  <si>
    <t>E-Voucher TADA SERVICE LEAGUE @ 5.250.00</t>
  </si>
  <si>
    <t>E-Voucher TADA SERVICE LEAGUE @ 5.750.00</t>
  </si>
  <si>
    <t>E-Voucher TADA SERVICE LEAGUE @ 6.500.00</t>
  </si>
  <si>
    <t>E-Voucher TADA SERVICE LEAGUE @ 10.500.0</t>
  </si>
  <si>
    <t>CAT WATCH LF SERIES 1</t>
  </si>
  <si>
    <t>LF.111.21.131</t>
  </si>
  <si>
    <t>LH.110.21.727</t>
  </si>
  <si>
    <t>1B.111.27.117</t>
  </si>
  <si>
    <t>OF.147.27.247</t>
  </si>
  <si>
    <t>SAFETY VEST FIRST AID</t>
  </si>
  <si>
    <t>SAFETY VEST FLOOR WARDEN</t>
  </si>
  <si>
    <t>E-Voucher TADA SERVICE LEAGUE @ 3 JUTA</t>
  </si>
  <si>
    <t>e-Voucher @ IDR 4.250.000</t>
  </si>
  <si>
    <t>e-Voucher @ IDR 5.000.000</t>
  </si>
  <si>
    <t>e-Voucher @ IDR 5.250.000</t>
  </si>
  <si>
    <t>e-Voucher @ IDR 5.750.000</t>
  </si>
  <si>
    <t>AA 161.23.123</t>
  </si>
  <si>
    <t>BLANK CARD FOR KIMPER</t>
  </si>
  <si>
    <t>BLANK CARD FOR ID EMPLOYEE</t>
  </si>
  <si>
    <t>E-Voucher TADA SERVICE LEAGUE @ 300 RIBU</t>
  </si>
  <si>
    <t>E-Voucher TADA SERVICE LEAGUE @ 400 RIBU</t>
  </si>
  <si>
    <t>E-Voucher TADA SERVICE LEAGUE @ 900 RIBU</t>
  </si>
  <si>
    <t>COFFEE KAPAL API 380 GR - Somber</t>
  </si>
  <si>
    <t>SUGAR 1000 GR - Somber</t>
  </si>
  <si>
    <t>TEA SARIWANGI ISI 50 - Somber</t>
  </si>
  <si>
    <t>COFFEE-MATE CREAMER NESTLE 450 GR-SOMBER</t>
  </si>
  <si>
    <t>MILK BEAR BRAND 189 ML - SOMBER</t>
  </si>
  <si>
    <t>MINERAL WATER AQUA BOTTLE 600 ML-SOMBER</t>
  </si>
  <si>
    <t>Cartridge EPSON L3110</t>
  </si>
  <si>
    <t>SHOPPING VOUCHER SODEXO @IDR 100.000</t>
  </si>
  <si>
    <t>SHOPPING VOUCHER MAP @IDR 100.000</t>
  </si>
  <si>
    <t>WHEEL CHOCK MC 3010 HEAVY DUTY</t>
  </si>
  <si>
    <t>e-Voucher @ IDR 2.500.000</t>
  </si>
  <si>
    <t>NOTE BOOK RING CAT  HUT 50TH</t>
  </si>
  <si>
    <t>TUMBLER SUBWAY CAT HUT 50TH</t>
  </si>
  <si>
    <t>T SHIRT MILO CAT HUT 50TH</t>
  </si>
  <si>
    <t>GOODIE BAG L TRAKINDOCAT CALLCTR HUT50TH</t>
  </si>
  <si>
    <t>GOODIE BAG S TRAKINDOCAT CALLCTR HUT50TH</t>
  </si>
  <si>
    <t>2017M CRC NF CONTACT CLEANER  400g</t>
  </si>
  <si>
    <t>MAGNAFLUX 7HF PREPARED BATH/7HF MPI INK</t>
  </si>
  <si>
    <t>MAGNAFLUX WCP-2 WHITE CONTRAST PAINT</t>
  </si>
  <si>
    <t>SKC-S CS-FLUK CLEANER</t>
  </si>
  <si>
    <t>16 YEARS - ANTAM GOLD PIN  10gr SERVICE</t>
  </si>
  <si>
    <t>WE ARE ADVANCING YOU FORWARD</t>
  </si>
  <si>
    <t>e-Voucher @ IDR 500.000</t>
  </si>
  <si>
    <t>E-Voucher @1.750.000</t>
  </si>
  <si>
    <t>E-Voucher @1.500.000</t>
  </si>
  <si>
    <t>E-Voucher @1.250.000</t>
  </si>
  <si>
    <t>E-Voucher @1.000.000</t>
  </si>
  <si>
    <t>E-Voucher @750.000</t>
  </si>
  <si>
    <t>e-Voucher @ IDR 250.000</t>
  </si>
  <si>
    <t>E-Voucher @150.000</t>
  </si>
  <si>
    <t>E-Voucher @800.000</t>
  </si>
  <si>
    <t>PACKING LIST ENVELOPE SIZE: 240 X 185MM</t>
  </si>
  <si>
    <t>PACKING LIST ENVELOPE SIZE: 350 X 250MM</t>
  </si>
  <si>
    <t>330 Hydraulic Excavator - Next Gen</t>
  </si>
  <si>
    <t>TROLLEY BAG LOD</t>
  </si>
  <si>
    <t>SHAFTALIGN TOUCH PN. ALI 26000</t>
  </si>
  <si>
    <t>924G VERSLINK</t>
  </si>
  <si>
    <t>1:50 Cat D11T Track Type Tractor - Matt</t>
  </si>
  <si>
    <t>1:50 Cat D11T Track-Type Tractor - Coppe</t>
  </si>
  <si>
    <t>1:50 Cat 390F L Hydraulic Excavator - Gu</t>
  </si>
  <si>
    <t>GOODY BAG L TRAKINDO CAT AYF HUT 50THN</t>
  </si>
  <si>
    <t>MEDALI BULAN K3N 2021 TMT</t>
  </si>
  <si>
    <t>Flipbook</t>
  </si>
  <si>
    <t>E-Voucher TADA @ 1.750.000</t>
  </si>
  <si>
    <t>E-Voucher TADA @ 4.000.000</t>
  </si>
  <si>
    <t>e-Voucher @ IDR 5.500.000</t>
  </si>
  <si>
    <t>VOUCHER CAREFOUR @100.000</t>
  </si>
  <si>
    <t>VOUCHER CAREFOUR @ 50.000</t>
  </si>
  <si>
    <t>VOUCHER HYPERMART @ 100.000</t>
  </si>
  <si>
    <t>VOUCHER MATAHARI @ 50.000</t>
  </si>
  <si>
    <t>SAFETY HELMET MSA V-GARD STAZ ON NO LOGO</t>
  </si>
  <si>
    <t>SAFETY HELMET MSA NOLOGO-TYPE PUTAR</t>
  </si>
  <si>
    <t>SAFETY HELMET FLOOR WARDEN FULL BRIM RED</t>
  </si>
  <si>
    <t>SUSPENSION HELMET MSA FASTRACK</t>
  </si>
  <si>
    <t>FACE SHIELD P/N : 10115730</t>
  </si>
  <si>
    <t>3M VISOR WP96 PN 82701 FACESHIELD</t>
  </si>
  <si>
    <t>3M ULTRAFIT EAR PLUG 340-4002 PAIR</t>
  </si>
  <si>
    <t>EARPLUG 3M ULTRAFIT 340-4004 PAIR</t>
  </si>
  <si>
    <t>EARPLUG AS-30R</t>
  </si>
  <si>
    <t>EARPLUG MAX I-D</t>
  </si>
  <si>
    <t>EARMUFF HOWARD LEIGHT L3H P/N:1011993</t>
  </si>
  <si>
    <t>EARMUFF L2 HON 1010923</t>
  </si>
  <si>
    <t>DUST MASK 801 N 95</t>
  </si>
  <si>
    <t>HALF FACE RESPIRATOR 3M 7502 (size M)</t>
  </si>
  <si>
    <t>HALF FACE RESPIRATOR 3M 7502  (size L)</t>
  </si>
  <si>
    <t>RUBBER GLOVE 37-175</t>
  </si>
  <si>
    <t>GLOVE CRUSSADER FLEX 42-474</t>
  </si>
  <si>
    <t>7-5800COV_TYVEX COVERALL S</t>
  </si>
  <si>
    <t>7-5800COV_TYVEX COVERALL M</t>
  </si>
  <si>
    <t>7-5800COV_TYVEX COVERALL L</t>
  </si>
  <si>
    <t>7-5800COV_TYVEX COVERALL XL</t>
  </si>
  <si>
    <t>WELDING HOOD NP901</t>
  </si>
  <si>
    <t>FULL BODY HARNESS 1390010</t>
  </si>
  <si>
    <t>Clear Lens Tissue 1011379</t>
  </si>
  <si>
    <t>EYEWASH STATION PORTASTREAM 100</t>
  </si>
  <si>
    <t>Eyesaline concentrate HAWS 9082</t>
  </si>
  <si>
    <t>Lens Cleaning Solution Uvex S471</t>
  </si>
  <si>
    <t>7-5800COV_COVERSHOES</t>
  </si>
  <si>
    <t>CAT SAFETY SHOES NAVIGATOR ST WP</t>
  </si>
  <si>
    <t>Caterpillar Card</t>
  </si>
  <si>
    <t>7-5800COV_Thermogun</t>
  </si>
  <si>
    <t>STICKER HELM</t>
  </si>
  <si>
    <t>DW.141.11.131</t>
  </si>
  <si>
    <t>NP.161.35.139</t>
  </si>
  <si>
    <t>NP.161.34.132</t>
  </si>
  <si>
    <t>STAMP DUTY (METERAI TEMPEL)</t>
  </si>
  <si>
    <t>N0213</t>
  </si>
  <si>
    <t>PAKET TOOLKIT NEW NORMAL BK3N TMT</t>
  </si>
  <si>
    <t>wheel chock Krisbow 250X200X150 mm</t>
  </si>
  <si>
    <t>OIL PAN CAP.25L</t>
  </si>
  <si>
    <t>Spill KIT Kap.120L</t>
  </si>
  <si>
    <t>(A) RADIO MOTOROLA XIR P GM 3688UHF</t>
  </si>
  <si>
    <t>RADIO HT MOTOROLA CP1660 350-390M 4W UHF</t>
  </si>
  <si>
    <t>Safety Shoes Cheetah Type 7110H</t>
  </si>
  <si>
    <t>7-5800COV_FACESHIELD</t>
  </si>
  <si>
    <t>"7-5800COV_MASKER N95"</t>
  </si>
  <si>
    <t>CAT SHOES Woodward ST</t>
  </si>
  <si>
    <t>Portable Tent Size 5(W)x5(L)x3(H) M</t>
  </si>
  <si>
    <t>ELECTRICAL TAGGING - BLACK</t>
  </si>
  <si>
    <t>ELECTRICAL TAGGING - RED</t>
  </si>
  <si>
    <t>ELECTRICAL TAGGING - YELLOW</t>
  </si>
  <si>
    <t>ELECTRICAL TAGGING - GREEN</t>
  </si>
  <si>
    <t>ELECTRICAL TAGGING - BLUE</t>
  </si>
  <si>
    <t>(A) FIRE EXTINGUISER POWDER 1KG</t>
  </si>
  <si>
    <t>(A) FIRE EXTINGUISER POWDER 2KG</t>
  </si>
  <si>
    <t>(A) FIRE EXTINGUISER POWDER 3.5KG</t>
  </si>
  <si>
    <t>65310717AD01A00 ADOBE ACROBAT 2020</t>
  </si>
  <si>
    <t>LOGITECH MK345 WIRELESS COMBO</t>
  </si>
  <si>
    <t>FIRE EXTINGUISER POWDERÂ  6KG</t>
  </si>
  <si>
    <t>Exclusive Wrist Watch SYA - Ladies</t>
  </si>
  <si>
    <t>POST SPLICE 90</t>
  </si>
  <si>
    <t>SWL RACKING INFORMATION</t>
  </si>
  <si>
    <t>(A) SHELVING T400 FLOOR MEZZANINE</t>
  </si>
  <si>
    <t>(A) SPR SINGLE 6300(H)x2200(W)x1000(D)</t>
  </si>
  <si>
    <t>(A) SPR BTB 6300(H)x2200(W)x1000(D)</t>
  </si>
  <si>
    <t>(A) ACCESSORIES SAFETY SPR</t>
  </si>
  <si>
    <t>(A)DRAWER CABINET AKB SDW9(L=1010)TYPE M</t>
  </si>
  <si>
    <t>(A) AKB TC 800 (L=1010) TYPE M</t>
  </si>
  <si>
    <t>(A) Divider CABINET AKB TC-800</t>
  </si>
  <si>
    <t>TUTUP BOX FH 302 1100X750X100MM T-5 MM</t>
  </si>
  <si>
    <t>LID DRUM COVER OIL 208 LTR</t>
  </si>
  <si>
    <t>LID DRUM COVER GREASE 208 LTR</t>
  </si>
  <si>
    <t>PLASTIK PALLET TYPE NPA-1210</t>
  </si>
  <si>
    <t>PLASTIK PALLET TYPE NPA-1212</t>
  </si>
  <si>
    <t>PLASTIK PALLET TYPE NPS-1210</t>
  </si>
  <si>
    <t>PLASTIK PALLET TYPE NPS-1212</t>
  </si>
  <si>
    <t>PLASTIK PALLET TYPE NPR-1210</t>
  </si>
  <si>
    <t>PLASTIK PALLET TYPE NPR-1212</t>
  </si>
  <si>
    <t>PLASTIK PALLET TYPE NPL-1210</t>
  </si>
  <si>
    <t>Occipital structr Sensr 3DScanner MarkII</t>
  </si>
  <si>
    <t>7-5800COV_Rapid Test Antigen</t>
  </si>
  <si>
    <t>N2702</t>
  </si>
  <si>
    <t>PLASTIK PALLET TYPE NPL-1110</t>
  </si>
  <si>
    <t>Carton Box CB 450 x 350 x 610 @500</t>
  </si>
  <si>
    <t>CBLPMKIT-1 Box - 60 x 60 x 67 @500</t>
  </si>
  <si>
    <t>CBMPMKIT-1 Box - 55 x 55 x 62 @500</t>
  </si>
  <si>
    <t>Component Box 380 x 380 x 400 @500</t>
  </si>
  <si>
    <t>Component Box 600 x 250 x 180 @1000</t>
  </si>
  <si>
    <t>CB 160x100x110 Fuel Transfer Box @500</t>
  </si>
  <si>
    <t>Component Box 210 x 210 x 350 @500</t>
  </si>
  <si>
    <t>Component Box 340 x 290 x 210 @500</t>
  </si>
  <si>
    <t>Component Box 410 x 390 x 370 @500</t>
  </si>
  <si>
    <t>Component Box 420 x 310 x 260 @500</t>
  </si>
  <si>
    <t>Component Box 470 x 270 x 420 @500</t>
  </si>
  <si>
    <t>CAT TWO TONE TRACTOR CAP</t>
  </si>
  <si>
    <t>CAT1292 BLACK GOLD SANDWICH PEAK CAP</t>
  </si>
  <si>
    <t>SETUP AND EMBROIDERY FOR CUSTOM CAT CAP</t>
  </si>
  <si>
    <t>CBS250 Carton Box Small 250x150x150 1000</t>
  </si>
  <si>
    <t>CBM350 CartonBox Medium 350x225x246 1000</t>
  </si>
  <si>
    <t>CBL450 CartonBox Large 450x350x310 1000</t>
  </si>
  <si>
    <t>ISI AGENDA NON SALES</t>
  </si>
  <si>
    <t>ISI AGENDA SALES</t>
  </si>
  <si>
    <t>(A)TOP CABINET AKB TC800 L1010-1200 KG</t>
  </si>
  <si>
    <t>(A)TOP CABINET AKB TC800 L710-1200 KG</t>
  </si>
  <si>
    <t>(A)TOP CABINET AKB TC800 L1010-600 KG</t>
  </si>
  <si>
    <t>(A)TOP CABINET AKB TC800 L710-600 KG</t>
  </si>
  <si>
    <t>(A)TOP CABINET AKB TC600 L1010-600 KG</t>
  </si>
  <si>
    <t>(A)TOP CABINET AKB TC600 L710-600 KG</t>
  </si>
  <si>
    <t>(A) DIVIDER  CABINET  TOP  600</t>
  </si>
  <si>
    <t>(A) DIVIDER  CABINET TOP 800</t>
  </si>
  <si>
    <t>(A) AKB HSD 8</t>
  </si>
  <si>
    <t>(A) DRAWER 6 CABINET 75 BIG</t>
  </si>
  <si>
    <t>(A) DRAWER 6 CABINET 100 BIG</t>
  </si>
  <si>
    <t>(A) DRAWER 6 CABINET 125 BIG</t>
  </si>
  <si>
    <t>(A) DRAWER 6 CABINET 150</t>
  </si>
  <si>
    <t>(A) DRAWER 6 CABINET 200 BIG</t>
  </si>
  <si>
    <t>(A) DRAWER 6 CABINET 250 BIG</t>
  </si>
  <si>
    <t>(A) DRAWER 7 CABINET 100 BIG</t>
  </si>
  <si>
    <t>(A) DRAWER 7 CABINET 125 BIG</t>
  </si>
  <si>
    <t>(A) DRAWER 7 CABINET 150 BIG</t>
  </si>
  <si>
    <t>(A) ACC.SLOTTED WALL 100</t>
  </si>
  <si>
    <t>(A) ACC SLOTTED WALL 125</t>
  </si>
  <si>
    <t>SLOTTED WALL 150_PN.313-150</t>
  </si>
  <si>
    <t>PARTITION PLAT 100_PN.315-100</t>
  </si>
  <si>
    <t>(A) Hand Pallet Jack Cap. 2000 kg</t>
  </si>
  <si>
    <t>(A) Hand Truck Trolly Cap. 500 kg</t>
  </si>
  <si>
    <t>Carton Box CB 450 x 350 x 610 @1000</t>
  </si>
  <si>
    <t>CBLPMKIT-1 Box - 60 x 60 x 67 @1000</t>
  </si>
  <si>
    <t>CBMPMKIT-1 Box - 55 x 55 x 62 @1000</t>
  </si>
  <si>
    <t>Component Box 380 x 380 x 400 @1000</t>
  </si>
  <si>
    <t>CAT SHOES Caterpillar Hauler</t>
  </si>
  <si>
    <t>SSK TEXAS BROWN 216125 NO 3</t>
  </si>
  <si>
    <t>TENT CARD</t>
  </si>
  <si>
    <t>7-5800COV_Sanitizer Spray</t>
  </si>
  <si>
    <t>7-5800COV_Vitamin C</t>
  </si>
  <si>
    <t>Alcohol Swab 100pcs</t>
  </si>
  <si>
    <t>BUSINESS MODEL GENERATION - BOOK</t>
  </si>
  <si>
    <t>VALUE PROPOSITION DESIGN - BOOK</t>
  </si>
  <si>
    <t>SUPPLY &amp; INSTALL DISPENSING KIT</t>
  </si>
  <si>
    <t>(A)DRAWER CABINET AKB SDW-9 (L=1010) M</t>
  </si>
  <si>
    <t>SUPPORT MATERIAL INSTALL FUEL TANK</t>
  </si>
  <si>
    <t>7-5800COV_Disinfectant 1 Liter</t>
  </si>
  <si>
    <t>7-5800COV_Alcohol 70% 1 Liter</t>
  </si>
  <si>
    <t>MATRAS FOAM SUPER 15CM,UK 100X200CM</t>
  </si>
  <si>
    <t>KOPI SENANG 250GR</t>
  </si>
  <si>
    <t>KOPI SENANG 500GR</t>
  </si>
  <si>
    <t>LIFTING POINT M20 CAP. 2.5t</t>
  </si>
  <si>
    <t>LIFTING POINT M24 CAP 4t</t>
  </si>
  <si>
    <t>LIGHTING PROTECTION R150</t>
  </si>
  <si>
    <t>J5CREATE JUD323B 5-IN-1 MINI DOCK</t>
  </si>
  <si>
    <t>20312 8GB YELLOW / BLACK FLASH DRIVE</t>
  </si>
  <si>
    <t>20304 CAT FRANKLINCOVEY PEN/PENCIL SET</t>
  </si>
  <si>
    <t>4445012 HONEYCOMB GRIP PEN</t>
  </si>
  <si>
    <t>CATG1704B BIC STEEL PEN CATERPILLAR</t>
  </si>
  <si>
    <t>20464 CAT TRUCK BAG</t>
  </si>
  <si>
    <t>Flexible Exhaust Pipe &amp; Adaptor</t>
  </si>
  <si>
    <t>Engine Bracket</t>
  </si>
  <si>
    <t>SUPPLY&amp; INSTALL PUMP_LINE COLLING TOWER</t>
  </si>
  <si>
    <t>CAT SHOES TRESHOLD ST</t>
  </si>
  <si>
    <t>WOODEN PALLET SIZE: L230 X W230CM</t>
  </si>
  <si>
    <t>24110S LADY'S NAVY POLO</t>
  </si>
  <si>
    <t>24110M LADY'S NAVY POLO</t>
  </si>
  <si>
    <t>24111M MEN'S NAVY POLO</t>
  </si>
  <si>
    <t>24111L MEN'S NAVY POLO</t>
  </si>
  <si>
    <t>24111XL MEN'S NAVY POLO</t>
  </si>
  <si>
    <t>24033 MULTI-FUNCTIONAL BUSINESS PACKAGE</t>
  </si>
  <si>
    <t>24085 BUSINESS METAL KEY CHAIN</t>
  </si>
  <si>
    <t>24027L BLACK AND WHITE RAGLAN T-SHIRT (L</t>
  </si>
  <si>
    <t>23660 KAHKI LOOSE-LEAF NOTEBOOK</t>
  </si>
  <si>
    <t>LB.111.21.131</t>
  </si>
  <si>
    <t>LB.111.21.132</t>
  </si>
  <si>
    <t>LI.121.25.538</t>
  </si>
  <si>
    <t>(A) DRAWER 7 CABINET HOUSING BIG</t>
  </si>
  <si>
    <t>(A) DRAWER 6 CABINET HOUSING BIG</t>
  </si>
  <si>
    <t>(ACC) PARTITION PLAT 125_PN.315-125</t>
  </si>
  <si>
    <t>(ACC) PARTITION PLAT 150_PN.315-150</t>
  </si>
  <si>
    <t>7-5800COV_Vitamin D</t>
  </si>
  <si>
    <t>7-5800COV_Vitamin E</t>
  </si>
  <si>
    <t>7-5800COV_Milk Bear Brand</t>
  </si>
  <si>
    <t>MODIFIKASI BOX HOSE CUTTING MACHINE</t>
  </si>
  <si>
    <t>Led Power Supply 24v</t>
  </si>
  <si>
    <t>Led Power Supply 12v</t>
  </si>
  <si>
    <t>CB.149.11.132</t>
  </si>
  <si>
    <t>CB.149.34.137</t>
  </si>
  <si>
    <t>SAMSUNG GALAXY A32</t>
  </si>
  <si>
    <t>SAMSUNG GALAXY WATCH ACTIVE2 40MM</t>
  </si>
  <si>
    <t>PDH WELDER ORANGE (FOREMAN/OG) RID OFIRE</t>
  </si>
  <si>
    <t>PDH WELDER BLUE (NON FOREMAN) RID OFIRE</t>
  </si>
  <si>
    <t>KLEBERMANN SILICONE GLASS SEALANT 300 ML</t>
  </si>
  <si>
    <t>P9.180.28.828</t>
  </si>
  <si>
    <t>LF.11.21.134</t>
  </si>
  <si>
    <t>Cartridge Puji Xerox M225DW</t>
  </si>
  <si>
    <t>Hot Air Gun Metabo HGE 23-650</t>
  </si>
  <si>
    <t>KAIGO RADIATOR COOLANT Advance 30 (20 L)</t>
  </si>
  <si>
    <t>KAIGO SOLVENT DEGRESER (20 Liter/ PAIL)</t>
  </si>
  <si>
    <t>STICKER CAT LUBRICANTS 12 X 11,5 CM</t>
  </si>
  <si>
    <t>STICKER CAT LUBRICANTS 8 X 8,5 CM</t>
  </si>
  <si>
    <t>CAT SHOES Woman Cat Tess ST</t>
  </si>
  <si>
    <t>CAT SHOES Cat Tyndall ESD ST</t>
  </si>
  <si>
    <t>CAT SHOES Woman Cat Woodward ST</t>
  </si>
  <si>
    <t>CAT SHOES Tredesman ST</t>
  </si>
  <si>
    <t>CAT SHOES Diagnostic ST Waterproof</t>
  </si>
  <si>
    <t>SAFETY SHOE CAT TESS ST</t>
  </si>
  <si>
    <t>SCALE MODEL 6020B</t>
  </si>
  <si>
    <t>Sticker information</t>
  </si>
  <si>
    <t>NEC PROJECTOR NP-MC342XG</t>
  </si>
  <si>
    <t>1A.157.25.241</t>
  </si>
  <si>
    <t>Women Caterpillar Tess ST Sundance Ori</t>
  </si>
  <si>
    <t>Sarang Helm Bump Cap M6 Blue Eagle</t>
  </si>
  <si>
    <t>STAND DIAL INDICATOR</t>
  </si>
  <si>
    <t>SNAP ON CONVERTIBLE RETAINING RING 6INCH</t>
  </si>
  <si>
    <t>SNAP ON TR9 TORX Tamper L-Shaped Set 8pc</t>
  </si>
  <si>
    <t>TIMMING BELT TRITON PN 1145A019</t>
  </si>
  <si>
    <t>DOOR HANDLE PINTU TRITON PN 5746A153</t>
  </si>
  <si>
    <t>TENSIONER TIMMING PN JPU58-010A-1G1</t>
  </si>
  <si>
    <t>PULLEY TIMMING TRITON PN 1145A087</t>
  </si>
  <si>
    <t>BELT BALANCER TRITON PN 1145A081</t>
  </si>
  <si>
    <t>AIR FILTER PN 1500A098</t>
  </si>
  <si>
    <t>FUEL FILTER PN 1770A338</t>
  </si>
  <si>
    <t>OIL FILTER PN 1230A045</t>
  </si>
  <si>
    <t>STOPER PN 3204A005</t>
  </si>
  <si>
    <t>AC FILTER TRITON PN 7803A112A</t>
  </si>
  <si>
    <t>DOOR HANDLE TRITON PN 5746A153</t>
  </si>
  <si>
    <t>SHIED KIT SPALST FRONT RH PN 5370B580</t>
  </si>
  <si>
    <t>BRAKE PAD TRITON PN 4605A284A1</t>
  </si>
  <si>
    <t>CROSS JOINT TRITON PN MR232151</t>
  </si>
  <si>
    <t>SHOCK BELAKANG RH TRITON PN 4162A183A</t>
  </si>
  <si>
    <t>FUEL GAUGE TRITON PN 1718A078</t>
  </si>
  <si>
    <t>KIMPER CARD</t>
  </si>
  <si>
    <t>SJ.141.11.232</t>
  </si>
  <si>
    <t>7-5800COV_Pressure Sprayer</t>
  </si>
  <si>
    <t>7-5800COV_Gun Sprayer</t>
  </si>
  <si>
    <t>7-5800COV_Pipe Sprayer</t>
  </si>
  <si>
    <t>7-5800COV_Nozzel Sprayer</t>
  </si>
  <si>
    <t>7-5800COV_Masker KN95</t>
  </si>
  <si>
    <t>( A ) Kipas Angin Sekai IWF 2639 26 inc</t>
  </si>
  <si>
    <t>( A ) SMOKE DETECTOR</t>
  </si>
  <si>
    <t>LAMPU PHILIPS TL 18 WATT</t>
  </si>
  <si>
    <t>DELL 7420 C/W MS OFFICE 2019 &amp; MINI DOCK</t>
  </si>
  <si>
    <t>(A) FLUKE 123B SCOPMETER</t>
  </si>
  <si>
    <t>(A) INSULATION TEST KAP.5 kV</t>
  </si>
  <si>
    <t>Switch Timer</t>
  </si>
  <si>
    <t>STORAGE CONTAINER 20 FEET</t>
  </si>
  <si>
    <t>TRAKINDO LOGO STICKER SIZE: 8 X 2.3CM</t>
  </si>
  <si>
    <t>Suction Lifter</t>
  </si>
  <si>
    <t>CHUCK ARBOR MT3-ZJ1-13</t>
  </si>
  <si>
    <t>HAND TAPS M12</t>
  </si>
  <si>
    <t>TAPER DRILL SLEEVES MOD 32</t>
  </si>
  <si>
    <t>WIFI6 AP/SWITCH AND CABLING</t>
  </si>
  <si>
    <t>Parts Storage Container 20 ft</t>
  </si>
  <si>
    <t>Rak Storage</t>
  </si>
  <si>
    <t>(A) CAMERA NIKON COOLPIX W300</t>
  </si>
  <si>
    <t>(A) GO PRO HERO 9 ACTION CAMERA</t>
  </si>
  <si>
    <t>Term Life Insurance - Employee</t>
  </si>
  <si>
    <t>N0713</t>
  </si>
  <si>
    <t>C2700 25 LTR CAT COOLER YELLOW</t>
  </si>
  <si>
    <t>(A) Hand Truck Trolly Cap. 1100 kg</t>
  </si>
  <si>
    <t>(A) Steel Ladder Rolling  6 Step</t>
  </si>
  <si>
    <t>LF.111.26.632</t>
  </si>
  <si>
    <t>LJ.130.23.323</t>
  </si>
  <si>
    <t>CAT WATCH LJ SERIES 1</t>
  </si>
  <si>
    <t>7-5800COV_Automatic Soap Dispenser</t>
  </si>
  <si>
    <t>(A) SUBMERSIBLE PUMP</t>
  </si>
  <si>
    <t>(A) HIGH PRESURE CLEANER 100 BAR 1 PHASE</t>
  </si>
  <si>
    <t>(A) HIGH PRESURE CLEANER DIESEL 284</t>
  </si>
  <si>
    <t>(A) RAD-14550 DRIVE 3/4 LONG NOSE</t>
  </si>
  <si>
    <t>SCISSORS GARDEN</t>
  </si>
  <si>
    <t>Notebook Grey Trakindo CAT+HUT 50th+AYF</t>
  </si>
  <si>
    <t>"Divider Acrylic Flat 70(W)x60(L)x60(H)</t>
  </si>
  <si>
    <t>"Divider Acrylic U 91(W)x60(L)x60(H) "</t>
  </si>
  <si>
    <t>"Divider Acrylic U 150(W)x70(L)x60(H) "</t>
  </si>
  <si>
    <t>Container Plastik Rapat type 4066</t>
  </si>
  <si>
    <t>Container Plastik Rapat type 4068</t>
  </si>
  <si>
    <t>Container Plastik Rapat Type 6033</t>
  </si>
  <si>
    <t>Tutup Container Type 6303</t>
  </si>
  <si>
    <t>Container Plastik Rapat Type 6055</t>
  </si>
  <si>
    <t>Skat Panjang Container Type S-6055</t>
  </si>
  <si>
    <t>Skat Pendek  Container Type S-6055</t>
  </si>
  <si>
    <t>Container Plastik Rapat/ 35 Lt Type 6089</t>
  </si>
  <si>
    <t>Container Plastik Rapat Type 6098</t>
  </si>
  <si>
    <t>Container Plastik Rapat Type 7033</t>
  </si>
  <si>
    <t>Tutup Container Type T-5000</t>
  </si>
  <si>
    <t>ContainerPlastik Rapat dgTutup Type 6000</t>
  </si>
  <si>
    <t>Part Case Type 4022</t>
  </si>
  <si>
    <t>Part Case / Series Type 0222</t>
  </si>
  <si>
    <t>NPS-1206,Dimensi 1200 X 600 X 132 mm</t>
  </si>
  <si>
    <t>NPS-1208,Dimensi 1200 X 800 X 132 mm</t>
  </si>
  <si>
    <t>NPR-1210 N,Dimensi 1200X1000X160 mm</t>
  </si>
  <si>
    <t>(A)LONGSPAN SHELVING H2100XW2200XD800MM</t>
  </si>
  <si>
    <t>Voucher Tokopedia</t>
  </si>
  <si>
    <t>DELL LATITUDE E5470 BATTERY PN:CPA-7V69Y</t>
  </si>
  <si>
    <t>STAPLER HD-10</t>
  </si>
  <si>
    <t>BROWN PAPER 35 X 47"</t>
  </si>
  <si>
    <t>3M POST-IT NOTE 655-5UC 5PAD/PACK</t>
  </si>
  <si>
    <t>POST-IT NOTE 654</t>
  </si>
  <si>
    <t>POST-IT-NOTE PAD 3M 656 2" X 3"</t>
  </si>
  <si>
    <t>VOUCHER CAREFOUR 100.000 - BPI</t>
  </si>
  <si>
    <t>Turnbuckle  (3/4x12)inch crosby</t>
  </si>
  <si>
    <t>Shackle Bow G209 crosby C/W Certificate</t>
  </si>
  <si>
    <t>AIR FILTER AQUACO SCA 5MIC/10â€</t>
  </si>
  <si>
    <t>320D L Hydraulic Excav Diecast 85214 HK</t>
  </si>
  <si>
    <t>320D L Hydraulic Excav Norscot 55214 HK</t>
  </si>
  <si>
    <t>D10T TRACK TRACTOR METAL TRACK RAILING 8</t>
  </si>
  <si>
    <t>Raincoat PCV Karet Scotchlight</t>
  </si>
  <si>
    <t>1:125 994K WHEEL LOADER 85535</t>
  </si>
  <si>
    <t>AGENDA EMPLOYEE</t>
  </si>
  <si>
    <t>PX.149.11.131</t>
  </si>
  <si>
    <t>PX.149.11.232</t>
  </si>
  <si>
    <t>PX.141.11.131</t>
  </si>
  <si>
    <t>CAT D8R TRACK TYPE TRACTOR 85099- HK</t>
  </si>
  <si>
    <t>LIEBERT EXS 40KVA INTELLIGENT UPS</t>
  </si>
  <si>
    <t>CAT 797F OHT YELLOW (1:125)</t>
  </si>
  <si>
    <t>GPS Garmin</t>
  </si>
  <si>
    <t>Protector Cabin CAT D8</t>
  </si>
  <si>
    <t>Cover Cylinder Hyd Front Bucket CAT 320</t>
  </si>
  <si>
    <t>Cover Cylinder Hyd Front Bucket CAT 416</t>
  </si>
  <si>
    <t>Cover Cylinder Hyd Rear Bucket CAT 416</t>
  </si>
  <si>
    <t>Cover Cylinder Hyd Front Bucket CAT 426</t>
  </si>
  <si>
    <t>Cover Cylinder Hyd Rear Bucket CAT 426</t>
  </si>
  <si>
    <t>Guard Kaca Cabin CAT 972 &amp; Roof Guard</t>
  </si>
  <si>
    <t>(A) Philips Everflo Oxygen Concentrator</t>
  </si>
  <si>
    <t>Sticker Proses Unloading</t>
  </si>
  <si>
    <t>E-Voucher @100.000</t>
  </si>
  <si>
    <t>PROTEKSI CABIN UNIT D8T</t>
  </si>
  <si>
    <t>Tag Pergantian Oli Mesin</t>
  </si>
  <si>
    <t>FLAG SMK3 GOLD</t>
  </si>
  <si>
    <t>MNGMNT FEE E-VOUCHER</t>
  </si>
  <si>
    <t>Safety Guard H-Frame Press 1006E</t>
  </si>
  <si>
    <t>Safety Guard H-Frame Press 10T</t>
  </si>
  <si>
    <t>Sketchup Pro</t>
  </si>
  <si>
    <t>N1201</t>
  </si>
  <si>
    <t>Nasal Oxygen Cannual</t>
  </si>
  <si>
    <t>Mask Oxygen</t>
  </si>
  <si>
    <t>Calibrating GP Pressure Gauge 5P-8558</t>
  </si>
  <si>
    <t>Snanning Tool Mark II Skanect</t>
  </si>
  <si>
    <t>Apple Ipad Mini 5</t>
  </si>
  <si>
    <t>Acc.Bracket SA27</t>
  </si>
  <si>
    <t>Acc. Hardcase Ipad mini 5</t>
  </si>
  <si>
    <t>Container Logo â€œTRAKINDO CATâ€ 50x200</t>
  </si>
  <si>
    <t>Container Logo  37.5x200 cm</t>
  </si>
  <si>
    <t>CAT SHOES EDGE CT WP COFFEE BEAN  ORI</t>
  </si>
  <si>
    <t>CAT SHOES EDGE CT WP BLACK ORI</t>
  </si>
  <si>
    <t>MASKING TAPE MASKING TAPE 1"-Merk ANCHOR</t>
  </si>
  <si>
    <t>MASKING TAPE MASKING TAPE 2"-Merk ANCHOR</t>
  </si>
  <si>
    <t>Software VNC</t>
  </si>
  <si>
    <t>CENTRIFUGAL BLOWER FAN 4 HP</t>
  </si>
  <si>
    <t>N2601</t>
  </si>
  <si>
    <t>PACKING 416F WHEEL STD EXPORT 125x125x12</t>
  </si>
  <si>
    <t>KAIGO SOLVENT DEGRESER QUICKDRY 20L/PAIL</t>
  </si>
  <si>
    <t>Alcohol Detector</t>
  </si>
  <si>
    <t>(A) Snanning Tool Mark II Skanect</t>
  </si>
  <si>
    <t>(A) Apple Ipad Mini 5</t>
  </si>
  <si>
    <t>(A) Acc.Bracket SA27</t>
  </si>
  <si>
    <t>(A) Acc. Hardcase Ipad mini 5</t>
  </si>
  <si>
    <t>DRUM GRIPPER</t>
  </si>
  <si>
    <t>2022 MANAGEMENT DIARY</t>
  </si>
  <si>
    <t>65310828AD01A00 ADOBE ACROBAT STD 2020</t>
  </si>
  <si>
    <t>TRAKINDO BOTTLE COOLER WITH OPENER</t>
  </si>
  <si>
    <t>Weight Standard 20 mg</t>
  </si>
  <si>
    <t>Tera Timbangan Digital</t>
  </si>
  <si>
    <t>CAT.MC.155.26.136</t>
  </si>
  <si>
    <t>CAT.OF.167.26.142</t>
  </si>
  <si>
    <t>CAT.LJ.110.26.622</t>
  </si>
  <si>
    <t>CAT WATCH LJ.140.24.422</t>
  </si>
  <si>
    <t>CAT.LJ.160.21.128</t>
  </si>
  <si>
    <t>CAT.LK.111.26.612</t>
  </si>
  <si>
    <t>Toner Brother TN-B022</t>
  </si>
  <si>
    <t>7-5800COV_Sekat Partisi Mobil</t>
  </si>
  <si>
    <t>(A) Shelving Rack</t>
  </si>
  <si>
    <t>Box Hose Saw</t>
  </si>
  <si>
    <t>(A) Cabinet</t>
  </si>
  <si>
    <t>CAT CAP  + Pelapis  7000 - 8000 pcs</t>
  </si>
  <si>
    <t>(A) PJU Solar Panel lamp</t>
  </si>
  <si>
    <t>Hydraulic hand stacker</t>
  </si>
  <si>
    <t>High Pressure Jet Pump</t>
  </si>
  <si>
    <t>TENDA</t>
  </si>
  <si>
    <t>Sticker â€œTrakindo Lesteâ€ 120x480cm</t>
  </si>
  <si>
    <t>SEPARATOR OIL 65L C67</t>
  </si>
  <si>
    <t>OIL RS ULTRA 5L</t>
  </si>
  <si>
    <t>7-5800COV_ULTRA MILK UHT 250ML</t>
  </si>
  <si>
    <t>7-5800COV_ULTRA MILK UHT 250ML ,1 box 24</t>
  </si>
  <si>
    <t>HEPA FILTER</t>
  </si>
  <si>
    <t>6020B HMS DICAST SCALE MODEL 1 : 48 LOD</t>
  </si>
  <si>
    <t>Vibration Analyzer</t>
  </si>
  <si>
    <t>"WRENCH TORQUE 30-150lbf "</t>
  </si>
  <si>
    <t>"WRENCH TORQUE 44-250lbf "</t>
  </si>
  <si>
    <t>"ACCESSORIES/TORQUE WRENCH "</t>
  </si>
  <si>
    <t>Remote Switch</t>
  </si>
  <si>
    <t>LIGHT METER</t>
  </si>
  <si>
    <t>SOUND LEVEL METER</t>
  </si>
  <si>
    <t>7-5800COV_Tabung Oksigen</t>
  </si>
  <si>
    <t>TAGGING EYE WASH</t>
  </si>
  <si>
    <t>DELL EMC ME4024 STORAGE ARRAY</t>
  </si>
  <si>
    <t>WATCHGUARD FIREBOX M270</t>
  </si>
  <si>
    <t>TAGGING EMERGENCY SHOWER</t>
  </si>
  <si>
    <t>Smartwatch Xiaomi Mi Band 6</t>
  </si>
  <si>
    <t>Mi True Wireless Earbuds Basic 2</t>
  </si>
  <si>
    <t>LK.111.21.711</t>
  </si>
  <si>
    <t>LK.131.23.113</t>
  </si>
  <si>
    <t>LK.171.21.117</t>
  </si>
  <si>
    <t>LK.171.27.117</t>
  </si>
  <si>
    <t>MC.155.26.136</t>
  </si>
  <si>
    <t>L J.110.26.622</t>
  </si>
  <si>
    <t>LH.110.21.127</t>
  </si>
  <si>
    <t>CATERPILLAR P90838 SAFETY SHOES SIZE:</t>
  </si>
  <si>
    <t>23873 BLACK CLASSIC CAP SILVER</t>
  </si>
  <si>
    <t>23874 BLACK CLASSIC CAP GOLDEN</t>
  </si>
  <si>
    <t>CATERPILLAR RAIDER RUNNING SHOES SIZE:</t>
  </si>
  <si>
    <t>(A) Drain Washing Machine</t>
  </si>
  <si>
    <t>(A) Luxmeter</t>
  </si>
  <si>
    <t>Wet-bulb globe Temperature Tool</t>
  </si>
  <si>
    <t>Potensiometer</t>
  </si>
  <si>
    <t>Inner Roll Bar  ( ROPS )</t>
  </si>
  <si>
    <t>N1604</t>
  </si>
  <si>
    <t>PLAKAT PARTISIPASI K3TAB</t>
  </si>
  <si>
    <t>PLAKAT PEMENANG KATEGORI K3TAB</t>
  </si>
  <si>
    <t>PLAKAT JUARA UMUM K3TAB</t>
  </si>
  <si>
    <t>NAME PLATE FOR K3TAB</t>
  </si>
  <si>
    <t>MEDALLION K3TAB</t>
  </si>
  <si>
    <t>A.Tabung O2 (Oxygen) Medical Berikut Isi</t>
  </si>
  <si>
    <t>7-5800COV_Masker Sensi 1 Box</t>
  </si>
  <si>
    <t>Cover Rod Cylinder Hyd Bucket CAT 992</t>
  </si>
  <si>
    <t>PoloHitam list Kuning CAT HUT 50th 320GX</t>
  </si>
  <si>
    <t>Lamp Protector</t>
  </si>
  <si>
    <t>GPS Tracker</t>
  </si>
  <si>
    <t>3YM76AA HP 682 Black Ink</t>
  </si>
  <si>
    <t>3YM77AA HP 682 Tri-Color Ink</t>
  </si>
  <si>
    <t>Portable Toilet</t>
  </si>
  <si>
    <t>(A) PART MAINTENANCE</t>
  </si>
  <si>
    <t>R1700 LHD Underground Mining Loader HK</t>
  </si>
  <si>
    <t>7-5800COV_OXYCAN</t>
  </si>
  <si>
    <t>3M SCOTCH RUBBER SPILICING TAPE</t>
  </si>
  <si>
    <t>ADAPTOR</t>
  </si>
  <si>
    <t>Tumbler Gold Non Brand Trakindo CAT</t>
  </si>
  <si>
    <t>WOODEN PALLET SIZE: L120 X W120CM</t>
  </si>
  <si>
    <t>DELL LATITUDE 5420 W/ MS OFFICE 2019</t>
  </si>
  <si>
    <t>DELL 7320 W/ MS OFFICE 2019 &amp; MINI DOCK</t>
  </si>
  <si>
    <t>ADAPTOR WITHOUT AUDIO P/N: VC810</t>
  </si>
  <si>
    <t>APC SMART-UPS P/N: SMX3000RMHV2U</t>
  </si>
  <si>
    <t>VOUCHER HYPERMART @100.000 -EOTM</t>
  </si>
  <si>
    <t>VOUCHER HYPERMART @ 50.000 -EOTM</t>
  </si>
  <si>
    <t>Emblem Bordir logo XT</t>
  </si>
  <si>
    <t>CASCADE COIL SAFETY BARRIER</t>
  </si>
  <si>
    <t>YU.149.11.137</t>
  </si>
  <si>
    <t>CAT WATCH NO.141.11.127</t>
  </si>
  <si>
    <t>KING'S SAFETY SHOES MODEL: KWS200</t>
  </si>
  <si>
    <t>REDISHOW HDMI WIRELESS TRANSMITTER</t>
  </si>
  <si>
    <t>CAT Rental Sign</t>
  </si>
  <si>
    <t>(A) SATELITE PHONE THURAYA XT-LITE</t>
  </si>
  <si>
    <t>AK-900P Gigonsa</t>
  </si>
  <si>
    <t>T. ALTIS V AT - SILVER BANJARMASIN</t>
  </si>
  <si>
    <t>T. ALTIS V AT - SILVER BSD</t>
  </si>
  <si>
    <t>T. CAMRY HYBRID - SILVER JAKARTA</t>
  </si>
  <si>
    <t>T. CAMRY HYBRID - SILVER MEDAN</t>
  </si>
  <si>
    <t>T. CAMRY V AT - SILVER JAKARTA</t>
  </si>
  <si>
    <t>T. HI ACE COMMUTER  M/T - WHITE TIMIKA</t>
  </si>
  <si>
    <t>T. HILUX 4X4 DC G M/T-WHITE BANJARMASI</t>
  </si>
  <si>
    <t>T. HILUX 4X4 DC G M/T - WHITE BT.HIJAU</t>
  </si>
  <si>
    <t>T. HILUX 4X4 DC G M/T - WHITE SOROAKO</t>
  </si>
  <si>
    <t>T. HILUX 4X4 DC G M/T - WHITE TIMIKA</t>
  </si>
  <si>
    <t>T. INNOVA G AT - SILVER BT LICIN</t>
  </si>
  <si>
    <t>T. INNOVA G AT DIESEL - SILVER TIMIKA</t>
  </si>
  <si>
    <t>T. INNOVA V AT - SILVER JAKARTA</t>
  </si>
  <si>
    <t>T. INNOVA V AT - SILVER MEDAN</t>
  </si>
  <si>
    <t>T. INNOVA V AT - SILVER PNGK. BUN</t>
  </si>
  <si>
    <t>T. RUSH S AT - SILVER BALIKPAPAN</t>
  </si>
  <si>
    <t>T. RUSH S AT - SILVER BSD</t>
  </si>
  <si>
    <t>T. RUSH S AT - SILVER JAMBI</t>
  </si>
  <si>
    <t>T. RUSH S AT - SILVER MEDAN</t>
  </si>
  <si>
    <t>T. RUSH S AT - SILVER PEKANBARU</t>
  </si>
  <si>
    <t>T. RUSH S AT - SILVER PONTIANAK</t>
  </si>
  <si>
    <t>T. RUSH S AT - SILVER RANTAU</t>
  </si>
  <si>
    <t>T.AVANZA G AT - SILVER BALIKPAPAN</t>
  </si>
  <si>
    <t>T.AVANZA G AT - SILVER BATAM</t>
  </si>
  <si>
    <t>T.AVANZA G AT - SILVER BSD</t>
  </si>
  <si>
    <t>T.AVANZA G AT - SILVER JAYAPURA</t>
  </si>
  <si>
    <t>T.AVANZA G AT - SILVER MAKASSAR</t>
  </si>
  <si>
    <t>T.AVANZA G AT - SILVER MEDAN</t>
  </si>
  <si>
    <t>T.AVANZA G AT - SILVER NABIRE</t>
  </si>
  <si>
    <t>T.AVANZA G AT - SILVER PALU</t>
  </si>
  <si>
    <t>T.AVANZA G AT - SILVER PEKANBARU</t>
  </si>
  <si>
    <t>T.AVANZA G AT - SILVER SAMARINDA</t>
  </si>
  <si>
    <t>T.AVANZA VELOZ 1.5 A/T GR LIMITED-SILVER</t>
  </si>
  <si>
    <t>T.AVZ VELZ 1.5 A/T GR LIMITED-SILV P.BUN</t>
  </si>
  <si>
    <t>T.AVANZA G AT - SILVER JAMBI</t>
  </si>
  <si>
    <t>T.FORTUNER 2.4 G A/T 4x4DIESEL-WHITE BJM</t>
  </si>
  <si>
    <t>T.VELOZ 1.5 A/T GR LIMITED-SILVER BJM</t>
  </si>
  <si>
    <t>T.VELOZ 1.5 A/T GR LIMITED - SILVER BSD</t>
  </si>
  <si>
    <t>T.VELOZ 1.5 A/T GR LIMITED - SILVER JKT</t>
  </si>
  <si>
    <t>T.VELOZ 1.5 A/T GR LIMITED-SILVER MANADO</t>
  </si>
  <si>
    <t>T.VELOZ 1.5 A/T GR LIMITED-SILVER SMD</t>
  </si>
  <si>
    <t>T.VELOZ 1.5 A/T GR LIMITED-SILVER P.BU</t>
  </si>
  <si>
    <t>T.VELOZ 1.5 A/T GR LIMITED-SILVER TIMIKA</t>
  </si>
  <si>
    <t>T.VELOZ 1.5 A/T GR LIMITED-SILVER MEDA</t>
  </si>
  <si>
    <t>T.VIOS G CVT - SILVER BATAM</t>
  </si>
  <si>
    <t>T.VIOS G CVT - SILVER RANTAU</t>
  </si>
  <si>
    <t>M.TRITON 4X4 DC GLS - WHITE</t>
  </si>
  <si>
    <t>M.TRITON 4X4 SC HDX - WHITE</t>
  </si>
  <si>
    <t>HONDA SUPRA GTR 150</t>
  </si>
  <si>
    <t>MITSUBISHI CANTER - WHITE</t>
  </si>
  <si>
    <t>320F L HYDRAULIC EXCAVATOR  - 85931HK</t>
  </si>
  <si>
    <t>ATTACHMENT SS1</t>
  </si>
  <si>
    <t>N1608</t>
  </si>
  <si>
    <t>ATTACHMENT SS1 + SS2</t>
  </si>
  <si>
    <t>LOTO Devices</t>
  </si>
  <si>
    <t>Outside roll bar (SCH)</t>
  </si>
  <si>
    <t>Outside roll bar (Medium)</t>
  </si>
  <si>
    <t>Rear Bumper Pipe 2,5</t>
  </si>
  <si>
    <t>(A) radio comunication + Antenna</t>
  </si>
  <si>
    <t>Tool Box</t>
  </si>
  <si>
    <t>All Terrain Tyre R17</t>
  </si>
  <si>
    <t>All Terrain Tyre R16</t>
  </si>
  <si>
    <t>Buggy Whip + flag</t>
  </si>
  <si>
    <t>Canvas pick up</t>
  </si>
  <si>
    <t>Front Bumper  ARB</t>
  </si>
  <si>
    <t>Front Bumper  Kacamata</t>
  </si>
  <si>
    <t>Rear Bumper  ARB</t>
  </si>
  <si>
    <t>Rear Bumper  towing lock</t>
  </si>
  <si>
    <t>Inner Roll Bar (ROPS) DC</t>
  </si>
  <si>
    <t>Hard Tone Cover DC</t>
  </si>
  <si>
    <t>Invlator Pompa Angin</t>
  </si>
  <si>
    <t>Inverter Car DC to AC</t>
  </si>
  <si>
    <t>Tire Anti Skid Steel</t>
  </si>
  <si>
    <t>Survaival Kit Off Road</t>
  </si>
  <si>
    <t>Anting Pir Belakang</t>
  </si>
  <si>
    <t>Stoper Spring  3 Cm</t>
  </si>
  <si>
    <t>Winch Warn M800</t>
  </si>
  <si>
    <t>Winch Warn VR EVO 8</t>
  </si>
  <si>
    <t>Fog Lamp halogen Hella</t>
  </si>
  <si>
    <t>Fog Lamp halogen FX</t>
  </si>
  <si>
    <t>Fog lamp LED CM</t>
  </si>
  <si>
    <t>Hi-Lift Jack</t>
  </si>
  <si>
    <t>Oil Spill Kit</t>
  </si>
  <si>
    <t>STAR Features on Supervisor Application</t>
  </si>
  <si>
    <t>Cat Shoes HAULER CT</t>
  </si>
  <si>
    <t>CONTAINER PLASTIK RAPAT + TUTUP 7000</t>
  </si>
  <si>
    <t>L J.140.24.422</t>
  </si>
  <si>
    <t>OF.167.26.142</t>
  </si>
  <si>
    <t>L J.160.21.721</t>
  </si>
  <si>
    <t>COVER HYDRAULIC</t>
  </si>
  <si>
    <t>WHEEL CHOCK MC 1909 HEAVY DUTY</t>
  </si>
  <si>
    <t>Sand blasting</t>
  </si>
  <si>
    <t>BOTTOM ROLLER PN : 34200028</t>
  </si>
  <si>
    <t>WALL SIGN BRANDING</t>
  </si>
  <si>
    <t>CATERPILLAR P90284 SAFETY SHOES SIZE:</t>
  </si>
  <si>
    <t>CAT P91274 INVADER STEEL TOE WORK SHOE</t>
  </si>
  <si>
    <t>2-Way 4-Drum Spill PalletTSSBP4L</t>
  </si>
  <si>
    <t>Spun Weld Drain Plug Suits - SWDP</t>
  </si>
  <si>
    <t>Fuel TankCapacity 16KL</t>
  </si>
  <si>
    <t>(A) Control Panel-GCP/ Generator Control</t>
  </si>
  <si>
    <t>(A) Rubber Grooving Machine</t>
  </si>
  <si>
    <t>(A) Wall Fan Katsu 30" DF750-TW</t>
  </si>
  <si>
    <t>7-5800COV_Masker KF94</t>
  </si>
  <si>
    <t>Webbing Sling Cap.3 Ton X 3 Mtr</t>
  </si>
  <si>
    <t>Roundsling Cap. 2Ton x 4 Mtr</t>
  </si>
  <si>
    <t>Chain Sling 2 Leg C/W Clevis Sling Hooks</t>
  </si>
  <si>
    <t>T.RUSH S AT SILVER â€“ BANJARMASIN</t>
  </si>
  <si>
    <t>T.HILUX 4X4 DC WHITE â€“ KARIANGAU</t>
  </si>
  <si>
    <t>(A) STAND DIFFERENSIAL 785C - 789C</t>
  </si>
  <si>
    <t>(A) CHAIN SLING 4 HOOK</t>
  </si>
  <si>
    <t>Protectors Full Cabin CAT 950</t>
  </si>
  <si>
    <t>Protectors Full Cabin CAT 966</t>
  </si>
  <si>
    <t>Protectors Full Cabin CAT 972</t>
  </si>
  <si>
    <t>JERIGEN 2 LITER</t>
  </si>
  <si>
    <t>Waterproof PH Meter</t>
  </si>
  <si>
    <t>Jumbo Roll Wipers - White</t>
  </si>
  <si>
    <t>ASTM-ASTMD93-20</t>
  </si>
  <si>
    <t>ASTM-ASTMD7593-14</t>
  </si>
  <si>
    <t>SYRINGE60ML</t>
  </si>
  <si>
    <t>Cat Shoes Excavator Superlite CT WP</t>
  </si>
  <si>
    <t>Cat Shoes Invander HI ST</t>
  </si>
  <si>
    <t>BEARING HEATER TIH 100/230V:SKF</t>
  </si>
  <si>
    <t>HP 416 Black W2040A</t>
  </si>
  <si>
    <t>HP 416 Cyan W2041A</t>
  </si>
  <si>
    <t>HP 416 Yellow W2042A</t>
  </si>
  <si>
    <t>HP 416 Magenta W2043A</t>
  </si>
  <si>
    <t>E-Voucher TADA @ 6 JUTA</t>
  </si>
  <si>
    <t>e-Voucher @ IDR 2.750.000</t>
  </si>
  <si>
    <t>e-Voucher @ IDR 2.250.000</t>
  </si>
  <si>
    <t>E-Voucher TADA @ 1.500.000</t>
  </si>
  <si>
    <t>Hose Real Gun 10 M</t>
  </si>
  <si>
    <t>Cleaning BIN</t>
  </si>
  <si>
    <t>Exhaust Ducting Modification C/W Canopy</t>
  </si>
  <si>
    <t>PN. 244076 Electric Meter Graco</t>
  </si>
  <si>
    <t>FLOOR SCRUBBER</t>
  </si>
  <si>
    <t>(A) HEAT INDEXT WGBT METER</t>
  </si>
  <si>
    <t>Cat Shoes Women Kitson ST</t>
  </si>
  <si>
    <t>APAR CLEAN GAS</t>
  </si>
  <si>
    <t>KAROSERI</t>
  </si>
  <si>
    <t>STICKER LV</t>
  </si>
  <si>
    <t>ORANGE WATER YOU C 1000</t>
  </si>
  <si>
    <t>Implementation IT Services</t>
  </si>
  <si>
    <t>N1204</t>
  </si>
  <si>
    <t>Infrastructure  IT Services</t>
  </si>
  <si>
    <t>SELF-INKING STAMP - "SCANNED" W/ DATE</t>
  </si>
  <si>
    <t>PTTUSB Company Rubber Stamp</t>
  </si>
  <si>
    <t>Zoom Pro License</t>
  </si>
  <si>
    <t>Zoom License Large Meeting 500</t>
  </si>
  <si>
    <t>Cat Shoes Resorption CT WP</t>
  </si>
  <si>
    <t>Cat Shoes Mae ST WP</t>
  </si>
  <si>
    <t>CRC SP-400 10 OZ</t>
  </si>
  <si>
    <t>JACKET BLUE CCAT000801 - LOD</t>
  </si>
  <si>
    <t>CHRISTMAS 2021/NEW YEAR 22 CARD #XE80873</t>
  </si>
  <si>
    <t>CHINESE NEW YEAR CARD 2022 #78905</t>
  </si>
  <si>
    <t>1:50 Cat 349F L XE Hydraulic Excavator</t>
  </si>
  <si>
    <t>1:50 Cat D7E Track-Type Tractor</t>
  </si>
  <si>
    <t>1:50 Cat 320 GX Hydraulic Excavator</t>
  </si>
  <si>
    <t>CORONG MINYAK 10 LITER</t>
  </si>
  <si>
    <t>Acc. Unit Karcher HDS 558C</t>
  </si>
  <si>
    <t>Unit Karcher HDS 6/14C</t>
  </si>
  <si>
    <t>(A) TRACK PRESS UNIT</t>
  </si>
  <si>
    <t>Spare Part Simulator S442</t>
  </si>
  <si>
    <t>WRITING PAD PTTU A5 (25 SHEET)</t>
  </si>
  <si>
    <t>WRITING PAD A5 LOGO TU (10 SHEET)</t>
  </si>
  <si>
    <t>Sticker B3 "Mudah Menyala</t>
  </si>
  <si>
    <t>Sticker B3 "Beracun"</t>
  </si>
  <si>
    <t>PTTUSB ROUND STAMP</t>
  </si>
  <si>
    <t>LUNCH BENTO CATERING</t>
  </si>
  <si>
    <t>PLYWOOD COVER 166CMX180CM</t>
  </si>
  <si>
    <t>ALFAX ARCH FILE 182LCOLOUR</t>
  </si>
  <si>
    <t>Sticker B3 "Korosif"</t>
  </si>
  <si>
    <t>Sticker Limbah B3 "Cairan Mudah Menyala"</t>
  </si>
  <si>
    <t>Sticker Limbah B3 "Korosif"</t>
  </si>
  <si>
    <t>Sticker Limbah B3 "Beracun"</t>
  </si>
  <si>
    <t>Cat Watch Typet 145 11 12W</t>
  </si>
  <si>
    <t>(A) IMPACT WRECH SQD Â½â€ 7000 RPM</t>
  </si>
  <si>
    <t>(A) IMPACT WRECH SQD Â¾â€ 5500 RPM</t>
  </si>
  <si>
    <t>LG LED MONITOR 24MK430H-B</t>
  </si>
  <si>
    <t>OEM Cabel HDMI to HDMI HDTV 1.4V 1.5M</t>
  </si>
  <si>
    <t>Logitech Keyboard MK235 Combo Wireless</t>
  </si>
  <si>
    <t>Earphone / Headphone for Laptop</t>
  </si>
  <si>
    <t>GREASE FUCHS RENOLIT EP 00</t>
  </si>
  <si>
    <t>Petrosolv V73-OA</t>
  </si>
  <si>
    <t>Grease Fuchs Renolit EP 00</t>
  </si>
  <si>
    <t>PN.268150 Pressure Spring</t>
  </si>
  <si>
    <t>AK.149.11.227</t>
  </si>
  <si>
    <t>NQ.140.11.231</t>
  </si>
  <si>
    <t>SAFETY SHOE CAT ALASKA</t>
  </si>
  <si>
    <t>LJ.160.21.121</t>
  </si>
  <si>
    <t>OP.187.21.248</t>
  </si>
  <si>
    <t>Wallmount Rack WIP6015S</t>
  </si>
  <si>
    <t>Wallmount Rack WIR6008D</t>
  </si>
  <si>
    <t>Flow Transmitter  FSVEYA12</t>
  </si>
  <si>
    <t>DETEKTOR FSSD1CB1-YY C/W CABLE SIGNAL</t>
  </si>
  <si>
    <t>Hydraulic Wrench Set</t>
  </si>
  <si>
    <t>NQ .140.11.532</t>
  </si>
  <si>
    <t>DELL LATITUDE 7520 W/ MS OFFICE 2021</t>
  </si>
  <si>
    <t>C9351AA HP 21 Black Ink</t>
  </si>
  <si>
    <t>C9352AA HP 22 Tri color Ink catridge</t>
  </si>
  <si>
    <t>Safety Shoes Cheetah Type 7288CS-Sz7</t>
  </si>
  <si>
    <t>Lenovo Thinkbook Laptop</t>
  </si>
  <si>
    <t>E-Voucher @2.000.000</t>
  </si>
  <si>
    <t>Tumbler non logo</t>
  </si>
  <si>
    <t>SAMSUNG GALAXY NOTE 20 ULTRA</t>
  </si>
  <si>
    <t>(A) WORKBENCHN AKB WBD 55</t>
  </si>
  <si>
    <t>JIB CRANE UNTUK FORKLIFT 5 TON</t>
  </si>
  <si>
    <t>EXTENSION FORK (FOKRLIFT)</t>
  </si>
  <si>
    <t>PORTABLE STRAPPING TOOLS JDC 16</t>
  </si>
  <si>
    <t>Refill APAR Powder uk. 1 kg</t>
  </si>
  <si>
    <t>Refill APAR Powder uk. 2 kg</t>
  </si>
  <si>
    <t>Refill APAR Powder uk. 3 kg</t>
  </si>
  <si>
    <t>Refill APAR Powder uk. 3.5 kg</t>
  </si>
  <si>
    <t>Refill APAR Powder uk. 4.5 kg</t>
  </si>
  <si>
    <t>Refill APAR Powder uk. 6 kg</t>
  </si>
  <si>
    <t>Refill APAR Powder uk. 9 kg</t>
  </si>
  <si>
    <t>Refill APAR Powder uk. 20 kg</t>
  </si>
  <si>
    <t>Refill APAR Powder uk. 80 kg</t>
  </si>
  <si>
    <t>Refill APAR Co2 uk. 3,2 kg</t>
  </si>
  <si>
    <t>Refill APAR Co2 uk. 4,6 kg</t>
  </si>
  <si>
    <t>Refill APAR Co2 uk. 5 kg</t>
  </si>
  <si>
    <t>Refill APAR Halon Free</t>
  </si>
  <si>
    <t>MC.155.28.138</t>
  </si>
  <si>
    <t>OP.167.29.249</t>
  </si>
  <si>
    <t>LM.121.21.731</t>
  </si>
  <si>
    <t>LM.121.26.636</t>
  </si>
  <si>
    <t>A J.161.21.127</t>
  </si>
  <si>
    <t>SAMSUNG GALAXY S21 8/256GB</t>
  </si>
  <si>
    <t>SAMSUNG GALAXY S20 FE8/256BG</t>
  </si>
  <si>
    <t>772 OFFWAY HIGH TRUCK</t>
  </si>
  <si>
    <t>12 M3 MOTOR GRADER</t>
  </si>
  <si>
    <t>972M WHEEL LOADER</t>
  </si>
  <si>
    <t>1:125 Cat 390F L Hydraulic Excavator</t>
  </si>
  <si>
    <t>Polo Hitam List Kuning TrakindoCAT OTOG</t>
  </si>
  <si>
    <t>(A) Cutting Tool</t>
  </si>
  <si>
    <t>(A) Inverter 12V to 220V</t>
  </si>
  <si>
    <t>(A) Tooling AC Service</t>
  </si>
  <si>
    <t>(A) Socket Impact Tool Group</t>
  </si>
  <si>
    <t>(A) Testing &amp; Adjusting electrical</t>
  </si>
  <si>
    <t>(A) Hi Torque</t>
  </si>
  <si>
    <t>Project Trakindo Digital Experience</t>
  </si>
  <si>
    <t>24208 FOLDED LIGHT BACKPACK GREY</t>
  </si>
  <si>
    <t>24205 FOLDED LIGHT BACKPACK ORANGE</t>
  </si>
  <si>
    <t>23874 BLACK CLASSIC HAT (GOLD)</t>
  </si>
  <si>
    <t>24221 MULTIFUNCTIONING TOOL FOR WRENCH</t>
  </si>
  <si>
    <t>23625 ELEGANT PAPER BAG</t>
  </si>
  <si>
    <t>23965 MAT PRINT NOTEBOOK SUIT</t>
  </si>
  <si>
    <t>23840XXL BLACK GOLD FOIL T-SHIRT (XXL)</t>
  </si>
  <si>
    <t>24258M MEN'S GREY POLO SHIRT (M)</t>
  </si>
  <si>
    <t>24258L MEN'S GREY POLO SHIRT (L)</t>
  </si>
  <si>
    <t>24258XL MEN'S GREY POLO SHIRT (XL)</t>
  </si>
  <si>
    <t>24027M BLACK AND WHITE RAGLAN T-SHIRT (M</t>
  </si>
  <si>
    <t>24027XL BLACK AND WHITE RAGLAN T-SHIRT (</t>
  </si>
  <si>
    <t>Fabrication Transport Basket</t>
  </si>
  <si>
    <t>Monthly Charge App Oil Commander</t>
  </si>
  <si>
    <t>LS9ISOS</t>
  </si>
  <si>
    <t>PLASTIC PALLET SG DC PFR 1200X1000x150 V</t>
  </si>
  <si>
    <t>Cat Shoes Wheelbase Clay</t>
  </si>
  <si>
    <t>Cat Shoes Provoke Mid</t>
  </si>
  <si>
    <t>Cat Shoes Sprint Moc</t>
  </si>
  <si>
    <t>NQ.140.11.137</t>
  </si>
  <si>
    <t>Lisence IQANrun Software</t>
  </si>
  <si>
    <t>Lampu Phillips Bohlam 12 Watt LED</t>
  </si>
  <si>
    <t>Lampu Phillips Neon LED 14.5</t>
  </si>
  <si>
    <t>Lampu Phillips Ballas 36 Watt</t>
  </si>
  <si>
    <t>New SOS App Dasboard</t>
  </si>
  <si>
    <t>(A) AIR CONDITIONER (AC)  2 PK</t>
  </si>
  <si>
    <t>(A) FLUKE 805FC VIBRATION METER</t>
  </si>
  <si>
    <t>VOUCHER INDOMARET 50.000</t>
  </si>
  <si>
    <t>VOUCHER INDOMARET 100.000</t>
  </si>
  <si>
    <t>Alfamaret 50.000</t>
  </si>
  <si>
    <t>Alfamart 100.000</t>
  </si>
  <si>
    <t>Sodexo epass 50.000</t>
  </si>
  <si>
    <t>Sodexo epass 100.000</t>
  </si>
  <si>
    <t>Pembuatan Aplikasi Ex-RPC</t>
  </si>
  <si>
    <t>Whiteboard Cleaner Spray</t>
  </si>
  <si>
    <t>Sound system / Speaker Portable</t>
  </si>
  <si>
    <t>SAFETY SHOES - SAFETY JOGGER CADOR</t>
  </si>
  <si>
    <t>WOODEN PALLETS</t>
  </si>
  <si>
    <t>ARCH FILE 185L</t>
  </si>
  <si>
    <t>COFFE BEAN EXELCO ROBUSTA GOLD 200G</t>
  </si>
  <si>
    <t>GREENFIELD FULL CREAM 1 LITER</t>
  </si>
  <si>
    <t>(A) BANDSAW MACHINE  PN KW1500053</t>
  </si>
  <si>
    <t>TONER HP LASER JET M402N</t>
  </si>
  <si>
    <t>Spline Hub 12/24 14T</t>
  </si>
  <si>
    <t>TUMBLER SUBWAY CAT</t>
  </si>
  <si>
    <t>Polo Shirt Black CAT Engine</t>
  </si>
  <si>
    <t>Goodie Bag Small Trakindo CAT non HUT</t>
  </si>
  <si>
    <t>T.AVANZA GAT SILVER - KUPANG</t>
  </si>
  <si>
    <t>Multi Material Saw Blade</t>
  </si>
  <si>
    <t>Masker 3M NIOSH MSK8577</t>
  </si>
  <si>
    <t>CABLE NYMHY 3 X 2.5MM X 100M (SUPREME)-W</t>
  </si>
  <si>
    <t>CABLE SINGLE CORE 4 MM BLACK (100 Mtr/ R</t>
  </si>
  <si>
    <t>CABLE SINGLE CORE 4 MM RED (100 Mtr/ ROL</t>
  </si>
  <si>
    <t>FLEXIBLE CONDUIT 12 MM ,(50 Mtr/ROLL)-CH</t>
  </si>
  <si>
    <t>PAD LOCK 50MM MERK YALE (YE1/50/126/1) P</t>
  </si>
  <si>
    <t>HEAVY DUTY FLOOR CLEANER OSBOND 970 (25</t>
  </si>
  <si>
    <t>PACKING TOMBO 1 MM</t>
  </si>
  <si>
    <t>PLAKBAN PLASTIC COKLAT</t>
  </si>
  <si>
    <t>LG31835/1 &amp; /4</t>
  </si>
  <si>
    <t>LG63037X/1 - X/2</t>
  </si>
  <si>
    <t>LA282418X</t>
  </si>
  <si>
    <t>LA31373L</t>
  </si>
  <si>
    <t>LGN2532</t>
  </si>
  <si>
    <t>LGN2533</t>
  </si>
  <si>
    <t>LG2041014/3</t>
  </si>
  <si>
    <t>KINGS SAFETY SHOES</t>
  </si>
  <si>
    <t>PAG OIL 250 ML</t>
  </si>
  <si>
    <t>Foam Protector Cylinder</t>
  </si>
  <si>
    <t>Coumpond Alfaglos 1 Kg</t>
  </si>
  <si>
    <t>CAT P3.110.26.136</t>
  </si>
  <si>
    <t>CAT P3.160.21.137</t>
  </si>
  <si>
    <t>CAT P3.160.21.731</t>
  </si>
  <si>
    <t>CAT LE.111.27.137</t>
  </si>
  <si>
    <t>CAT LE.111.28.838</t>
  </si>
  <si>
    <t>CAT.OB.147.23.143</t>
  </si>
  <si>
    <t>CAT.OB.147.21.141</t>
  </si>
  <si>
    <t>CAT.LK.111.21.111</t>
  </si>
  <si>
    <t>CAT.LK.131.23.113</t>
  </si>
  <si>
    <t>CAT WATCH LK.151.25.115</t>
  </si>
  <si>
    <t>iPhone 13 Pro Max  256 GB</t>
  </si>
  <si>
    <t>iPhone 13, 256 GB</t>
  </si>
  <si>
    <t>SAMSUNG GALAXY S21 8/128GB</t>
  </si>
  <si>
    <t>KAPORIT (PENJERNIH AIR)</t>
  </si>
  <si>
    <t>TAWAS (ALUMUNIUM SULFAT)</t>
  </si>
  <si>
    <t>Sticker Limbah Umum</t>
  </si>
  <si>
    <t>Sticker Limbah Logam</t>
  </si>
  <si>
    <t>Sticker Limba B3</t>
  </si>
  <si>
    <t>Sticker Water Saving</t>
  </si>
  <si>
    <t>Sticker Iritasi</t>
  </si>
  <si>
    <t>Sticker Bahaya lingkungan</t>
  </si>
  <si>
    <t>Sticker EXIT</t>
  </si>
  <si>
    <t>Sticker Tandu</t>
  </si>
  <si>
    <t>Sticker Alat Pemadam</t>
  </si>
  <si>
    <t>Sticker Musolla</t>
  </si>
  <si>
    <t>Sticker Mudah Meledak</t>
  </si>
  <si>
    <t>Sticker Mudah Menyala</t>
  </si>
  <si>
    <t>Sticker Pengoksidasi</t>
  </si>
  <si>
    <t>Sticker Dilarang merokok</t>
  </si>
  <si>
    <t>Sticker HEALTH AWARENES</t>
  </si>
  <si>
    <t>BUSINESS CARD - DIGITAL PRINTING 4/4</t>
  </si>
  <si>
    <t>Respirator 3M 6200</t>
  </si>
  <si>
    <t>MCB atau Saklar</t>
  </si>
  <si>
    <t>(A) STAND DIFFERENIAL 785C - 789C</t>
  </si>
  <si>
    <t>KAIGO MPD 100 CONCENTRATE (20liter/PAIL)</t>
  </si>
  <si>
    <t>KAIGO RADIATOR COOLANT ADV 30 (20 liter)</t>
  </si>
  <si>
    <t>KAIGO SOLVENT DEGRESER (20 liter/ PAIL)</t>
  </si>
  <si>
    <t>KAIGO SOLVENT DEGRESER QUICK DRY(20 Ltr)</t>
  </si>
  <si>
    <t>CAT WATCH PU.263.34.117</t>
  </si>
  <si>
    <t>CAT WATCH PU.293.35.119</t>
  </si>
  <si>
    <t>CAT WATCH K3.121.25.511</t>
  </si>
  <si>
    <t>CAT WATCH K3.121.21.711</t>
  </si>
  <si>
    <t>CAT WATCH LK SERIES 1</t>
  </si>
  <si>
    <t>Female Coupler</t>
  </si>
  <si>
    <t>Roda Caster (wheel caster swivel)</t>
  </si>
  <si>
    <t>Stovetop Rack</t>
  </si>
  <si>
    <t>2. Nasal Oxygen Mask</t>
  </si>
  <si>
    <t>CAT SAFETY BOOTS</t>
  </si>
  <si>
    <t>24007XXL BLACK CERAMIC MULBERRY SILK POL</t>
  </si>
  <si>
    <t>24200M BLACK PRINTED CLASSIC CAT T-SHIRT</t>
  </si>
  <si>
    <t>24200L BLACK PRINTED CLASSIC CAT T-SHIRT</t>
  </si>
  <si>
    <t>24200XL BLACK PRINTED CLASSIC CAT TSHIRT</t>
  </si>
  <si>
    <t>FUJIFILM PRINTER CARTRIDGE</t>
  </si>
  <si>
    <t>VILT Device</t>
  </si>
  <si>
    <t>Micro Learning Device</t>
  </si>
  <si>
    <t>Virtual Tour Editing Software</t>
  </si>
  <si>
    <t>Adobe Premiere Pro Annual Subscribtion</t>
  </si>
  <si>
    <t>LACTH FRONT DOOR RH PN 5715A848</t>
  </si>
  <si>
    <t>SPRING NO1 ALL NEW TRITON PN 41450A233-1</t>
  </si>
  <si>
    <t>SPRING NO3 ALL NEW TRITON PN 41450A233-3</t>
  </si>
  <si>
    <t>SPRING NO2 ALL NEW TRITON PN 41450A233-2</t>
  </si>
  <si>
    <t>SPRING NO4 ALL NEW TRITON PN 41450A233-4</t>
  </si>
  <si>
    <t>KARET STABILIZER TRITON PN MR992317</t>
  </si>
  <si>
    <t>KARET BOOT SHAFF PN MR528709</t>
  </si>
  <si>
    <t>HANDLE PINTU TRITON PN 5746A153</t>
  </si>
  <si>
    <t>EKSPANSI VALVE PN 447500-9220</t>
  </si>
  <si>
    <t>RECEIVER DRYER PN 95330-0701</t>
  </si>
  <si>
    <t>ORING 5/8 PN 949142-0030</t>
  </si>
  <si>
    <t>ORING 1/2 PN 949142-0020</t>
  </si>
  <si>
    <t>ORING 3/8 PN 949142-0010</t>
  </si>
  <si>
    <t>COVER DOOR MIRROR PN 7632C445</t>
  </si>
  <si>
    <t>TENSIONER TRITON PN MD050125</t>
  </si>
  <si>
    <t>EVAPORATOR PN 071R-FYZ</t>
  </si>
  <si>
    <t>TERMINAL BATTRERY PN MU001365</t>
  </si>
  <si>
    <t>NOZZLE WINDSHIELD RH PN 8265A740</t>
  </si>
  <si>
    <t>NOZZLE WINDSHIELD LH PN 8265A739</t>
  </si>
  <si>
    <t>SEAL BRAKETRITON PN 4605AB628</t>
  </si>
  <si>
    <t>PISTON CALIPER PN MR527541</t>
  </si>
  <si>
    <t>CROSS JOINT TRITON PN MR196838</t>
  </si>
  <si>
    <t>OIL SEAL TRITON PN 3541A198</t>
  </si>
  <si>
    <t>COVER DUST TRITON PN MB160948</t>
  </si>
  <si>
    <t>SEAL INNER SHAFT PN MB160946</t>
  </si>
  <si>
    <t>CLEVERIN CATRIDGE PN 044810-0410</t>
  </si>
  <si>
    <t>FILTER AC DENSO PN145520-2550</t>
  </si>
  <si>
    <t>BUSHING SHOCK DEPAN PN ML044044</t>
  </si>
  <si>
    <t>DISC BRAKE TRITON PN MN102276/GN</t>
  </si>
  <si>
    <t>COVER CLUTCH PN MN171120</t>
  </si>
  <si>
    <t>PREMIUM CHOCOLATE MIX</t>
  </si>
  <si>
    <t>PREMIUM MATCHA MIX</t>
  </si>
  <si>
    <t>16 M3 MOTOR GRADER</t>
  </si>
  <si>
    <t>Cat 420F2 IT backhoe Loader</t>
  </si>
  <si>
    <t>323 Hydraulic Excavator</t>
  </si>
  <si>
    <t>336 Hydraulic Excavator - Next Gen</t>
  </si>
  <si>
    <t>SSK NEVADA BlACK 216141 NO 4</t>
  </si>
  <si>
    <t>SNOWMAN EXTRA FINE POINT MARKER EFWP-12</t>
  </si>
  <si>
    <t>Lifting Gear Tag Inspection Yellow</t>
  </si>
  <si>
    <t>N2203</t>
  </si>
  <si>
    <t>Lifting Gear Tag Inspection Blue</t>
  </si>
  <si>
    <t>Lifting Gear Tag Inspection Red</t>
  </si>
  <si>
    <t>Lifting Gear Tag Inspection Green</t>
  </si>
  <si>
    <t>Register New WABA Number</t>
  </si>
  <si>
    <t>N0703</t>
  </si>
  <si>
    <t>Agenda SPB</t>
  </si>
  <si>
    <t>SIGN BOARD "CONTAMINATION CONTROL RATE"</t>
  </si>
  <si>
    <t>320 DL Hydroulic Excavator</t>
  </si>
  <si>
    <t>ART TEST KIT</t>
  </si>
  <si>
    <t>KIT</t>
  </si>
  <si>
    <t>G3516B SCALE MODEL</t>
  </si>
  <si>
    <t>24 MG SCALE MODEL</t>
  </si>
  <si>
    <t>DMS85650 HYDRAULIC MINING SHOVEL 6060</t>
  </si>
  <si>
    <t>LENOVO THINKBOOK 14S YOGA G2 14ITL</t>
  </si>
  <si>
    <t>MOTORCYCLE GRAND PRIZE PONTIANAK</t>
  </si>
  <si>
    <t>MOTORCYCLE GRAND PRIZE PEKANBARU</t>
  </si>
  <si>
    <t>MOTORCYCLE GRAND PRIZE JAMBI</t>
  </si>
  <si>
    <t>Sensor Mundur</t>
  </si>
  <si>
    <t>CAT WATCH LE.111.21.131</t>
  </si>
  <si>
    <t>CAT WATCH LH.110.21.221</t>
  </si>
  <si>
    <t>CAT WATCH LH.11O.23.123</t>
  </si>
  <si>
    <t>CAT WATCH LH.110.25.125</t>
  </si>
  <si>
    <t>CAT WATCH LM.121.27.137</t>
  </si>
  <si>
    <t>CAT WATCH LF.111.21.731</t>
  </si>
  <si>
    <t>CAT WATCH LM SERIES 1</t>
  </si>
  <si>
    <t>CAT WATCH LM.121.21.131</t>
  </si>
  <si>
    <t>CAT WATCH LM.121.23.334</t>
  </si>
  <si>
    <t>7-5800COV_Nasal Spray</t>
  </si>
  <si>
    <t>7-5800COV_Moutwash And Gargle</t>
  </si>
  <si>
    <t>DIESEL</t>
  </si>
  <si>
    <t>Protective Case</t>
  </si>
  <si>
    <t>CAT WATCH LM.121.26.636</t>
  </si>
  <si>
    <t>CAT WATCH  LM.121.21.731</t>
  </si>
  <si>
    <t>Personal Computer Set</t>
  </si>
  <si>
    <t>Slider Camera</t>
  </si>
  <si>
    <t>PROTECTIVE CASE</t>
  </si>
  <si>
    <t>(A) Projector EPSON EB-2055</t>
  </si>
  <si>
    <t>Mesin Scan Epson Scanner V39</t>
  </si>
  <si>
    <t>Barcode scanner Zebra DS2208</t>
  </si>
  <si>
    <t>Secondary Containment</t>
  </si>
  <si>
    <t>Printer ID Card PVC</t>
  </si>
  <si>
    <t>Jack Stand Component</t>
  </si>
  <si>
    <t>6V-7830 - Tetra gauge</t>
  </si>
  <si>
    <t>Working Lamp + Stand</t>
  </si>
  <si>
    <t>5P8665 - Liner Removal</t>
  </si>
  <si>
    <t>CHEST FREEZER MODENA MD 0206 W 200 LITER</t>
  </si>
  <si>
    <t>LIFTING CYLINDER HEAD 3500 SERIES</t>
  </si>
  <si>
    <t>Galaxy Watch 4 – 44mm</t>
  </si>
  <si>
    <t>Gloves UVEX Unlite 6605</t>
  </si>
  <si>
    <t>Gloves MAPA Ultrane 500</t>
  </si>
  <si>
    <t>Instance Hand Sanitizer Gel 4 Liter</t>
  </si>
  <si>
    <t>Instance Hand Sanitizer Cair 4 Liter</t>
  </si>
  <si>
    <t>COPIER PAPER (PAPERONE)</t>
  </si>
  <si>
    <t>K1086 ROLLER CRYSTAL GLUE</t>
  </si>
  <si>
    <t>DELL LATITUDE 7320 W/ MS OFFICE 2021</t>
  </si>
  <si>
    <t>PUMP</t>
  </si>
  <si>
    <t>O-RING</t>
  </si>
  <si>
    <t>OFFICE REMODELING</t>
  </si>
  <si>
    <t>LOT</t>
  </si>
  <si>
    <t>Banner "Take 5" uk 200 x 200</t>
  </si>
  <si>
    <t>Pillow Case</t>
  </si>
  <si>
    <t>TCC Information System (Phase 2)</t>
  </si>
  <si>
    <t>Karpet Musholla 105 x 507</t>
  </si>
  <si>
    <t>Kulkas showcase GEA 192 L</t>
  </si>
  <si>
    <t>CAT WATCH ME.135.23.133</t>
  </si>
  <si>
    <t>CAT WATCH ME.145.21.131</t>
  </si>
  <si>
    <t>CAT WATCH ME.145.21.137</t>
  </si>
  <si>
    <t>CAT WATCH MF.175.21.137</t>
  </si>
  <si>
    <t>CAT WATCH MF.185.21.138</t>
  </si>
  <si>
    <t>CAT WATCH OC.167.21.147</t>
  </si>
  <si>
    <t>CAT WATCH OC.167.21.247</t>
  </si>
  <si>
    <t>SELF RETRACTABLE LANYARD (SRL)</t>
  </si>
  <si>
    <t>UPS APC SMX3000HVNC</t>
  </si>
  <si>
    <t>UPS APC SMT1000RMI2UC</t>
  </si>
  <si>
    <t>UPS APC SMX2200HVNC</t>
  </si>
  <si>
    <t>FABRICATE STAND FRONT FRAME R-SERIES</t>
  </si>
  <si>
    <t>SAFETY GOGGLES CLEAR ANTIFOG CIG WALAGOO</t>
  </si>
  <si>
    <t>HALF MASK RESPIRATOR 3M 6200</t>
  </si>
  <si>
    <t>WELDING MASK CIG HELLIX</t>
  </si>
  <si>
    <t>WELDING LEATHER GLOVES CIG KEVLAR BLUE</t>
  </si>
  <si>
    <t>RAINCOAT PVC YELLOW SIZE : L  CIG 2000</t>
  </si>
  <si>
    <t>RAINCOAT PVC YELLOW W/REF: M CIG 2001</t>
  </si>
  <si>
    <t>RAINCOAT PVC YELLOW W/REF: L CIG 2001</t>
  </si>
  <si>
    <t>RAINCOAT PVC YELLOW W/REF: XL CIG 2001</t>
  </si>
  <si>
    <t>TRAFFIC CONE 70 CM BASE ORANGE</t>
  </si>
  <si>
    <t>EYESALINE FOR PORTASTREAM 100</t>
  </si>
  <si>
    <t>SURGICAL MASK MASKER 3 PLY CIG</t>
  </si>
  <si>
    <t>DOUBLE MASK RESPIRATOR NP306</t>
  </si>
  <si>
    <t>SAFETY GLASSES CLEAR LENS CIG ANGLER</t>
  </si>
  <si>
    <t>SAFETY GLASSES DARK LENS CIG ANGLER</t>
  </si>
  <si>
    <t>OVER THE GLASSES CIG BETTA CLEAR</t>
  </si>
  <si>
    <t>HILTI HIT-RE 500 V3</t>
  </si>
  <si>
    <t>RATCHET LINK SIZE 46 MM HEX DRIVE</t>
  </si>
  <si>
    <t>CR7 Kofax Enhancement Capture PO to SAP</t>
  </si>
  <si>
    <t>Voucher Exercise Class</t>
  </si>
  <si>
    <t>PANEL MOUNTING SOCKET 3PHASE 5 PIN</t>
  </si>
  <si>
    <t>PLUG SOCKET 3PHASE 5 PIN</t>
  </si>
  <si>
    <t>TAG EMERGENCY LAMP.</t>
  </si>
  <si>
    <t>TAG LADDER.</t>
  </si>
  <si>
    <t>Fluke i2000 Flex AC Current Clamp.</t>
  </si>
  <si>
    <t>Step Trash Bin</t>
  </si>
  <si>
    <t>(A) PROJECTOR EPSON EB-L200F</t>
  </si>
  <si>
    <t>Cat Shoes Mae Bayleaf</t>
  </si>
  <si>
    <t>WINDOW COVER FOR DRAWER KW0103824</t>
  </si>
  <si>
    <t>UPDATE OPPORTUNITY MENU ON SALESMAN APP</t>
  </si>
  <si>
    <t>7W LED SPOT LIGHT BULB - MR16</t>
  </si>
  <si>
    <t>7W LED SPOT LIGHT BULB - GU10</t>
  </si>
  <si>
    <t>8W LIGHT STRIP AND DRIVER</t>
  </si>
  <si>
    <t>1.5M FLEXI CABLE</t>
  </si>
  <si>
    <t>CHECK AND REPAIR CEILING LIGHTS</t>
  </si>
  <si>
    <t>LW1401 AC PORTABLE CUT-OFF 355MM</t>
  </si>
  <si>
    <t>MICROSOFT PROJECT STANDARD 2021 ESD</t>
  </si>
  <si>
    <t>24179L MEN LARGE GREY REGULAR FIT SHIRT</t>
  </si>
  <si>
    <t>24179XL MEN XL GREY REGULAR FIT SHIRT</t>
  </si>
  <si>
    <t>24180L MEN LARGE BLUE REGULAR FIT SHIRT</t>
  </si>
  <si>
    <t>HP Cat S62 Pro</t>
  </si>
  <si>
    <t>(A) GENSET C15 CYY798 S/N DCY00798</t>
  </si>
  <si>
    <t>Fluke TL221 SureGrip™</t>
  </si>
  <si>
    <t>TPAK meter hanging KIT</t>
  </si>
  <si>
    <t>CAT WATCH AK SERIES 3</t>
  </si>
  <si>
    <t>(A) DINING CHAIR</t>
  </si>
  <si>
    <t>(A) DINING TABLE</t>
  </si>
  <si>
    <t>(A) WARDROBE SINGLE DOOR</t>
  </si>
  <si>
    <t>SINGLE SHEET</t>
  </si>
  <si>
    <t>(A) REFRIGERATOR CAP.516L</t>
  </si>
  <si>
    <t>(A) REFRIGERATOR CAP.647L</t>
  </si>
  <si>
    <t>(A) WASHING MACHINE CAP.10KG</t>
  </si>
  <si>
    <t>(A) DRYER MACHINE CAP.10KG</t>
  </si>
  <si>
    <t>IRON TABLE</t>
  </si>
  <si>
    <t>(A) WARDROBE DOUBLE DOOR</t>
  </si>
  <si>
    <t>(A) TV LED 72"</t>
  </si>
  <si>
    <t>(A) TV LED 42"</t>
  </si>
  <si>
    <t>(A) COFFEE TABLE</t>
  </si>
  <si>
    <t>BEAN BAG TRIAGLE</t>
  </si>
  <si>
    <t>(A) NVR 16 CHANNEL</t>
  </si>
  <si>
    <t>(A) GPS TRACKER SUPERSPRING S250</t>
  </si>
  <si>
    <t>E-Voucher @50.000</t>
  </si>
  <si>
    <t>REMOTE FLASH TAG</t>
  </si>
  <si>
    <t>VISUAL FAULT LOCATOR LASER FIBER OPTIC</t>
  </si>
  <si>
    <t>FO PATCH CORD NVL-DPMM2-FC-LC-002</t>
  </si>
  <si>
    <t>FO PATCH CORD NVL-DPMM1-ST-LC-002</t>
  </si>
  <si>
    <t>FO PATCH CORD NVL-DPMM1-SC-LC-002</t>
  </si>
  <si>
    <t>CAT WATCH LJ.160.21.721</t>
  </si>
  <si>
    <t>LJ. 160.27.127</t>
  </si>
  <si>
    <t>(A) AKB Divider Mezzanine TC-800</t>
  </si>
  <si>
    <t>(A) AKB SDW-9 (L=710) Mezzanine</t>
  </si>
  <si>
    <t>(A) AKB TC 800 (L=710) Mezzanine</t>
  </si>
  <si>
    <t>(A) ACC Support Florring  Mezzanine</t>
  </si>
  <si>
    <t>(A) AKB-WBD55  C/W CABINET</t>
  </si>
  <si>
    <t>(A)TOOL BOX CASE 4 DRAW(H)444X(W)654X(D)</t>
  </si>
  <si>
    <t>THERMAL FUSE 15A</t>
  </si>
  <si>
    <t>CAT D6R TRACK TYPE TRACTOR (1:64)</t>
  </si>
  <si>
    <t>CAT 320D L HYDRAULIC EXCAVATOR (1:87)</t>
  </si>
  <si>
    <t>CAT 320D L HYD EXCAVATOR (1:50)</t>
  </si>
  <si>
    <t>1:50 Cat 323F Hydraulic Excavator</t>
  </si>
  <si>
    <t>1:50 Cat 140H Motor Grader</t>
  </si>
  <si>
    <t>CAT R1700 LHD UG MINING LOADER (1:50)</t>
  </si>
  <si>
    <t>WEBSITE REVAMP</t>
  </si>
  <si>
    <t>ETHERNET ROUTER</t>
  </si>
  <si>
    <t>(A) BATTERY JUMP STARTER GB500</t>
  </si>
  <si>
    <t>ELECTRIC SOLDERING GUN</t>
  </si>
  <si>
    <t>Cordless Drill PN : DDF481RME MAKITA</t>
  </si>
  <si>
    <t>INDONESIA COAL BOOK DIRECTORY</t>
  </si>
  <si>
    <t>N2207</t>
  </si>
  <si>
    <t>Basic Longspan H3000xW2200xD1000mm</t>
  </si>
  <si>
    <t>Add. Longspan H3000xW2200xD1000mm,</t>
  </si>
  <si>
    <t>CAT WATCH PU.261.34.117</t>
  </si>
  <si>
    <t>CAT WATCH PY.141.34.127</t>
  </si>
  <si>
    <t>CAT WATCH PY 161.34. 121</t>
  </si>
  <si>
    <t>CAT WATCH P3.160.21.131</t>
  </si>
  <si>
    <t>OUTLET VALVE</t>
  </si>
  <si>
    <t>INLET VALVE</t>
  </si>
  <si>
    <t>SERVICE KIT</t>
  </si>
  <si>
    <t>PACK POP UP VALVE</t>
  </si>
  <si>
    <t>PRESSURE REGULATOR</t>
  </si>
  <si>
    <t>BLASTING HOSE</t>
  </si>
  <si>
    <t>SOLAR PANEL LAMP PJU</t>
  </si>
  <si>
    <t>Printer Epson L4150</t>
  </si>
  <si>
    <t>CAT WATCH LJ.160.27.127</t>
  </si>
  <si>
    <t>CAT WATCH 0A.167.21.147</t>
  </si>
  <si>
    <t>CAT WATCH OA.167.21.148</t>
  </si>
  <si>
    <t>CAT WATCH 0A.167.21.141</t>
  </si>
  <si>
    <t>Xiaomi Mi Band 6 - Cabang</t>
  </si>
  <si>
    <t>Amazfit Bip U Pro Smartwatch - Cabang</t>
  </si>
  <si>
    <t>STAND HYDRAULIC PRESS TOOL</t>
  </si>
  <si>
    <t>ALLWIN CARBIDE BURR BALL NOSE</t>
  </si>
  <si>
    <t>24180XL MEN XL BLUE REGULAR FIT SHIRT</t>
  </si>
  <si>
    <t>CAT1353 MESH KNIT CAP LADIES</t>
  </si>
  <si>
    <t>CAT01221WH WHITE ARGYLE CAP LADIES</t>
  </si>
  <si>
    <t>20025P NEWYORK PINK CAT CAP</t>
  </si>
  <si>
    <t>20413 CAT WIRELESS PHONE CHARGER STAND</t>
  </si>
  <si>
    <t>20326 DOZER DIVOT TOOL</t>
  </si>
  <si>
    <t>FT1500-2 BEVELED BLADE 14"</t>
  </si>
  <si>
    <t>NESCAFE HIGH ROAST 12X250G</t>
  </si>
  <si>
    <t>NESCAFE GREEN TEA 10X100G</t>
  </si>
  <si>
    <t>ALLWIN CARBIDE BURR CYLINDER</t>
  </si>
  <si>
    <t>DRIVE ROLL P/N KP 502-052C</t>
  </si>
  <si>
    <t>LINCOLN PRIMACORE LW-71 P/N E71T-1C</t>
  </si>
  <si>
    <t>BOLT &amp; NUT GALVANIS M20X60MM FULL</t>
  </si>
  <si>
    <t>WASHER FLAT GALVANIS 20MM</t>
  </si>
  <si>
    <t>FMS Network Infrastructure</t>
  </si>
  <si>
    <t>N2006</t>
  </si>
  <si>
    <t>bindermax desktop display</t>
  </si>
  <si>
    <t>Cordless impact 3/4 drive</t>
  </si>
  <si>
    <t>Cordless impact 1/2 drive</t>
  </si>
  <si>
    <t>BREAKER BAR</t>
  </si>
  <si>
    <t>BELT WRENCH</t>
  </si>
  <si>
    <t>DRIVE RATCHET</t>
  </si>
  <si>
    <t>OIL FILTER CUTTING TOOL</t>
  </si>
  <si>
    <t>OIL CONTAINER</t>
  </si>
  <si>
    <t>Hit belt wrench</t>
  </si>
  <si>
    <t>In drive ratchet</t>
  </si>
  <si>
    <t>Cutting filter</t>
  </si>
  <si>
    <t>CAT Shoes Invander ST Full Moon</t>
  </si>
  <si>
    <t>MILO ACIVE-GO HOT MIX VENDING 12X1KG</t>
  </si>
  <si>
    <t>TRUCK SERVICING</t>
  </si>
  <si>
    <t>CONSULTANT SERVICE (BIZSAFE-AEX)</t>
  </si>
  <si>
    <t>N0707</t>
  </si>
  <si>
    <t>“pen Cutter SDI 0491”</t>
  </si>
  <si>
    <t>SIGN PLAT "CCTV"</t>
  </si>
  <si>
    <t>MSIS Pricing Daily Activity Web App</t>
  </si>
  <si>
    <t>Cat Shoes Superlite CT WP Bungee</t>
  </si>
  <si>
    <t>CAT WATCH PU 241.11.211</t>
  </si>
  <si>
    <t>PKG SYSTEM MODIFICATION</t>
  </si>
  <si>
    <t>Total Station Sokkia IM-52</t>
  </si>
  <si>
    <t>Payung Golf Trakindo CAT</t>
  </si>
  <si>
    <t>Box Hampers SOS Marcomm CAT</t>
  </si>
  <si>
    <t>Connectivity Readiness&amp;Alert Management</t>
  </si>
  <si>
    <t>Guard Kaca Cabin CAT 834 &amp; Roof Guard</t>
  </si>
  <si>
    <t>Guard Kaca Cabin CAT 980 &amp; Roof Guard</t>
  </si>
  <si>
    <t>Balok Penyangga Bucket &amp; Blade 15x15x30</t>
  </si>
  <si>
    <t>TEKIRO Air Duster Gun AT-AD1111</t>
  </si>
  <si>
    <t>1 : 167 CAT D7E Track-Type Tractor</t>
  </si>
  <si>
    <t>CAT R3000H UG MINING LOADER (1:50)</t>
  </si>
  <si>
    <t>inis  1 : 167 Cat 315C Excavator Minis</t>
  </si>
  <si>
    <t>Cat Watch : PU.241.34.111</t>
  </si>
  <si>
    <t>Cat Watch : PU.241.36.616</t>
  </si>
  <si>
    <t>Cat Watch : LL.111.21.112</t>
  </si>
  <si>
    <t>Cat Watch : LL.111.21.111</t>
  </si>
  <si>
    <t>Clemco Abrasive Trap</t>
  </si>
  <si>
    <t>Hose line water</t>
  </si>
  <si>
    <t>Cube</t>
  </si>
  <si>
    <t>VOUCHER BBM PERTAMINA TTD</t>
  </si>
  <si>
    <t>Cat Watch : CC.141.21.117</t>
  </si>
  <si>
    <t>Cat Watch : CC.151.25.511</t>
  </si>
  <si>
    <t>Cat Watch : CC.161.21.117</t>
  </si>
  <si>
    <t>Cat Watch : CC.161.21.118</t>
  </si>
  <si>
    <t>Cat Watch : CC.191.21.119</t>
  </si>
  <si>
    <t>Cat Watch : NQ.160.21.137</t>
  </si>
  <si>
    <t>Cat Watch : NQ.190.21.139</t>
  </si>
  <si>
    <t>TSES 2022 CUSTOMER LIST APP ENHANCEMENT</t>
  </si>
  <si>
    <t>Cover Rod Cylinder Protector CAT 345</t>
  </si>
  <si>
    <t>CAT WATCH DX.191.21.120</t>
  </si>
  <si>
    <t>CYLINDER BOLT 798110112 HOSEPRESSMACHINE</t>
  </si>
  <si>
    <t>CC HANDBOOK</t>
  </si>
  <si>
    <t>CAT WATCH DV.199.36.639</t>
  </si>
  <si>
    <t>CAT WATCH SI.191.26.626</t>
  </si>
  <si>
    <t>CAT WATCH 11.163.28.838</t>
  </si>
  <si>
    <t>Cat Shoes Argon</t>
  </si>
  <si>
    <t>Digitl Manometer LEO Record-2000BAR-G1/4</t>
  </si>
  <si>
    <t>A5 PLANNER W 50 SHEETS (COMPLETE SET)</t>
  </si>
  <si>
    <t>PTTUSB WHITE ENVELOPE - 12" X 16"</t>
  </si>
  <si>
    <t>510 X 500 X 260MM CARTON BOXES</t>
  </si>
  <si>
    <t>CARTON BOX PRINTING PLATE</t>
  </si>
  <si>
    <t>VA24EHE ASUS 23.8" FULL HD MONITOR</t>
  </si>
  <si>
    <t>KET 201/902 DIGITAL VIBRATION METER</t>
  </si>
  <si>
    <t>PTTUSB TT PAYMENT SELF-INK STAMP</t>
  </si>
  <si>
    <t>TEAKWOOD BASE WITH METAL PLATE</t>
  </si>
  <si>
    <t>910-001358 R800 LOGITECH PRESENTER</t>
  </si>
  <si>
    <t>CAT 793 BLACK BRUSHED COTTON CAP</t>
  </si>
  <si>
    <t>LUTRON SL4030 SOUND LEVEL METER</t>
  </si>
  <si>
    <t>DIVALFPAPE9076 ALFAX DIVIDER 6 COLOURS</t>
  </si>
  <si>
    <t>DIVALFPAPE90712 ALFAX DIVIDER 12 COLOURS</t>
  </si>
  <si>
    <t>UNI LAKNOCK (0.7)</t>
  </si>
  <si>
    <t>SN10007 UNI LAKNOCK BLUE (0.7)</t>
  </si>
  <si>
    <t>End Mill</t>
  </si>
  <si>
    <t>Water Pump Machine</t>
  </si>
  <si>
    <t>Foot Check Valve</t>
  </si>
  <si>
    <t>Thread Hose</t>
  </si>
  <si>
    <t>Yamaha LEXI 125</t>
  </si>
  <si>
    <t>Standard Test Method for Kinematic Visco</t>
  </si>
  <si>
    <t>Standard Test Method for Ferrous Wear De</t>
  </si>
  <si>
    <t>e-magazine Equipment</t>
  </si>
  <si>
    <t>XIAOMI REDME BUDS 3 LITE</t>
  </si>
  <si>
    <t>HANDY TALKIE HYTERA TC-580</t>
  </si>
  <si>
    <t>TILE GROUT (PENGISI NAT KERAMIK) 280 ML</t>
  </si>
  <si>
    <t>TREADMILL</t>
  </si>
  <si>
    <t>MULTI POWER RACK</t>
  </si>
  <si>
    <t>PARANET</t>
  </si>
  <si>
    <t>(A) Radio TETRA Hytera MT-680 Plus</t>
  </si>
  <si>
    <t>(A)HANDY TALKIE TETRA Hytera PT580H Plus</t>
  </si>
  <si>
    <t>Develop TCAR v4.0 Budgeting Process 2022</t>
  </si>
  <si>
    <t>ASTM D664-18e2</t>
  </si>
  <si>
    <t>ASTM D6304-20</t>
  </si>
  <si>
    <t>ASTM D892-18</t>
  </si>
  <si>
    <t>SNI 6989.73:2019</t>
  </si>
  <si>
    <t>SNI 6989.11:2019</t>
  </si>
  <si>
    <t>SNI 6989.3:2019</t>
  </si>
  <si>
    <t>SNI ISO/IEC 17025:2017</t>
  </si>
  <si>
    <t>CAT WATCH AJ.141.11.127</t>
  </si>
  <si>
    <t>CAT WATCH NP.143.34.132</t>
  </si>
  <si>
    <t>TOOL DRAWER KRISBOW KW0100815</t>
  </si>
  <si>
    <t>Kuku Tegel</t>
  </si>
  <si>
    <t>Ceramic 40 x 40</t>
  </si>
  <si>
    <t>Benang Tukang</t>
  </si>
  <si>
    <t>lori lori (CART (ARCO))</t>
  </si>
  <si>
    <t>Jakarta Virtual Race 2022</t>
  </si>
  <si>
    <t>N0404</t>
  </si>
  <si>
    <t>D6T with SU Blade 1:50</t>
  </si>
  <si>
    <t>PLASTIC CREEPER KEN5037420K</t>
  </si>
  <si>
    <t>Standing poster (include hanger + tripod</t>
  </si>
  <si>
    <t>anding temperature scanner (include trip</t>
  </si>
  <si>
    <t>VIRTUAL REALITY GOGGLES</t>
  </si>
  <si>
    <t>Virtual Showroom &amp; Augmented Reality</t>
  </si>
  <si>
    <t>SPECALOG 6 PAGE A4 OMEGA 150G 2000 SHEET</t>
  </si>
  <si>
    <t>Renovation Work</t>
  </si>
  <si>
    <t>Extend Canopy of Receiving Area</t>
  </si>
  <si>
    <t>CAT WATCH MC.155.27.137</t>
  </si>
  <si>
    <t>OTO Tracking System</t>
  </si>
  <si>
    <t>Inspection Bench</t>
  </si>
  <si>
    <t>Leveling Concrete workshop to Dyno room</t>
  </si>
  <si>
    <t>HOSE CUTTING COVER</t>
  </si>
  <si>
    <t>Wire Mesh</t>
  </si>
  <si>
    <t>Hand Held Gas Engine Analyzer</t>
  </si>
  <si>
    <t>Samsung Galaxy Z Fold3</t>
  </si>
  <si>
    <t>CAT WATCH AK.149.11.122</t>
  </si>
  <si>
    <t>CAT WATCH AJ.141.11.627</t>
  </si>
  <si>
    <t>Small Carry Bag Trakindo</t>
  </si>
  <si>
    <t>Step Stool</t>
  </si>
  <si>
    <t>1:50 Cat 775G Off-Highway Truck</t>
  </si>
  <si>
    <t>Solder Timah Alpha mm 60/40 Alloy 250gr</t>
  </si>
  <si>
    <t>Pasta Solder Lotfet 50 g</t>
  </si>
  <si>
    <t>1:50 Cat AD60 Articulated Underground Tr</t>
  </si>
  <si>
    <t>Filter Fuel Solar Centurion Type 3 in 1</t>
  </si>
  <si>
    <t>6M Solar Panel VTS650A 2x380W</t>
  </si>
  <si>
    <t>9M Solar Panel VTS650A 2x300W</t>
  </si>
  <si>
    <t>TABLE TENNIS BALL</t>
  </si>
  <si>
    <t>TABLE TENNIS NET SET</t>
  </si>
  <si>
    <t>TABLE TENNIS COVER</t>
  </si>
  <si>
    <t>803CL PROCHOICE RIGGAMATE COWSPLIT RIGGE</t>
  </si>
  <si>
    <t>01CG700 OREX COTTON KNITTED GLOVES 650G</t>
  </si>
  <si>
    <t>J71 ALGARD SAFETY GLASSES CLEAR LENS</t>
  </si>
  <si>
    <t>SVC2YB XL ALGARD HIVIS YELLOW SAFETY VES</t>
  </si>
  <si>
    <t>SVPC2YB 3XL ALGARD MESH SAFETY VEST</t>
  </si>
  <si>
    <t>UNST013 PTTUSB CAN COOLER</t>
  </si>
  <si>
    <t>Polo Putih list Hitam CAT + GOC + Bender</t>
  </si>
  <si>
    <t>Polo Black list Kuning CAT + GOC + Bende</t>
  </si>
  <si>
    <t>Polo Navy list Putih CAT + GOC + Bendera</t>
  </si>
  <si>
    <t>Polyflex logo GOC - Safety Vest</t>
  </si>
  <si>
    <t>Bordir GOC + Bendera</t>
  </si>
  <si>
    <t>Bordir Bendera</t>
  </si>
  <si>
    <t>CAT Crossrail ST Dark Beige</t>
  </si>
  <si>
    <t>Minestar Simulator Device</t>
  </si>
  <si>
    <t>Cat Watch : CAT LF.111.27.731</t>
  </si>
  <si>
    <t>Cat Watch : CAT LF.111.28.138</t>
  </si>
  <si>
    <t>Cat watch PU 241.11.111</t>
  </si>
  <si>
    <t>PLAKAT PROGRAM STUDI</t>
  </si>
  <si>
    <t>environment meter 5 in 1 pro</t>
  </si>
  <si>
    <t>CANCOOLER NEOPRENE CAN COOLER</t>
  </si>
  <si>
    <t>STUBBY006 ZIP STUBBY BOTTLE HOLDER 375ML</t>
  </si>
  <si>
    <t>CATBOP3 CAT PLASTIC BOTTLE OPENER</t>
  </si>
  <si>
    <t>20025P CAT NY PINK CAP</t>
  </si>
  <si>
    <t>20322 BLACK &amp; GOLD GOLF UMBRELLA</t>
  </si>
  <si>
    <t>20491 CAT MARINE POWER CAN COOLER</t>
  </si>
  <si>
    <t>20557 SHUTTLE COOLER BAG (YELLOW)</t>
  </si>
  <si>
    <t>20568 PEROS VIENNA UMBRELLA</t>
  </si>
  <si>
    <t>25597 FOAM MESH TRUCKER CAP (BLACK/TEAL)</t>
  </si>
  <si>
    <t>SN10007 UNI LAKNOCK RED (0.7)</t>
  </si>
  <si>
    <t>36423 STAEDTLER TEXTSURFER PINK HIGHLIGH</t>
  </si>
  <si>
    <t>3645 STAEDTLER TEXTSURFER GREEN HIGHLIGH</t>
  </si>
  <si>
    <t>A76BP2 ENERGIZER BUTTON BATTERY</t>
  </si>
  <si>
    <t>ALFAX STAPLER</t>
  </si>
  <si>
    <t>ALFAX 102 PAPER POCKET FILE GREEN</t>
  </si>
  <si>
    <t>ALFAX STAPLER 24/6,26/6</t>
  </si>
  <si>
    <t>AX120ST CASIO 12 DIGITS CALCULATOR</t>
  </si>
  <si>
    <t>ALFAX 2105 3-TIER TRAY</t>
  </si>
  <si>
    <t>SP606 ALFAX SHEET PROTECT 11HOLE (0.06)</t>
  </si>
  <si>
    <t>654YE 3M POST-IT 3"X3" YELLOW</t>
  </si>
  <si>
    <t>657YE 3M POST-IT 3"X4" YELLOW</t>
  </si>
  <si>
    <t>275/24 STABILO SWING COOL YELLOW</t>
  </si>
  <si>
    <t>275/31 STABILO SWING COOL BLUE</t>
  </si>
  <si>
    <t>275/33 STABILO SWING COOL GREEN</t>
  </si>
  <si>
    <t>275/54 STABILO SWING COOL ORANGE</t>
  </si>
  <si>
    <t>275/56 STABILO SWING COOL PINK</t>
  </si>
  <si>
    <t>275/40 STABILO SWING COOL RED</t>
  </si>
  <si>
    <t>AL814V ALFAX LEATHER CARD HOLDER COFFEE</t>
  </si>
  <si>
    <t>W1793 DECADRY LABELS 210X297MM</t>
  </si>
  <si>
    <t>BPSF PILOT FINE BALL PEN RED (12)</t>
  </si>
  <si>
    <t>3450C 3M TRANSPARENT TAPE 48X80MM</t>
  </si>
  <si>
    <t>XR12X1 CASIO LABEL TAPE 12MM</t>
  </si>
  <si>
    <t>CF212A HP 131A TONER CARTRIDGE YELLOW</t>
  </si>
  <si>
    <t>CF210A HP 131A TONER CARTRIDGE BLACK</t>
  </si>
  <si>
    <t>CF211A HP 131A TONER CARTRIDGE CYAN</t>
  </si>
  <si>
    <t>CF213A HP 131A TONER CARTRIDGE MAGENTA</t>
  </si>
  <si>
    <t>BPGP10RF PILOT SUPER GRIP PEN FINE BLUE</t>
  </si>
  <si>
    <t>BPGP10RF PILOT SUPER GRIP PEN FINE RED</t>
  </si>
  <si>
    <t>655YE 3M POST-IT 3"X5" YELLOW</t>
  </si>
  <si>
    <t>E92BP4 ENERGIZER AAA BATTERY (4)</t>
  </si>
  <si>
    <t>E96BP2 ENERGIZER AAAA BATTERY (4)</t>
  </si>
  <si>
    <t>BXGPNV5 PILOT HI-TECH V5 GRIP BLUE</t>
  </si>
  <si>
    <t>DMS85238C CAT G3516B GAS ENGINE</t>
  </si>
  <si>
    <t>25627 FOAMMESH TRUCKER CAP(BLACK/YELLOW)</t>
  </si>
  <si>
    <t>980012 CAT 8" FOLDING KNIFE</t>
  </si>
  <si>
    <t>980021 CAT 13-IN-1 MULTI-FUNCTION TOOL</t>
  </si>
  <si>
    <t>AB14127137 T7 DATE BLACK/YELLOW</t>
  </si>
  <si>
    <t>AH14126622 ELITE 3HD WATCH (BLUE/SILVER)</t>
  </si>
  <si>
    <t>AL34011151 LADIES CA WATCH (BLACK/SILVER</t>
  </si>
  <si>
    <t>AL34011252 LADIES CA WATCH (SILVER)</t>
  </si>
  <si>
    <t>PU24134111 OPERATOR 45MM 3HD WATCH (BLK)</t>
  </si>
  <si>
    <t>20582 DOUBLE WALL COFFEE CUP (GUNMETAL)</t>
  </si>
  <si>
    <t>492BCGS DELL LATITUDE 7520 LAPTOP</t>
  </si>
  <si>
    <t>27MP400 LG 27' FHD MONITOR</t>
  </si>
  <si>
    <t>TUS COTTON BASEBALL CAP W VELCRO</t>
  </si>
  <si>
    <t>CANON 337 TONER - BLACK</t>
  </si>
  <si>
    <t>Majalah ANTARKITA</t>
  </si>
  <si>
    <t>Majalah APA KABAR</t>
  </si>
  <si>
    <t>1:50 Cat 374 Hydraulic Excavator</t>
  </si>
  <si>
    <t>NOTEBOOK RING HITAM CAT</t>
  </si>
  <si>
    <t>Simulator Board</t>
  </si>
  <si>
    <t>BAYONET MOUNTED DRAWER SLIDE</t>
  </si>
  <si>
    <t>LASER ALIGNMENT TOOL</t>
  </si>
  <si>
    <t>(A) PROJECTOR EPSON</t>
  </si>
  <si>
    <t>(A)  Auto Lubricator Machine</t>
  </si>
  <si>
    <t>(A)  SALT tester &amp; Lubricator</t>
  </si>
  <si>
    <t>(A) Office Container</t>
  </si>
  <si>
    <t>HP W9008MC TONER BLACK</t>
  </si>
  <si>
    <t>SPUNBOND NON WOVEN AIR FILTER</t>
  </si>
  <si>
    <t>Rantang Susun</t>
  </si>
  <si>
    <t>Lunch Box (Kotak Makan)</t>
  </si>
  <si>
    <t>STICKER CALIBRATION SOS</t>
  </si>
  <si>
    <t>CAT WATCH  AJ.191.35.129</t>
  </si>
  <si>
    <t>TRAUMA SUSPENSION TRAP 9501403</t>
  </si>
  <si>
    <t>Command Center Infrastucture</t>
  </si>
  <si>
    <t>9M Solar Panel VTS600A 3×300W</t>
  </si>
  <si>
    <t>Epson Cartridge 82N Cyan</t>
  </si>
  <si>
    <t>Epson Cartridge 82N Yellow</t>
  </si>
  <si>
    <t>Epson Cartridge 82N Light Cyan</t>
  </si>
  <si>
    <t>Epson Cartridge 82N Black</t>
  </si>
  <si>
    <t>Epson Cartridge 82N Magenta</t>
  </si>
  <si>
    <t>VISUAL INSEPCTION OF LIFTING GEARS</t>
  </si>
  <si>
    <t>TITLEIST PRO V1 GOLF BALLS</t>
  </si>
  <si>
    <t>HP COMPRESSOR MOTOR ASSEMBLY</t>
  </si>
  <si>
    <t>HDD DELL STORAGE ME 4024 S/N BHBRRH3</t>
  </si>
  <si>
    <t>N1107</t>
  </si>
  <si>
    <t>DATTO M3656 BACKUP-SASS PROTECTION</t>
  </si>
  <si>
    <t>Digital Stamp Duty (Digital Meterai)</t>
  </si>
  <si>
    <t>Stamp Duty (Meterai)</t>
  </si>
  <si>
    <t>Digital Signature (Tanda Tangan Digital)</t>
  </si>
  <si>
    <t>CAT GOLF TOWEL (WHITE W BLACK/GOLF)</t>
  </si>
  <si>
    <t>CAT GOLF TEE SET</t>
  </si>
  <si>
    <t>CAT GOLF DIVOT REPAIRER W MARKER</t>
  </si>
  <si>
    <t>CAT CALLAWAY WEATHER PANN GLOVES</t>
  </si>
  <si>
    <t>DON VIEW INTERACTIVE TV (ANDRIOD OS)</t>
  </si>
  <si>
    <t>LOGITECH MEETUP &amp; PROFESSIONAL SERVICE</t>
  </si>
  <si>
    <t>LOGITECH EXPANSION MIC &amp; CABLE</t>
  </si>
  <si>
    <t>BATA SAFETY SHOES</t>
  </si>
  <si>
    <t>Epson Cartridge 82N Light Magenta</t>
  </si>
  <si>
    <t>Marker</t>
  </si>
  <si>
    <t>Tee</t>
  </si>
  <si>
    <t>Golf ball</t>
  </si>
  <si>
    <t>Machine Engine Population (MEP) Apps</t>
  </si>
  <si>
    <t>Infra DC Powered (GPS)</t>
  </si>
  <si>
    <t>Infra AC Powered (GPS)</t>
  </si>
  <si>
    <t>PS Sales Forecast Apps</t>
  </si>
  <si>
    <t>IRON (SETRIKA)</t>
  </si>
  <si>
    <t>N0409</t>
  </si>
  <si>
    <t>BEARING SEPARATOR</t>
  </si>
  <si>
    <t>Cordless impact 3/8 drive</t>
  </si>
  <si>
    <t>PCBF/S-JAZ RF TORCH PENUMATICS</t>
  </si>
  <si>
    <t>DIAPHRAGM PUMP</t>
  </si>
  <si>
    <t>Cordless impact driver</t>
  </si>
  <si>
    <t>CAT WATCH NP.151.35.531.</t>
  </si>
  <si>
    <t>CAT WATCH PU.261.35.114</t>
  </si>
  <si>
    <t>CAT WATCH PY.191.34.129</t>
  </si>
  <si>
    <t>CAT LF.111.21.131</t>
  </si>
  <si>
    <t>CAT LF.111.23.133</t>
  </si>
  <si>
    <t>CAT LF.111.27.137</t>
  </si>
  <si>
    <t>Amazfit Bip 3 Pro</t>
  </si>
  <si>
    <t>Redmi Buds 3</t>
  </si>
  <si>
    <t>Mpow Flame Lite TWS</t>
  </si>
  <si>
    <t>CAT P3.190.29.139</t>
  </si>
  <si>
    <t>Samsung Galaxy S22 Ultra 12/512GB</t>
  </si>
  <si>
    <t>Samsung Galaxy A33 5G 8/128GB</t>
  </si>
  <si>
    <t>HEAT SHRINK TOOL - SHRINKFAST</t>
  </si>
  <si>
    <t>(A) MEASUARING TRIPOD MAHR 815MF</t>
  </si>
  <si>
    <t>KIDNEYLOOP 120 LPM</t>
  </si>
  <si>
    <t>Kemeja CAT Minestar</t>
  </si>
  <si>
    <t>Lanyard Minestar</t>
  </si>
  <si>
    <t>Pen Stainless Minestar</t>
  </si>
  <si>
    <t>Border CAT Minestar</t>
  </si>
  <si>
    <t>Topi CAT Minestar</t>
  </si>
  <si>
    <t>Mug Minestar</t>
  </si>
  <si>
    <t>Polo CAT Minestar</t>
  </si>
  <si>
    <t>PN : MUSTER SHRADERVALVE FOR LOP</t>
  </si>
  <si>
    <t>CRIMPING TOOLS CT- 400/300</t>
  </si>
  <si>
    <t>WIRE STRIP &amp; CUTTING TOOLS CST- 400</t>
  </si>
  <si>
    <t>WIRE STRIP &amp; CUTTING TOOLS CCT-02</t>
  </si>
  <si>
    <t>REPLACEMENT BLADE RB-CST</t>
  </si>
  <si>
    <t>(A) AIR CONDITIONER 3 PK</t>
  </si>
  <si>
    <t>Company Seal (Stempel Trakindo Utama)</t>
  </si>
  <si>
    <t>TUS YELLOW SQUARE TENTAGE 3MX3M</t>
  </si>
  <si>
    <t>N0306</t>
  </si>
  <si>
    <t>CHRISTMAS CARD 2022 #8502</t>
  </si>
  <si>
    <t>MANUAL SCALE CAP 200KG</t>
  </si>
  <si>
    <t>BLAZER SUIT CASUAL STYLE NEW MEN</t>
  </si>
  <si>
    <t>CAT WATCH (MEN) PZ.141.11.121</t>
  </si>
  <si>
    <t>WORKBENCH AKB WBD 56</t>
  </si>
  <si>
    <t>Video Conference Device</t>
  </si>
  <si>
    <t>RADIO HT HYTERA TC 780</t>
  </si>
  <si>
    <t>FAS WHEEL 4.80/4.00-8</t>
  </si>
  <si>
    <t>REXCO 18</t>
  </si>
  <si>
    <t>REXCO 50</t>
  </si>
  <si>
    <t>PN PAC2008 - 808-152-200 ORING</t>
  </si>
  <si>
    <t>COLLET SYSTEM ASSEMBLY</t>
  </si>
  <si>
    <t>ROUND TUBULAR ELECTRODE</t>
  </si>
  <si>
    <t>PRCISION TOOL HOLDER</t>
  </si>
  <si>
    <t>DELL 7430 CTO 14" NON-TOUCH NOTEBOOK</t>
  </si>
  <si>
    <t>MICROSOFT OFFICE (HOME &amp; BUSINESS) 2021</t>
  </si>
  <si>
    <t>DELL PRECISION 3660 TOWER CTO WRKSTATION</t>
  </si>
  <si>
    <t>DELL P2722H 27" MONITOR</t>
  </si>
  <si>
    <t>AUTODESK CLOUD SUBSCRIPTION</t>
  </si>
  <si>
    <t>BANK TRANSFER FEE</t>
  </si>
  <si>
    <t>(A) Portable Tank 1500 Liter</t>
  </si>
  <si>
    <t>Caterpillar Men Watch 143.34.137</t>
  </si>
  <si>
    <t>Jam Tangan Caterpillar Pria 243.11.117</t>
  </si>
  <si>
    <t>Caterpillar Mens Watch AD 163.16.131</t>
  </si>
  <si>
    <t>DIAL INDICATOR TESTER 170-101-10</t>
  </si>
  <si>
    <t>CAT 11.193.21.139</t>
  </si>
  <si>
    <t>CUP &amp; SOURCE</t>
  </si>
  <si>
    <t>FRYING SPATULA</t>
  </si>
  <si>
    <t>OVEN TRAY</t>
  </si>
  <si>
    <t>ICE MOUNTAIN DRINKING WATER 600 PK24</t>
  </si>
  <si>
    <t>CAT R3000H U/G MINE LOADER</t>
  </si>
  <si>
    <t>TOOLS SET (SPOON,KNIFE,FORK &amp; TEA SPOON</t>
  </si>
  <si>
    <t>IRON BOARD ALUMINIUM</t>
  </si>
  <si>
    <t>DOORMAT POLYSTER</t>
  </si>
  <si>
    <t>DOORMAT PLASTIC</t>
  </si>
  <si>
    <t>DOORMAT RUBBER</t>
  </si>
  <si>
    <t>DOORMAT KAIN</t>
  </si>
  <si>
    <t>STANDING PEN KENKO / JOYKO</t>
  </si>
  <si>
    <t>VALVE SEAT INSERT</t>
  </si>
  <si>
    <t>RF CONNECTOR PN. EZ-400-NMH-RA-X AMPHENO</t>
  </si>
  <si>
    <t>RF CONNECTOR PN. EZ-400-NF-BH-X AMPHENO</t>
  </si>
  <si>
    <t>RF CONNECTOR PN. EZ-400-NMH-X AMPHENOL</t>
  </si>
  <si>
    <t>RF CONNECTORS  PN. EZ-400-NF-X AMPHENOL</t>
  </si>
  <si>
    <t>COAXIAL CABLE AMPHENOL PN. LMR-400</t>
  </si>
  <si>
    <t>FT</t>
  </si>
  <si>
    <t>Gas LPG 5.5 KG</t>
  </si>
  <si>
    <t>CAT NP 143.11.132</t>
  </si>
  <si>
    <t>EON WASH 500</t>
  </si>
  <si>
    <t>Add cost Motor Pekanbaru</t>
  </si>
  <si>
    <t>Connecting Link Hammerlock</t>
  </si>
  <si>
    <t>BALLPOINT FASTER C6 (BLUE)</t>
  </si>
  <si>
    <t>SIGN PEN MARKER COLOUR SNOWMAN (BLUE)</t>
  </si>
  <si>
    <t>SIGN PEN MARKER COLOUR SNOWMAN (RED)</t>
  </si>
  <si>
    <t>PERMANENT MARKER ARTLINE 70 (BLUE)</t>
  </si>
  <si>
    <t>STAMP INK ARTLINE (BLUE)</t>
  </si>
  <si>
    <t>BROWN ENVELOPE GARDA (L)</t>
  </si>
  <si>
    <t>BROWN ENVELOPE GARDA (S)</t>
  </si>
  <si>
    <t>BROWN ENVELOPE GARDA (M)</t>
  </si>
  <si>
    <t>DRY FIT POLO GRADASI NAVY TIRING 100–300</t>
  </si>
  <si>
    <t>Trakindo Lanyard Rajut CAT</t>
  </si>
  <si>
    <t>Pen Stainless CAT</t>
  </si>
  <si>
    <t>CAT NP.143.34.132</t>
  </si>
  <si>
    <t>CAT NP.143.36.632</t>
  </si>
  <si>
    <t>CAT PZ.149.21.121</t>
  </si>
  <si>
    <t>CAT PZ.149.21.128</t>
  </si>
  <si>
    <t>Toyota Innova Hybrid V A/T - Silver</t>
  </si>
  <si>
    <t>toyota Veloz A/T - Silver</t>
  </si>
  <si>
    <t>Toyota TSS A/T - silver</t>
  </si>
  <si>
    <t>Toyota Non TSS A/T - silver</t>
  </si>
  <si>
    <t>Mitsubishi Pajero GLX 4x4 MT - Putih</t>
  </si>
  <si>
    <t>TRUCK IVECO</t>
  </si>
  <si>
    <t>PROJECTOR LCD EPSON EB-972</t>
  </si>
  <si>
    <t>POLISHER MACHINE KW1800303</t>
  </si>
  <si>
    <t>- T. Vios G CVT – silver Banjarmasin</t>
  </si>
  <si>
    <t>T.VIOS G CVT - SILVER BATU LICIN</t>
  </si>
  <si>
    <t>Component box 130x76x50 cm</t>
  </si>
  <si>
    <t>Sika Deck Seal</t>
  </si>
  <si>
    <t>PLASTIC COVER 0,8 MM @ 25 MTR</t>
  </si>
  <si>
    <t>Converter Modbus to TCP IP</t>
  </si>
  <si>
    <t>CAT Product Link 444 Kit</t>
  </si>
  <si>
    <t>FLYER A4 (4/4) - QTY 200</t>
  </si>
  <si>
    <t>TINCAN</t>
  </si>
  <si>
    <t>Printer Epson L5290</t>
  </si>
  <si>
    <t>Printer Epson Dot Matix LQ2190</t>
  </si>
  <si>
    <t>RFID Door Access</t>
  </si>
  <si>
    <t>Cat Shoes Ally CT WP</t>
  </si>
  <si>
    <t>COBRA THINNER 5 LTR HITAM (5 LTR/ CAN)</t>
  </si>
  <si>
    <t>COBRA THINNER 5 LTR MERAH (5 LTR/ CAN)</t>
  </si>
  <si>
    <t>Strapping Band Dispenser</t>
  </si>
  <si>
    <t>Battery Powered Strapping Tool</t>
  </si>
  <si>
    <t>Polyester Strapping Band</t>
  </si>
  <si>
    <t>CAT AK 159 25 126</t>
  </si>
  <si>
    <t>CAT LN.110.26.637</t>
  </si>
  <si>
    <t>CAT LN.160.21.232</t>
  </si>
  <si>
    <t>LIFTING GEAR RECERTIFICATION - MOM</t>
  </si>
  <si>
    <t>CAT P725303 COMPOSITE TOE SAFETY SHOES</t>
  </si>
  <si>
    <t>RED FOX BLACK SPRAY PAINT - GLOSSY</t>
  </si>
  <si>
    <t>AMPLAS GRIT 320</t>
  </si>
  <si>
    <t>ROD PROTECTOR STICK ARM CAT 395</t>
  </si>
  <si>
    <t>ROD PROTECTOR BOOM ARM CAT 395</t>
  </si>
  <si>
    <t>ROD PROTECTOR CYL BUCKET CAT 395</t>
  </si>
  <si>
    <t>COVER MUFFLER CAT 395</t>
  </si>
  <si>
    <t>SUPREME CABLE NYAF 1,5 MM2 450/750 BLACK</t>
  </si>
  <si>
    <t>SUPREME CABLE NYAF 1,5MM2 450/750 YELLOW</t>
  </si>
  <si>
    <t>SUPREME CABLE NYAF 1,5 MM2 450/750 RED</t>
  </si>
  <si>
    <t>SUPREME CABLE NYAF 1,5 MM2 450/750 BLUE</t>
  </si>
  <si>
    <t>BREATHER DC-4-PC</t>
  </si>
  <si>
    <t>Caterpillar Ally CT WP Brown (size 39)</t>
  </si>
  <si>
    <t>Excavator XL CT WP Dark Brown (size 40)</t>
  </si>
  <si>
    <t>SCALE MODEL 6060</t>
  </si>
  <si>
    <t>TUMBLER ROSWEL CAT - VACUUM FLASK</t>
  </si>
  <si>
    <t>1:50 Cat 308E2 CR SB mini hydraulic exca</t>
  </si>
  <si>
    <t>Form Gate Pass (3 ply)</t>
  </si>
  <si>
    <t>Form Log In/Out Part Number</t>
  </si>
  <si>
    <t>(A) HOUSING RACK 5000 x 700 x 400(H) mm</t>
  </si>
  <si>
    <t>MAP KUNING WITH SNELL</t>
  </si>
  <si>
    <t>Racking Front &amp; Rear Housing Engine 3500</t>
  </si>
  <si>
    <t>Trolley Bag CAT</t>
  </si>
  <si>
    <t>Metal Embossing Hand Tool</t>
  </si>
  <si>
    <t>85139 CAT C15 ACERT DIESEL ENGINE (1:12)</t>
  </si>
  <si>
    <t>Ties SS316 with coated 362L x 7.9mm</t>
  </si>
  <si>
    <t>Plate Marker SS316 (19mm x 90mm)</t>
  </si>
  <si>
    <t>CAT WATCH PU.261.12.117</t>
  </si>
  <si>
    <t>CAT WATCH LN SERIES 1</t>
  </si>
  <si>
    <t>CAT WATCH LN.160.28.138</t>
  </si>
  <si>
    <t>Sharepoint Migration.</t>
  </si>
  <si>
    <t>(A) IMPACT WRENCH 3/4 INCH</t>
  </si>
  <si>
    <t>(A) IMPACT WRENCH 1 INCH</t>
  </si>
  <si>
    <t>CAT WATCH PU SERIES 1</t>
  </si>
  <si>
    <t>THIMBLE 8MM SS 304</t>
  </si>
  <si>
    <t>GRIP ROPE 8MM SS 304</t>
  </si>
  <si>
    <t>SHACKLE DEE SS 10MM 304</t>
  </si>
  <si>
    <t>TURNBUCKLE 100MM SS HK/E</t>
  </si>
  <si>
    <t>Wire Rope 8mm 7x19 SS304</t>
  </si>
  <si>
    <t>CAT Shoes Exposition AT WP</t>
  </si>
  <si>
    <t>brake fluid</t>
  </si>
  <si>
    <t>ELEMENT</t>
  </si>
  <si>
    <t>NYLON COUPLING HOSE</t>
  </si>
  <si>
    <t>NYLON THREADED COUPLING</t>
  </si>
  <si>
    <t>GASKET FOR COUPLING</t>
  </si>
  <si>
    <t>20405 SPORTS BASEBALL CAP</t>
  </si>
  <si>
    <t>23142 BLACK CLASSIC POLO</t>
  </si>
  <si>
    <t>24007 BLACK CERAMIC MULBERRY SILK POLO</t>
  </si>
  <si>
    <t>20021 LONG SLEEEVE OXFORD MEN SHIRT</t>
  </si>
  <si>
    <t>20023 LONG SLEEEVE OXFORD LADIES SHIRT</t>
  </si>
  <si>
    <t>24448 CAR TRAVEL CUP</t>
  </si>
  <si>
    <t>24213 SLIM METAL STYLUS PEN</t>
  </si>
  <si>
    <t>24214 METAL PRESS BALLPOINT PEN</t>
  </si>
  <si>
    <t>23963 PU LOOSE-LEAF NOTEBOOK</t>
  </si>
  <si>
    <t>24455 FAST CHARGE DATA CABLE</t>
  </si>
  <si>
    <t>23773 METAL CLASP</t>
  </si>
  <si>
    <t>24443 ROPE WEAVING KEY TAG</t>
  </si>
  <si>
    <t>24466 OUTDOOR SPORTS SUNGLASSES</t>
  </si>
  <si>
    <t>24467 OUTDOOR VISOR GLASSES</t>
  </si>
  <si>
    <t>24541 INSULATED MUG</t>
  </si>
  <si>
    <t>CAT PZ.141.23.323</t>
  </si>
  <si>
    <t>CAT PZ.149.11.121</t>
  </si>
  <si>
    <t>CAT.YV.140.21.122</t>
  </si>
  <si>
    <t>NAVY POLO SHIRT WITH EMBROIDERY SLEEVE</t>
  </si>
  <si>
    <t>CAT WATCH YU.149.11.237</t>
  </si>
  <si>
    <t>PHILIPS WT008C CW L1200 PSU</t>
  </si>
  <si>
    <t>LAMPU SOROTLED CREE PORTABLE OUTDOOR 186</t>
  </si>
  <si>
    <t>LANCISC LED MAGNIFIYING LAMP 1500 LUMENS</t>
  </si>
  <si>
    <t>170 CAT P91352 COMPOSITE TOE SHOES</t>
  </si>
  <si>
    <t>SUREMARK 9511 SUSPENSION FILE</t>
  </si>
  <si>
    <t>ALFAX R125 PAPER CLIP 25MM</t>
  </si>
  <si>
    <t>MAX 351M STAPLES NO. 35-1M</t>
  </si>
  <si>
    <t>ESPP E2000FSC EXERCISE BOOK 8MM</t>
  </si>
  <si>
    <t>ENLIVO PD0673478 EXAM PAD</t>
  </si>
  <si>
    <t>SAFETY SHOES STREAMLINE LEATHER CT</t>
  </si>
  <si>
    <t>Excavator Superlite CT WPPewter</t>
  </si>
  <si>
    <t>Woodward ST Blue Night</t>
  </si>
  <si>
    <t>SAFETY SHOES CAT STREAMLINE 2.0 CT</t>
  </si>
  <si>
    <t>PILOT REFILL VB MASTER BULK PACK</t>
  </si>
  <si>
    <t>SANDBLAST STICKER</t>
  </si>
  <si>
    <t>Fire Cabinet DCP 9 Kg</t>
  </si>
  <si>
    <t>Pin Tabung Apar</t>
  </si>
  <si>
    <t>Selang Tabung 3 Kg</t>
  </si>
  <si>
    <t>Cat 982 Wheel Loader (85292)</t>
  </si>
  <si>
    <t>DIAGNOSTIC ST WP DARK BEIGE</t>
  </si>
  <si>
    <t>CAT WATCH AK.159.25.126</t>
  </si>
  <si>
    <t>Cat Exposition ST WP Pyramid</t>
  </si>
  <si>
    <t>SAP R3B (CRC enhancement)</t>
  </si>
  <si>
    <t>BANNER 2X2 METER</t>
  </si>
  <si>
    <t>BANNER 1.2X1.2 METER</t>
  </si>
  <si>
    <t>BANNER 2X1 METER</t>
  </si>
  <si>
    <t>BANNER 1X1 METER</t>
  </si>
  <si>
    <t>WHEELED JACK 100 TON</t>
  </si>
  <si>
    <t>Greenhand HC-80</t>
  </si>
  <si>
    <t>Greenwash SB-50</t>
  </si>
  <si>
    <t>Steel(CIN-1) Size 3,5 mm(Electroda Hancu</t>
  </si>
  <si>
    <t>Merchandise Automation Apps</t>
  </si>
  <si>
    <t>SIKAT KAWAT BOTOL BAJA</t>
  </si>
  <si>
    <t>Trailer Switch WiTek WI-PMS310GF-ALIEN I</t>
  </si>
  <si>
    <t>GPS Mast Plate G3101-22400, 3mm</t>
  </si>
  <si>
    <t>TIRE DP20 REAR DRIVE WITHOUT RIM</t>
  </si>
  <si>
    <t>RIM DP20 DRIVE</t>
  </si>
  <si>
    <t>TIRE DP20 REAR CASTER WITHOUT RIM</t>
  </si>
  <si>
    <t>RIM DP20 CASTER</t>
  </si>
  <si>
    <t>TIRE DP20 FRONT COMPLETE WITH RIM</t>
  </si>
  <si>
    <t>HANGING MOBILE</t>
  </si>
  <si>
    <t>(A) WOODEN CABINET 1,5MX0,5MX0,8M</t>
  </si>
  <si>
    <t>(A) 'WOODEN CABINET 2MX0,5MX0,8M</t>
  </si>
  <si>
    <t>(A) PROJECTOR SONY VPL-DX240</t>
  </si>
  <si>
    <t>Cat Shoes Excavator Superlite Thinsulate</t>
  </si>
  <si>
    <t>SHOPPING VOUCHER SODEXO @IDR 50.000</t>
  </si>
  <si>
    <t>AC RECOVERY R134a 14L AUTO-3R EPSAR 14</t>
  </si>
  <si>
    <t>CAT Shirt (Kemeja)</t>
  </si>
  <si>
    <t>Bordir Project Name</t>
  </si>
  <si>
    <t>Vending Machine</t>
  </si>
  <si>
    <t>115-1001 TDI Main Board</t>
  </si>
  <si>
    <t>Mainboard Installation</t>
  </si>
  <si>
    <t>ABRASIVE CUT-DISC (STEELOX)</t>
  </si>
  <si>
    <t>Scale Model D6 XE LGP (85554)</t>
  </si>
  <si>
    <t>Keran T drat ½</t>
  </si>
  <si>
    <t>Lampu Sorot 400 Watt Phillips</t>
  </si>
  <si>
    <t>Lampu Sorot Taman LED IP66 50 watt</t>
  </si>
  <si>
    <t>Kap Lampu Bulat Meval 8 Inch/Diameter 20</t>
  </si>
  <si>
    <t>CAT  WATCH PU.243.11.616</t>
  </si>
  <si>
    <t>SOS Handsoap 4 liter</t>
  </si>
  <si>
    <t>DETERGENT RINSO 770  GRM</t>
  </si>
  <si>
    <t>TISSUE ROLL PLENTY</t>
  </si>
  <si>
    <t>SOS Floor Cleaner 4 liter</t>
  </si>
  <si>
    <t>SAFETY SHOES CAT INVADER ST</t>
  </si>
  <si>
    <t>LEM TIKUS CAP GAJAH TUBE 100 ML</t>
  </si>
  <si>
    <t>CB.161.34.137</t>
  </si>
  <si>
    <t>“'Tire Changer Car 12-26IN EPCM25”</t>
  </si>
  <si>
    <t>SPR Single Basic Uk. 6975x2300x1000</t>
  </si>
  <si>
    <t>SPR Single Add Uk. 6975x2300x1000</t>
  </si>
  <si>
    <t>SPR Double Basic Uk. 6975x2300x1000</t>
  </si>
  <si>
    <t>SPR Double Add Uk. 6975x2300x1000</t>
  </si>
  <si>
    <t>SPR Uk. 6975x3300x1000 + Accessories</t>
  </si>
  <si>
    <t>DELL 7430 LATITUDE CTO 14" NOTEBOOK</t>
  </si>
  <si>
    <t>DELL DA310 USB-C MOBILE ADAPTER</t>
  </si>
  <si>
    <t>Cat 432F2 Backhoe Loader (85249)</t>
  </si>
  <si>
    <t>HYTORC HY-3MXT 1"</t>
  </si>
  <si>
    <t>HYTORC HY-5MXT 1-1/2"</t>
  </si>
  <si>
    <t>HYTORC LOW CLERANCE</t>
  </si>
  <si>
    <t>STEALTH-4 Ratchet Link SIZE 46 MM</t>
  </si>
  <si>
    <t>STEALTH-4 Ratchet Link SIZE 55 MM</t>
  </si>
  <si>
    <t>HY-230-2-4S 4-STAGE ELECTRIC PUMP</t>
  </si>
  <si>
    <t>TWIN HOSE HYDRAULIC MAX PRESSURE 700 BAR</t>
  </si>
  <si>
    <t>2"x8' NylonBridle Sling2Ply w/Sling Hook</t>
  </si>
  <si>
    <t>Steel Lifting Sling Hook</t>
  </si>
  <si>
    <t>Chain Sling Hooks and Fittings 2ton</t>
  </si>
  <si>
    <t>15’’ HeavyDuty LongJHook-Grade80 1/2’’</t>
  </si>
  <si>
    <t>Shackles 2 ton</t>
  </si>
  <si>
    <t>Nylon Bridle Sling 2Ply w/Sling "8" Hook</t>
  </si>
  <si>
    <t>Samsung Galaxy A13 4/128GB</t>
  </si>
  <si>
    <t>CAT PZ.141.11.121</t>
  </si>
  <si>
    <t>Petunjuk Arah Angin/Windsock</t>
  </si>
  <si>
    <t>PHANTOM RJP</t>
  </si>
  <si>
    <t>N2406</t>
  </si>
  <si>
    <t>Plastic Clip 16X25</t>
  </si>
  <si>
    <t>Plastic Clip 12X20</t>
  </si>
  <si>
    <t>OFFICE CABINET FOR T3 MEETING ROOM</t>
  </si>
  <si>
    <t>Cetak Poster A3 70 gr</t>
  </si>
  <si>
    <t>Cetak Poster A5 70 gr</t>
  </si>
  <si>
    <t>Cetak Poster A6 70 gr</t>
  </si>
  <si>
    <t>ACRYLIC 25 x 15 x 18 Leather</t>
  </si>
  <si>
    <t>ACRYLIC 25 x 20 x 20 Leather</t>
  </si>
  <si>
    <t>ACRYLIC 20 x 12 x 12 Beludru</t>
  </si>
  <si>
    <t>ACRYLIC 25 x 15 x 18 Beludru</t>
  </si>
  <si>
    <t>ACRYLIC 43 x 36 x 20 Beludru</t>
  </si>
  <si>
    <t>ACRYLIC 25 x 20 x 20 Beludru</t>
  </si>
  <si>
    <t>Cetak Spanduk Ukuran 1 x 5 meter</t>
  </si>
  <si>
    <t>Spanduk Uk. 5x1 meter</t>
  </si>
  <si>
    <t>Spanduk Uk. 4x1 meter</t>
  </si>
  <si>
    <t>CAT AJ.161.21.128</t>
  </si>
  <si>
    <t>CAT (1:50) 18M3 Motor Grader (85521)</t>
  </si>
  <si>
    <t>CAT (1:50) 308E2 CR SB mini hydraulic ex</t>
  </si>
  <si>
    <t>CUTTING TIP ACETYLENE CHIYODA NO 4</t>
  </si>
  <si>
    <t>Resibon Super Cut ( RSC ) 4" inch ( 100x</t>
  </si>
  <si>
    <t>GLUE AICA AIBON 700 GRAM</t>
  </si>
  <si>
    <t>Tali Straping Band Besi Plat 19mm (3/4")</t>
  </si>
  <si>
    <t>LIQUEFIED PETROLEUM GAS (LPG) REFILL 5,5</t>
  </si>
  <si>
    <t>RULER STEEL (BAJA) 15CM</t>
  </si>
  <si>
    <t>RB26 x 3.2mm Electrode</t>
  </si>
  <si>
    <t>PALU TEMBAGA 5 KG WIPRO</t>
  </si>
  <si>
    <t>Topi Hitam Kanvas Trakindo Rental</t>
  </si>
  <si>
    <t>Polo Shirt Hitam Trakindo Rental</t>
  </si>
  <si>
    <t>T-Shirt Hitam Trakindo Rental</t>
  </si>
  <si>
    <t>Tumbler Subway Trakindo Rental</t>
  </si>
  <si>
    <t>T-Shirt Krem Trakindo Rental</t>
  </si>
  <si>
    <t>225MI FELLOWES POWERSHRED SHREDDER</t>
  </si>
  <si>
    <t>Belden 3076F</t>
  </si>
  <si>
    <t>KMI NYRGbY Cable</t>
  </si>
  <si>
    <t>Power Bulk Head Connector</t>
  </si>
  <si>
    <t>Eaton Redapt M20 Nylon Breather</t>
  </si>
  <si>
    <t>Nylon Cable Gland</t>
  </si>
  <si>
    <t>Clipsal Gland White 25 mm</t>
  </si>
  <si>
    <t>Clipsal Gland 20 mm</t>
  </si>
  <si>
    <t>Boss Corrugated Conduit</t>
  </si>
  <si>
    <t>Belden Cat 6 Pass Through RJ45</t>
  </si>
  <si>
    <t>Terminal Block</t>
  </si>
  <si>
    <t>Bolt M10 x 100 SS316 HEX</t>
  </si>
  <si>
    <t>Bolt M6 x 50 SS316 HEX</t>
  </si>
  <si>
    <t>Bolt M4 x 20 SS316 HEX</t>
  </si>
  <si>
    <t>Flat Washer M10. SS316</t>
  </si>
  <si>
    <t>Flat Washer M6. SS316</t>
  </si>
  <si>
    <t>Nut M10. SS316 HEX</t>
  </si>
  <si>
    <t>Nylon Lock Nut M10. SS304 HEX</t>
  </si>
  <si>
    <t>Nylon Lock Nut M6. SS304 HEX</t>
  </si>
  <si>
    <t>Nylon Lock Nut M4. SS304 HEX</t>
  </si>
  <si>
    <t>Spring Washer M10. SS316</t>
  </si>
  <si>
    <t>Spring Washer M6. SS316</t>
  </si>
  <si>
    <t>Spring Washer M4. SS316</t>
  </si>
  <si>
    <t>Rubber Washer (Gasket) M10 (1 Pack = 100</t>
  </si>
  <si>
    <t>ME4 Side Bolt</t>
  </si>
  <si>
    <t>Jumbo Roll Shop Towel</t>
  </si>
  <si>
    <t>Towel Holder</t>
  </si>
  <si>
    <t>Nicholex Cable Ties Red 5 x 250 mm. (1 P</t>
  </si>
  <si>
    <t>Nicholex Cable Ties Yellow 5 x 250 mm. (</t>
  </si>
  <si>
    <t>Nicholex Cable Ties Green 5 x 250 mm. (1</t>
  </si>
  <si>
    <t>Trophy SHE Performance</t>
  </si>
  <si>
    <t>Sticker Logo "Trakindo CAT" (40 x 10 cm)</t>
  </si>
  <si>
    <t>Sticker Logo "Trakindo CAT" (48 x 12 cm)</t>
  </si>
  <si>
    <t>CAT LO.111.21.118</t>
  </si>
  <si>
    <t>CAT LO.111.25.115</t>
  </si>
  <si>
    <t>CAT LO.111.21.112</t>
  </si>
  <si>
    <t>CAT LO.131.23.317</t>
  </si>
  <si>
    <t>CAT LO.111.27.137</t>
  </si>
  <si>
    <t>CAT LO.111.21.137</t>
  </si>
  <si>
    <t>CAT LO.111.21.711</t>
  </si>
  <si>
    <t>CAT LO.111.26.116</t>
  </si>
  <si>
    <t>CAT LN.170.21.137</t>
  </si>
  <si>
    <t>(A) NVR 32 CHANNEL</t>
  </si>
  <si>
    <t>Flat Washer M4SS316</t>
  </si>
  <si>
    <t>Tumbler Subway</t>
  </si>
  <si>
    <t>Parker Jotter Stainless Steel GT</t>
  </si>
  <si>
    <t>Kartu Ucapan uk. A5</t>
  </si>
  <si>
    <t>Hard Box Pulpen Jotter CAT</t>
  </si>
  <si>
    <t>sticker Botol SOS HP-427</t>
  </si>
  <si>
    <t>Tagging SOS HP-427</t>
  </si>
  <si>
    <t>Notebook Trakindo Rental</t>
  </si>
  <si>
    <t>Pulpen Trakindo Rental</t>
  </si>
  <si>
    <t>Payung Golf Fiber Trakindo Rental</t>
  </si>
  <si>
    <t>GOODIE BAG TRAKINDO RENTAL LARGE</t>
  </si>
  <si>
    <t>Polo Dryfit Hitam Trakindo Rental</t>
  </si>
  <si>
    <t>WELDING ELECTRODES RB 26 2,6 MM</t>
  </si>
  <si>
    <t>WELDING ELECTRODES RB 26 3,2 MM</t>
  </si>
  <si>
    <t>WELDING ELECTRODES RB 26 4 MM</t>
  </si>
  <si>
    <t>TBA firefly Tbl 1 mm</t>
  </si>
  <si>
    <t>Hollow punch Set</t>
  </si>
  <si>
    <t>CAT Jam Tangan LO.111.21.118</t>
  </si>
  <si>
    <t>CAT Jam Tangan OP. 167.27.247</t>
  </si>
  <si>
    <t>CAT Jam Tangan LK. 171.27.117</t>
  </si>
  <si>
    <t>Video Profile UE / CCE Trakindo</t>
  </si>
  <si>
    <t>Waist Bag Trakindo CAT</t>
  </si>
  <si>
    <t>Phone Holder Rubber Trakindo CAT</t>
  </si>
  <si>
    <t>P/N 110-1002 – Load Cell</t>
  </si>
  <si>
    <t>OFFICE MEETING TABLE FOR T3 MEETING ROOM</t>
  </si>
  <si>
    <t>OFFICE CHAIRS FOR T3 MEETING ROOM</t>
  </si>
  <si>
    <t>OFFICE LOUNGE CHAIRS FOR T3 MEETING ROOM</t>
  </si>
  <si>
    <t>Jaket Reversible Hitam Trakindo Rental</t>
  </si>
  <si>
    <t>Tumbler VF – 0008 Trakindo Rental</t>
  </si>
  <si>
    <t>SULLAIR COMPRESSOR</t>
  </si>
  <si>
    <t>N1106</t>
  </si>
  <si>
    <t>CHINESE NEW YEAR CARD 2023 #75921</t>
  </si>
  <si>
    <t>iPhone 14 Plus 256GB</t>
  </si>
  <si>
    <t>Bracket SB2212000034301</t>
  </si>
  <si>
    <t>Bracket SB2212000034302</t>
  </si>
  <si>
    <t>Bracket SB2212000034303</t>
  </si>
  <si>
    <t>Bracket SB2212000034304</t>
  </si>
  <si>
    <t>Bracket SB22120000344309</t>
  </si>
  <si>
    <t>Top Mast Assy SB2212000034309</t>
  </si>
  <si>
    <t>SSL Certificate</t>
  </si>
  <si>
    <t>Employee Account</t>
  </si>
  <si>
    <t>Mast ID Bar</t>
  </si>
  <si>
    <t>Mast ID Plate</t>
  </si>
  <si>
    <t>GPS Mast Plate G3101</t>
  </si>
  <si>
    <t>Lampu Heater Generator Bohlam 500W</t>
  </si>
  <si>
    <t>LAMPU PHILIPS ESSENTIAL 18 WATT</t>
  </si>
  <si>
    <t>LAMPU PHILIPS PL-C ECOTONE 13 WATT</t>
  </si>
  <si>
    <t>SSK MONTANA BLACK 218064 NO 5</t>
  </si>
  <si>
    <t>SSK MONTANA BLACK 218064 NO 6</t>
  </si>
  <si>
    <t>SSK MONTANA BLACK 218064 NO 7</t>
  </si>
  <si>
    <t>SSK MONTANA BLACK 218064 NO 8</t>
  </si>
  <si>
    <t>SSK MONTANA BLACK 218064 NO 9</t>
  </si>
  <si>
    <t>SSK MONTANA BLACK 218064 NO 10</t>
  </si>
  <si>
    <t>SSK MONTANA BLACK 218064 NO 11</t>
  </si>
  <si>
    <t>SSK MONTANA BLACK 218064 NO 12</t>
  </si>
  <si>
    <t>SSK MONTANA BLACK 218064 NO 13</t>
  </si>
  <si>
    <t>HD Converter VGA to HDMI</t>
  </si>
  <si>
    <t>MAGNET SHEET</t>
  </si>
  <si>
    <t>HeatShirnk Kecil (0,8)</t>
  </si>
  <si>
    <t>HeatShirnk Sedang (10/5)</t>
  </si>
  <si>
    <t>HeatShirnk Besar</t>
  </si>
  <si>
    <t>CLAMP KECIL 10MM - 25 MM</t>
  </si>
  <si>
    <t>CLAMP SEDANG 18MM-32 MM</t>
  </si>
  <si>
    <t>CLAMP BESAR 44MM - 64MM</t>
  </si>
  <si>
    <t>STORE SLIP REQUEST 4.24</t>
  </si>
  <si>
    <t>STORE SLIP REQUEST</t>
  </si>
  <si>
    <t>GERINDA AMPLAS 4</t>
  </si>
  <si>
    <t>ERB C SERIES</t>
  </si>
  <si>
    <t>ERB G3400 SERIES</t>
  </si>
  <si>
    <t>CAT SJ.141.21.137</t>
  </si>
  <si>
    <t>Cable Scun No.2</t>
  </si>
  <si>
    <t>Cable Scun No.1</t>
  </si>
  <si>
    <t>Cable Scun No.3</t>
  </si>
  <si>
    <t>Cable Scun No.4</t>
  </si>
  <si>
    <t>Cable Scun No.5</t>
  </si>
  <si>
    <t>Cable Scun No.6</t>
  </si>
  <si>
    <t>Cable Scun No.7</t>
  </si>
  <si>
    <t>Cable Scun No.8</t>
  </si>
  <si>
    <t>Cable Scun No.9</t>
  </si>
  <si>
    <t>Cable Scun No.10</t>
  </si>
  <si>
    <t>Cable Scun No.11</t>
  </si>
  <si>
    <t>Cable Scun No.12</t>
  </si>
  <si>
    <t>Cable Scun No.13</t>
  </si>
  <si>
    <t>Cable Scun No.14</t>
  </si>
  <si>
    <t>ISR HO (Gd. TMT)</t>
  </si>
  <si>
    <t>N1205</t>
  </si>
  <si>
    <t>ISR Samarinda (Sanga-sanga)</t>
  </si>
  <si>
    <t>ISR Sangatta</t>
  </si>
  <si>
    <t>SAMSUNG GALAXY TAB A8 LTE</t>
  </si>
  <si>
    <t>Plastic Shrink Wrap (Size : Lebar 1,5 /</t>
  </si>
  <si>
    <t>Plastic Shrink Wrap (Size : Lebar 0,5 /</t>
  </si>
  <si>
    <t>Cable Ties 25 cm</t>
  </si>
  <si>
    <t>Cable Ties 30 cm</t>
  </si>
  <si>
    <t>Cable Ties 40 cm</t>
  </si>
  <si>
    <t>Cable Ties 55 cm</t>
  </si>
  <si>
    <t>TU OS Upgrade Plan – SEP EOS</t>
  </si>
  <si>
    <t>STRAPPING NOTEBOOK</t>
  </si>
  <si>
    <t>CUTTING TORCH CHYODA STONG 8</t>
  </si>
  <si>
    <t>LED PHILIPS BVP 176 (500 WATT)</t>
  </si>
  <si>
    <t>Evoucher MAP 500K</t>
  </si>
  <si>
    <t>e-VOUCHER INDOMARET 100.000</t>
  </si>
  <si>
    <t>e-VOUCHER INDOMARET 50.000</t>
  </si>
  <si>
    <t>RTD OMRON E5CSZ-R1T</t>
  </si>
  <si>
    <t>INFRARED THERMOMETER CAT 1U8865</t>
  </si>
  <si>
    <t>PRESSURE TEST GAUGE 3D INSTRUMENTS</t>
  </si>
  <si>
    <t>TEMPERATURE CALIBRATOR HART SCIENTI 9141</t>
  </si>
  <si>
    <t>MEGGER DIGITAL TESTER BM 222</t>
  </si>
  <si>
    <t>POWERLOGIC PM5110 POWER METER</t>
  </si>
  <si>
    <t>PELAMPUNG CLOSED/TOTO</t>
  </si>
  <si>
    <t>LAMPU SOROT 7 WATT INP1605</t>
  </si>
  <si>
    <t>CAT 793F MINE DUMP NOR55273</t>
  </si>
  <si>
    <t>CAT MIRAGE VAC METAL BOTTLE</t>
  </si>
  <si>
    <t>CAT DRAWSTRING BACKPACK</t>
  </si>
  <si>
    <t>BATTERY TYPE 18650 LAMP LED</t>
  </si>
  <si>
    <t>LAMPU HEATER GENERATOR BOHLAM 500W</t>
  </si>
  <si>
    <t>BESI HOLLOW 40MM X 60MM X 2MM</t>
  </si>
  <si>
    <t>Loctite Blue 242 50ml</t>
  </si>
  <si>
    <t>Isopropyl Alcohol 99% 1liter</t>
  </si>
  <si>
    <t>SSP HD Plastic Roll 25 x 40 CM</t>
  </si>
  <si>
    <t>Bosch Cutting Wheel A60TBF</t>
  </si>
  <si>
    <t>Bosch Inox grinding wheel WA60BF</t>
  </si>
  <si>
    <t>Sharpie Fine Point Permanent 37113</t>
  </si>
  <si>
    <t>PaperOne A4 80 GSM (1 box isi 5 rim)</t>
  </si>
  <si>
    <t>Joyko Staples No. 10S (1 Pack isi 20)</t>
  </si>
  <si>
    <t>Epson Ink 003 for L1250 (CMYK)</t>
  </si>
  <si>
    <t>Brother Label Tape DK-22205</t>
  </si>
  <si>
    <t>Tesa Loom Tape 19mm X 25m  51608</t>
  </si>
  <si>
    <t>METS3-X 316 Stainless Steel (10 roll)</t>
  </si>
  <si>
    <t>ST2MT Installation Tools Cable Tie</t>
  </si>
  <si>
    <t>Samsung Galaxy A73</t>
  </si>
  <si>
    <t>Samsung Galaxy Tab S8</t>
  </si>
  <si>
    <t>Laptop Lenovo</t>
  </si>
  <si>
    <t>FORM JOB ASSIGNMENT</t>
  </si>
  <si>
    <t>Iphone 14, 256GB</t>
  </si>
  <si>
    <t>Paper Bag Merah CAT</t>
  </si>
  <si>
    <t>Sodexo epass 500.000</t>
  </si>
  <si>
    <t>309CR Mini Hydraulic Exca-Next Gen 85592</t>
  </si>
  <si>
    <t>323 Hydraulic Exca - Next Gen (85657)</t>
  </si>
  <si>
    <t>CAT SJ.141.11.631</t>
  </si>
  <si>
    <t>CAT SJ.141.11.731</t>
  </si>
  <si>
    <t>CAT PZ.141.21.727</t>
  </si>
  <si>
    <t>Combination Wrench Pouch for 14 Pcs</t>
  </si>
  <si>
    <t>CAT LO.111.21.211</t>
  </si>
  <si>
    <t>Metall Clean 164 PC (25KG)</t>
  </si>
  <si>
    <t>Kabel power warna black</t>
  </si>
  <si>
    <t>Kabel power warna Blue</t>
  </si>
  <si>
    <t>Kabel power warna dark green</t>
  </si>
  <si>
    <t>Kabel power warna dark orange</t>
  </si>
  <si>
    <t>Kabel power warna yellow</t>
  </si>
  <si>
    <t>Kabel power warna red</t>
  </si>
  <si>
    <t>Kabel power warna white</t>
  </si>
  <si>
    <t>85959 CAT 395 LARGE HYDRAULIC EXC (1:50)</t>
  </si>
  <si>
    <t>CAT.AO.147.21.141</t>
  </si>
  <si>
    <t>CAT.AO.197.21.141</t>
  </si>
  <si>
    <t>BRASS PLATE WITH COMPANY LOGO</t>
  </si>
  <si>
    <t>Bracket TV Standing Adjustable</t>
  </si>
  <si>
    <t>Lever Block Krisstech 1.5 T 1.5 M</t>
  </si>
  <si>
    <t>Lever Block Krisstech 3 T 1.5 M</t>
  </si>
  <si>
    <t>Socket Set 3/4 inch 18 Pcs 19-50 mm</t>
  </si>
  <si>
    <t>Shackle ukuran 3/8" 1 T</t>
  </si>
  <si>
    <t>Shackle ukuran 1/2" 2 T</t>
  </si>
  <si>
    <t>Shackle ukuran 5/8" 3.25 T</t>
  </si>
  <si>
    <t>Shackle ukuran 7/8" 6.5 T</t>
  </si>
  <si>
    <t>Shackle ukuran 1" 8.5 T</t>
  </si>
  <si>
    <t>Shackle ukuran 1-1/8" 9.5 T</t>
  </si>
  <si>
    <t>Shackle ukuran 1-1/4" 12 T</t>
  </si>
  <si>
    <t>Shackle ukuran 1-1/2" 17 T</t>
  </si>
  <si>
    <t>Box Acrylic P40cmxL25cmxT25cmxT3mm</t>
  </si>
  <si>
    <t>Box Container 50L (515X385X345MM)</t>
  </si>
  <si>
    <t>Plastic Mika Lentur T-0.4 MM L-122 CM</t>
  </si>
  <si>
    <t>Shopping Basket Lion Star B-16</t>
  </si>
  <si>
    <t>REFILL PLEDGE</t>
  </si>
  <si>
    <t>BAGUS KAPUR AJAIB</t>
  </si>
  <si>
    <t>GRAMOXONE</t>
  </si>
  <si>
    <t>NYLON FOR BRUSH CUTTER</t>
  </si>
  <si>
    <t>RADIUS GAUGE</t>
  </si>
  <si>
    <t>POLO DRYFIT TRAKINDO CAT + CX WHITE</t>
  </si>
  <si>
    <t>POLO DRYFIT CAT + CX BLACK</t>
  </si>
  <si>
    <t>PENDULUM</t>
  </si>
  <si>
    <t>RPA CRM MKT Program Selling Price</t>
  </si>
  <si>
    <t>CR PINS Automation</t>
  </si>
  <si>
    <t>CAT Watch CITIZEN  2415</t>
  </si>
  <si>
    <t>Iphone14 PRO MAX 256GB</t>
  </si>
  <si>
    <t>BEAUTEX PREMIUM TISSUE BOX</t>
  </si>
  <si>
    <t>CAT EA.188.63.638</t>
  </si>
  <si>
    <t>ENGINE SECTION TAG</t>
  </si>
  <si>
    <t>Digital KIOSK Android</t>
  </si>
  <si>
    <t>REPLACEMENT OF BATTERY COMPONENTS</t>
  </si>
  <si>
    <t>CAT C32B SCALE MODEL MARINE ENGINE 1:12</t>
  </si>
  <si>
    <t>CAT D11T SCALE MODEL TRACK-TYPE TRACTOR</t>
  </si>
  <si>
    <t>PC4055PLASTIC BAGCLIP40X55,100LBR/PACK</t>
  </si>
  <si>
    <t>CAT WATCH SJ.161.23.133</t>
  </si>
  <si>
    <t>CABLE TIES PTTU RED</t>
  </si>
  <si>
    <t>CABLE TIES PTTU BLUE</t>
  </si>
  <si>
    <t>CABLE TIES PTTU GREEN</t>
  </si>
  <si>
    <t>CABLE TIES PTTU YELLOW</t>
  </si>
  <si>
    <t>Camera Canon Powershoot SX70HS</t>
  </si>
  <si>
    <t>CAT GREY VEST</t>
  </si>
  <si>
    <t>CAT SAFETY VEST</t>
  </si>
  <si>
    <t>CAT GOLF TEE PACK</t>
  </si>
  <si>
    <t>CAT GOLF BALL TITLEIST 3PCS</t>
  </si>
  <si>
    <t>AMT Upgrade</t>
  </si>
  <si>
    <t>S845 SELF INK STAMP (23X68MM)</t>
  </si>
  <si>
    <t>S842 SELF INK STAMP</t>
  </si>
  <si>
    <t>R524 SELF INK STAMP (22MM)</t>
  </si>
  <si>
    <t>SIGN SAFETY  29 X 20 INCH</t>
  </si>
  <si>
    <t>SIGN SAFETY  14 X 20 INCH</t>
  </si>
  <si>
    <t>SIGN SAFETY  14 X 20 INCH (INCLUDE STAND</t>
  </si>
  <si>
    <t>SIGN SAFETY  10 X 10 INCH</t>
  </si>
  <si>
    <t>PLAKAT</t>
  </si>
  <si>
    <t>Kikir Flat Smooth (Halus)</t>
  </si>
  <si>
    <t>Kikir Flat 2nd Cut (Medium)</t>
  </si>
  <si>
    <t>Kikir Flat Bastard (Kasar)</t>
  </si>
  <si>
    <t>DELL DOCKING STATION WD19S (180W)</t>
  </si>
  <si>
    <t>P91352 CAT 2.0 MESH COMPOSITE SHOES</t>
  </si>
  <si>
    <t>Ragum 8 Inc</t>
  </si>
  <si>
    <t>CAT WATCH LO.111.21.111</t>
  </si>
  <si>
    <t>LAMP TL PHILIPS 8 WATT</t>
  </si>
  <si>
    <t>CAT (1:50)725 Articulated Truck (85073C)</t>
  </si>
  <si>
    <t>CAT (1:50) 308C Mini Hydraulic Excavator</t>
  </si>
  <si>
    <t>CAT (1:50) 330D L Hydra Exca w/ Shear (8</t>
  </si>
  <si>
    <t>E-Voucher @ Rp 7,250,000</t>
  </si>
  <si>
    <t>E-Voucher @ Rp 11,000,000</t>
  </si>
  <si>
    <t>E-Voucher @ Rp 35,000,000</t>
  </si>
  <si>
    <t>Aplikasi Document Collection Leasing</t>
  </si>
  <si>
    <t>CAT PZ.159.28.929</t>
  </si>
  <si>
    <t>CAT (1:50) Cat D6 XW SU Track Type Tract</t>
  </si>
  <si>
    <t>CAT WATCH LP SERIES 1</t>
  </si>
  <si>
    <t>CAT LP.160.21.531</t>
  </si>
  <si>
    <t>CAT LP.160.27.131</t>
  </si>
  <si>
    <t>KERTAS LINENUKURAN A4</t>
  </si>
  <si>
    <t>Akses Gate PDI - TC</t>
  </si>
  <si>
    <t>LAMPU PJU</t>
  </si>
  <si>
    <t>TIRE DP50 7.00-12 T-900 16P Set TubeFlap</t>
  </si>
  <si>
    <t>Gloves Ansell Impact gloves Ringers R065</t>
  </si>
  <si>
    <t>Gloves Ansell Oil repellence gloves Edge</t>
  </si>
  <si>
    <t>Gloves Ansell Chemical gloves 37-175</t>
  </si>
  <si>
    <t>Gloves Ansell Chem Cut resist Alp 58-735</t>
  </si>
  <si>
    <t>(A) LCD Projector</t>
  </si>
  <si>
    <t>HP SMART TANK 515</t>
  </si>
  <si>
    <t>HAND TRUCK 700kg</t>
  </si>
  <si>
    <t>STACKER SEMI ELECTRIC</t>
  </si>
  <si>
    <t>N0603</t>
  </si>
  <si>
    <t>ELECTRONIC PLATFORM SCALE</t>
  </si>
  <si>
    <t>Metal cutting saw Slugger</t>
  </si>
  <si>
    <t>HYDRANT MAINTENANCE</t>
  </si>
  <si>
    <t>FRAME PALLET</t>
  </si>
  <si>
    <t>ELECTRIC TORQUE</t>
  </si>
  <si>
    <t>BATTERY ANALYZER</t>
  </si>
  <si>
    <t>LIFTING CHAIN 1 TON</t>
  </si>
  <si>
    <t>Kofax - Sharepoint Migration</t>
  </si>
  <si>
    <t>EVOUCHER INDOMARET 100K (BRANCH)</t>
  </si>
  <si>
    <t>EVOUCHER INDOMARET 50K (BRANCH)</t>
  </si>
  <si>
    <t>DUST BIN NEO GREEN 240L WITH YELLOW LID</t>
  </si>
  <si>
    <t>DUST BIN NEO GREY 240L WITH YELLOW LID</t>
  </si>
  <si>
    <t>DUST BIN NEO RED 240L WITH YELLOW LID</t>
  </si>
  <si>
    <t>GOLDBAR 3 GRAM</t>
  </si>
  <si>
    <t>CAT WATCH LP.150.25.131</t>
  </si>
  <si>
    <t>CAT WATCH LP.160.21.531</t>
  </si>
  <si>
    <t>CAT WATCH LP.160.27.131</t>
  </si>
  <si>
    <t>Rak 4 Susun</t>
  </si>
  <si>
    <t>Scale Model CAT 12M3 Motor Grader (1:50)</t>
  </si>
  <si>
    <t>Scale Model CAT D6 Black Version (1:50)</t>
  </si>
  <si>
    <t>AC DAIKIN CEILING</t>
  </si>
  <si>
    <t>Lampu Philips 2000 Watt P/N: MHN-SA</t>
  </si>
  <si>
    <t>Ballast 2000 Watt</t>
  </si>
  <si>
    <t>CAT G3616 GAS COMPRESSION ENGINE</t>
  </si>
  <si>
    <t>Pin Peniti 7,5 cm</t>
  </si>
  <si>
    <t>CAT WATCH AM.141.11.129</t>
  </si>
  <si>
    <t>CAT SJ.141.11.131</t>
  </si>
  <si>
    <t>CAT 07.149.21.121</t>
  </si>
  <si>
    <t>CAT KO.111.21.137</t>
  </si>
  <si>
    <t>Lampu Philips 1000 Watt P/N: HPI-T</t>
  </si>
  <si>
    <t>Safety Fire Cabinet</t>
  </si>
  <si>
    <t>CARTRIDGE FUJI XEROX CT202265 CYAN</t>
  </si>
  <si>
    <t>Set top Box TV</t>
  </si>
  <si>
    <t>Antena TV Digital Analog Indoor</t>
  </si>
  <si>
    <t>FACE SHIELD BLUE EAGLE DARK GREEN</t>
  </si>
  <si>
    <t>CAT 740B Articulated Truck (1:50)</t>
  </si>
  <si>
    <t>CAT AD.143.11.131</t>
  </si>
  <si>
    <t>CAT PZ.149.11.626</t>
  </si>
  <si>
    <t>SAFETY SHOE CAT CALYBRATE ST</t>
  </si>
  <si>
    <t>SAFETY SHOE CAT PROVOKE AT WP</t>
  </si>
  <si>
    <t>NESTA TEH TARIK</t>
  </si>
  <si>
    <t>ZIPLOCK 10" X 16"</t>
  </si>
  <si>
    <t>M&amp;G RETRACTABLE GEL PEN (BLUE 0.5MM)</t>
  </si>
  <si>
    <t>PVC L SHAPE FOLDER (A4 - 50's)</t>
  </si>
  <si>
    <t>PVC CLIPBOARD (BLUE - LYRECO)</t>
  </si>
  <si>
    <t>POSTER WITH MATTE LAMINATION</t>
  </si>
  <si>
    <t>PRINTER POSTER WITH MATTE LAMINATION</t>
  </si>
  <si>
    <t>NAME TAG HOLDER</t>
  </si>
  <si>
    <t>50W HALOGEN BULB</t>
  </si>
  <si>
    <t>N1707</t>
  </si>
  <si>
    <t>HALOGEN BULB HOLDER</t>
  </si>
  <si>
    <t>50W HALOGEN LIGHT FITTINH BALLAST</t>
  </si>
  <si>
    <t>8W T5, 2FT LED SLIM-TYPE LIGHT FITTING</t>
  </si>
  <si>
    <t>F4720057 FILTER COFFEE MAKER</t>
  </si>
  <si>
    <t>013878 SINGAPORE SCENES PLATE MD</t>
  </si>
  <si>
    <t>COLOUR PRINTING (LONG SERVICE)</t>
  </si>
  <si>
    <t>18TONNE SWL, 2M &amp; 2 LEG CHAIN SLING</t>
  </si>
  <si>
    <t>Women Black Charcoal</t>
  </si>
  <si>
    <t>Charge AT WP Brown Sugar</t>
  </si>
  <si>
    <t>Birmingham ST Brown</t>
  </si>
  <si>
    <t>Samsung Galaxy Watch 5 Pro (Black)</t>
  </si>
  <si>
    <t>Samsung Galaxy Watch 5 Pro (Gray)</t>
  </si>
  <si>
    <t>GWS 9-100 P (GRINDING 4 BOSCH)</t>
  </si>
  <si>
    <t>SIRLAK SPRAY</t>
  </si>
  <si>
    <t>Beras Topi Koki Premium</t>
  </si>
  <si>
    <t>Sovia Minya Goreng 5 L</t>
  </si>
  <si>
    <t>Indomie Mie Goreng</t>
  </si>
  <si>
    <t>ABC Sarden 155 G (3Kaleng)</t>
  </si>
  <si>
    <t>SGM 3+ 900G</t>
  </si>
  <si>
    <t>SGM 1+ Vanilla 900 g</t>
  </si>
  <si>
    <t>Selimut Karakter Tas</t>
  </si>
  <si>
    <t>Protex Soft Care Maxi 8P</t>
  </si>
  <si>
    <t>WRITING PAD A5 LOGO TU (50 SHEET)</t>
  </si>
  <si>
    <t>STAND ENGINE</t>
  </si>
  <si>
    <t>AMPERE METER</t>
  </si>
  <si>
    <t>FLUKE 87V</t>
  </si>
  <si>
    <t>Upholder ST WP</t>
  </si>
  <si>
    <t>(A) POWER PACK ATTACHMENTLED</t>
  </si>
  <si>
    <t>GOLDBAR 2 GRAM</t>
  </si>
  <si>
    <t>CAT LN.130.23.133</t>
  </si>
  <si>
    <t>CAT LN.160.27.137</t>
  </si>
  <si>
    <t>CAT MA.155.25.534</t>
  </si>
  <si>
    <t>CAT MA.155.27.137</t>
  </si>
  <si>
    <t>Iphone 14 Pro 256GB</t>
  </si>
  <si>
    <t>Apple Watch series 7</t>
  </si>
  <si>
    <t>Dynamic Cone Penetrometer</t>
  </si>
  <si>
    <t>CAT Safety Shoes Accomplice XST WP Size</t>
  </si>
  <si>
    <t>Bucket Wringer</t>
  </si>
  <si>
    <t>(A) AKB SDW  9 ( L=710 )</t>
  </si>
  <si>
    <t>(A) AKB SDW  9 ( L= 1010 )</t>
  </si>
  <si>
    <t>(A) AKB SDW 9 (L=710) Mezanine</t>
  </si>
  <si>
    <t>(A) AKB SDW 9 (L=1010) Mezanine</t>
  </si>
  <si>
    <t>(A) AKB SDW 18 ( L=  710 )</t>
  </si>
  <si>
    <t>(A) AKB SDW 18 ( L= 1010 )</t>
  </si>
  <si>
    <t>(A) AKB WBD 42</t>
  </si>
  <si>
    <t>(A) AKB WBD 55</t>
  </si>
  <si>
    <t>(A) AKB WBD 56</t>
  </si>
  <si>
    <t>(A) AKB WBD 64</t>
  </si>
  <si>
    <t>(A) AKB WBD 66</t>
  </si>
  <si>
    <t>(A) AKB WBD 88</t>
  </si>
  <si>
    <t>(A) AKB WBDC 50</t>
  </si>
  <si>
    <t>(A) AKB WBDC 82</t>
  </si>
  <si>
    <t>(A) AKB WBDCP 33</t>
  </si>
  <si>
    <t>(A) AKB WBDCP 50</t>
  </si>
  <si>
    <t>(A) AKB WBDP 33</t>
  </si>
  <si>
    <t>(A) AKB TC 600 (L=710) Mezanine</t>
  </si>
  <si>
    <t>(A) AKB TC 600 (L=1010) Mezanine</t>
  </si>
  <si>
    <t>(A) AKB TC 800 (L=710) Mezanine</t>
  </si>
  <si>
    <t>(A) AKB TC 800 (L=1010) Mezanine</t>
  </si>
  <si>
    <t>(A) AKB TC 600 (L=710)</t>
  </si>
  <si>
    <t>(A) AKB TC 600 (L=1010)</t>
  </si>
  <si>
    <t>(A) AKB TC 800 (L=710)</t>
  </si>
  <si>
    <t>(A) AKB TC 800 (L=1010)</t>
  </si>
  <si>
    <t>(A) Divider TC 600</t>
  </si>
  <si>
    <t>(A) Divider TC 800</t>
  </si>
  <si>
    <t>(A) Picking Trolley</t>
  </si>
  <si>
    <t>Supporting Flooring f/Mezzanine (Depan)</t>
  </si>
  <si>
    <t>(A) Tool Box (W654 x D310 x H444)</t>
  </si>
  <si>
    <t>CAT 1:50 Cat D3 Dozer (85673)</t>
  </si>
  <si>
    <t>CAT 1:50 Cat 14M3 Motor Grader (85545).</t>
  </si>
  <si>
    <t>CAT 1:50 Cat 242D3 Skid Steer Loader, Mo</t>
  </si>
  <si>
    <t>CAT 745 AT 1:50 STANDARD YELLOW</t>
  </si>
  <si>
    <t>24pcs Assortment Pack Micro Constructor.</t>
  </si>
  <si>
    <t>36pcs Assortment Pack Micro Constructor.</t>
  </si>
  <si>
    <t>CAT 1:50 Cat D6R Track-Type Tractor.</t>
  </si>
  <si>
    <t>(A) AKB SDW  4</t>
  </si>
  <si>
    <t>(A) AKB SDW  5</t>
  </si>
  <si>
    <t>(A) AKB SDW  7 ( L= 710 )</t>
  </si>
  <si>
    <t>(A) AKB SDW  7 ( L=1010 )</t>
  </si>
  <si>
    <t>(A) AKB SDW  8 ( L= 710 )</t>
  </si>
  <si>
    <t>(A) AKB SDW  8 ( L= 1010 )</t>
  </si>
  <si>
    <t>CAT DV.149.35.137</t>
  </si>
  <si>
    <t>CAT DX.141.21.222</t>
  </si>
  <si>
    <t>CAT AH.141.21.127</t>
  </si>
  <si>
    <t>E-Voucher @4.000.000</t>
  </si>
  <si>
    <t>SHOPPING VOUCHER MAP @IDR 500.000</t>
  </si>
  <si>
    <t>CAT Safety Shoes Streamline Mesh CT</t>
  </si>
  <si>
    <t>Safety Shoes Threshold ST WP</t>
  </si>
  <si>
    <t>SCJohnson Floor Stripper Wax Strip 28L</t>
  </si>
  <si>
    <t>REACTION ARM</t>
  </si>
  <si>
    <t>CIGWELD Weldall – 2.5mm</t>
  </si>
  <si>
    <t>SYLVAC 30-805-6606 DEPTH PRO GAUGE 600MM</t>
  </si>
  <si>
    <t>Docking station</t>
  </si>
  <si>
    <t>"SAP TSU MIGRATION"</t>
  </si>
  <si>
    <t>1:50 Cat 798 AC Mining Truck</t>
  </si>
  <si>
    <t>SAFETY SHOES DALLAS</t>
  </si>
  <si>
    <t>TOYOTA HILUX 4X4 DC</t>
  </si>
  <si>
    <t>TOYOTA INNOVA G AT (SOLAR)</t>
  </si>
  <si>
    <t>LOTO</t>
  </si>
  <si>
    <t>TOYOTA FORTUNER 4X4 (SOLAR)</t>
  </si>
  <si>
    <t>TOWING</t>
  </si>
  <si>
    <t>TOYOTA ALTIS V AT</t>
  </si>
  <si>
    <t>ISUZU NPS 81</t>
  </si>
  <si>
    <t>KAROSERI LUBE TRUCK</t>
  </si>
  <si>
    <t>MITSUBISHI COLT FE 84</t>
  </si>
  <si>
    <t>KAROSERI BOX MITSUBISHI COLT</t>
  </si>
  <si>
    <t>TOYOTA FORTUNER 4X4 (BENSIN)</t>
  </si>
  <si>
    <t>TOYOTA INNOVA G AT (BENSIN) - PUTIH</t>
  </si>
  <si>
    <t>ROLL BAR INSIDE FOR PROTECTOR</t>
  </si>
  <si>
    <t>CAT LF.111.21.137</t>
  </si>
  <si>
    <t>CAT LF.111.25.537</t>
  </si>
  <si>
    <t>CAT LN.150.25.531</t>
  </si>
  <si>
    <t>TOYOTA AZANZA NON TSS</t>
  </si>
  <si>
    <t>KAROSERI CRANE</t>
  </si>
  <si>
    <t>(A) MACHINE REVERSE OSMOSIS</t>
  </si>
  <si>
    <t>FLEET TRACKER FOR VEHICLE</t>
  </si>
  <si>
    <t>SAMSUNG GALAXY S21 FE 8/256GB</t>
  </si>
  <si>
    <t>Scale Model 330 GC</t>
  </si>
  <si>
    <t>ELCOMETER 456 FERROUS INTEGRAL SCALE</t>
  </si>
  <si>
    <t>CAT WATCH AM.1 91.26.629</t>
  </si>
  <si>
    <t>STAMP "PT TRAKINDO UTAMA" (NEW)</t>
  </si>
  <si>
    <t>Safety Bollar</t>
  </si>
  <si>
    <t>Scale Model 323 GC</t>
  </si>
  <si>
    <t>BOLT L ULIR</t>
  </si>
  <si>
    <t>CAT POLO COTTON "JACK MILLER"</t>
  </si>
  <si>
    <t>CAT T-SHIRT "JACK MILLER"</t>
  </si>
  <si>
    <t>(TO BE REUSED)</t>
  </si>
  <si>
    <t>GOODIE BAG TRAKINDO RENTAL SMALL</t>
  </si>
  <si>
    <t>Payung Lipat 3 Manual Trakindo CAT</t>
  </si>
  <si>
    <t>Jaket Reversible Trakindo CAT</t>
  </si>
  <si>
    <t>T-Shirt Trakindo CAT New State</t>
  </si>
  <si>
    <t>Miniatur Candi Borobudur</t>
  </si>
  <si>
    <t>Miniatur Wayang + Frame</t>
  </si>
  <si>
    <t>Tumbler Trakindo CAT</t>
  </si>
  <si>
    <t>Cat Watch AK.169.21.121</t>
  </si>
  <si>
    <t>CAT WATCH AM SERIES 1</t>
  </si>
  <si>
    <t>Cat Watch LJ.160.21.</t>
  </si>
  <si>
    <t>JERIGEN 1 LT</t>
  </si>
  <si>
    <t>(A) EPSON EB-725Wi</t>
  </si>
  <si>
    <t>ENGINE DYNAMOMETER DX3010 PN: 0451100000</t>
  </si>
  <si>
    <t>Miniatur Helm Trakindo CAT</t>
  </si>
  <si>
    <t>FOGGING MACHINE</t>
  </si>
  <si>
    <t>Adobe Photoshop</t>
  </si>
  <si>
    <t>Cordless Impact Drill</t>
  </si>
  <si>
    <t>YOKOHAMA TYRE</t>
  </si>
  <si>
    <t>5FT PVC BANNER</t>
  </si>
  <si>
    <t>K1000 DISHWASH DETERGENT LEMON 5L</t>
  </si>
  <si>
    <t>WOODEN SKIDS</t>
  </si>
  <si>
    <t>CORDLESS MULTI HEAD 18V IRCMH01</t>
  </si>
  <si>
    <t>DRILL BITS MIXED SET 62PC IRADBS62</t>
  </si>
  <si>
    <t>ELECTRIC PAINT SPRAYER 450W RREPS1</t>
  </si>
  <si>
    <t>COMPRESSOR 1HP 8B 8L 1P DD CRDC0108</t>
  </si>
  <si>
    <t>Digital tape (Laser Distance Meter DT10</t>
  </si>
  <si>
    <t>Powerbank 20000mAh 12V</t>
  </si>
  <si>
    <t>Tumbler Subway TrakindoCAT</t>
  </si>
  <si>
    <t>TrakindoCAT POLO DRYFIT GRADASI HITAM</t>
  </si>
  <si>
    <t>TrakindoCAT POLO DRYFIT GRADASI NAVY</t>
  </si>
  <si>
    <t>MINI FILTER DYNO TEST</t>
  </si>
  <si>
    <t>TRAKINDO CAT CAPS RUBBER</t>
  </si>
  <si>
    <t>TOP UP E-WALLET / E-MONEY 50.000</t>
  </si>
  <si>
    <t>CAT Watch AK.169.21.121</t>
  </si>
  <si>
    <t>Tumbler Subway CAT #IMatterForCX</t>
  </si>
  <si>
    <t>BACKPACK “TRIPWALK”</t>
  </si>
  <si>
    <t>BACKPACK “REI”</t>
  </si>
  <si>
    <t>BACKPACK "BODYPACK"</t>
  </si>
  <si>
    <t>DOUBLE LANYARD ABSORBING - MSA</t>
  </si>
  <si>
    <t>FULL BODY HARNESS 5D-RING - MSA</t>
  </si>
  <si>
    <t>CAT AM .141.11.122</t>
  </si>
  <si>
    <t>CAT WATCH AM SERIES 2</t>
  </si>
  <si>
    <t>CAT AM.141.11.127</t>
  </si>
  <si>
    <t>WEBBING SLING CAP 2 TON X 3M</t>
  </si>
  <si>
    <t>WEBBING SLING CAP 3 TON X 3M</t>
  </si>
  <si>
    <t>MCM WASH-100 (200 ltr)</t>
  </si>
  <si>
    <t>MCM PEN-300 (WD40) @400ml</t>
  </si>
  <si>
    <t>MCM CONT-510 @400ml</t>
  </si>
  <si>
    <t>pulpen hitam</t>
  </si>
  <si>
    <t>TOYOTA VIOS G CVT - Silver Surabaya</t>
  </si>
  <si>
    <t>pulpen hitam test</t>
  </si>
  <si>
    <t>Selang APAR Powder Kecil uk. 2 - 6 kg</t>
  </si>
  <si>
    <t>COOLING TOWER</t>
  </si>
  <si>
    <t>PUMP EBARA CENTRIFUGAL 80X65 FS2JA 5 22</t>
  </si>
  <si>
    <t>TOYOTA CAMRY HYBRID - Silver HO</t>
  </si>
  <si>
    <t>TOYOTA INNOVA G AT (BENSIN) - SILVER</t>
  </si>
  <si>
    <t>TOYOTA HILUX GR SPORT</t>
  </si>
  <si>
    <t>STANDART NEEDLE FOR JET CHISEL</t>
  </si>
  <si>
    <t>MEALS CARD</t>
  </si>
  <si>
    <t>TAPER MACHINE REAMER</t>
  </si>
  <si>
    <t>Winch Warn + Bracket</t>
  </si>
  <si>
    <t>CAT WATCH, LJ.140.24.422</t>
  </si>
  <si>
    <t>CAT WATCH, LJ.160.27.127</t>
  </si>
  <si>
    <t>CAT WATCH Model LJ.160.21.128</t>
  </si>
  <si>
    <t>CAT WATCH LB.111.27.137</t>
  </si>
  <si>
    <t>ACTION CAMERA DIGITAL</t>
  </si>
  <si>
    <t>Sunction Cup Car Mount</t>
  </si>
  <si>
    <t>Car charger inventer DC to AC</t>
  </si>
  <si>
    <t>CAT Lanyard Bahan Tissue</t>
  </si>
  <si>
    <t>CONNECTED SALESMAN APPS</t>
  </si>
  <si>
    <t>Helmet Sandblast</t>
  </si>
  <si>
    <t>Jaket Hitam List Putih CAT</t>
  </si>
  <si>
    <t>(A) WORKSTATION STAFF WS4</t>
  </si>
  <si>
    <t>A) WORKSTATION STAFF WS3</t>
  </si>
  <si>
    <t>MS225-48 L2 CISCO MERAKI 48XGIGE SWITCH</t>
  </si>
  <si>
    <t>MS125-48 10G CISCO MERAKI 48XGIGE SWITCH</t>
  </si>
  <si>
    <t>MS125-48LP 10G L2 CISCO MERAKI 48XGIGE</t>
  </si>
  <si>
    <t>XLT HDBASET HDMI EXTENDER WITH SETUP</t>
  </si>
  <si>
    <t>PAPERBACK NOTEBOOK</t>
  </si>
  <si>
    <t>PARKER PEN</t>
  </si>
  <si>
    <t>3M POST-IT 1" X 3"</t>
  </si>
  <si>
    <t>ALFAX MESH PEN HOLDER</t>
  </si>
  <si>
    <t>ALLOY CUTTER</t>
  </si>
  <si>
    <t>3M 500B TAPE, SIZE: 18MM X 25M</t>
  </si>
  <si>
    <t>CAT 994K WHEEL LOADER ROCK BUCKET</t>
  </si>
  <si>
    <t>CAT 994K WHEEL LOADER</t>
  </si>
  <si>
    <t>ARTEX SH5440 SIGN HERE FLAG 50S YELLOW</t>
  </si>
  <si>
    <t>PENTEL CORRECTION TAPE REFILL ZTR5WO</t>
  </si>
  <si>
    <t>SCALE MODEL 834 WHEEL DOZER</t>
  </si>
  <si>
    <t>(A) WORKSTATION STAFF WS1ADD</t>
  </si>
  <si>
    <t>ORGANIZER CABINET SMALL</t>
  </si>
  <si>
    <t>ORGANIZER CABINET MEDIUM</t>
  </si>
  <si>
    <t>ORGANIZER CABINET LARGE</t>
  </si>
  <si>
    <t>A) LOCKER 12 DOORS KRISBOW 10091460</t>
  </si>
  <si>
    <t>MANUAL SERVICE ORDER SHIPPING LIST</t>
  </si>
  <si>
    <t>MANUAL COUNTER SHIPPING LIST</t>
  </si>
  <si>
    <t>INNOVATION AWARD</t>
  </si>
  <si>
    <t>CO Monitor  Sandblast</t>
  </si>
  <si>
    <t>INNOVATION AWARD (ITEM 1)</t>
  </si>
  <si>
    <t>INNOVATION AWARD (ITEM 2)</t>
  </si>
  <si>
    <t>FOOD &amp; BEVERAGE (ITEM 1)</t>
  </si>
  <si>
    <t>N1703</t>
  </si>
  <si>
    <t>FOOD &amp; BEVERAGE (ITEM 2)</t>
  </si>
  <si>
    <t>FOOD &amp; BEVERAGE (ITEM 3)</t>
  </si>
  <si>
    <t>FOOD &amp; BEVERAGE (ITEM 4)</t>
  </si>
  <si>
    <t>COLOR RIBBON KIT ENTRUST</t>
  </si>
  <si>
    <t>CAT WACTH LP.160.26.636</t>
  </si>
  <si>
    <t>ISO 11500-22 Particle Count SDS/ABS</t>
  </si>
  <si>
    <t>ASTM D7596-23 Particle Count LNF</t>
  </si>
  <si>
    <t>ASTM D7593-22 Gas Chromatography</t>
  </si>
  <si>
    <t>ASTM D6130-11(2018) ICP Elements in Engi</t>
  </si>
  <si>
    <t>APAR 25 KG ABC POWDER</t>
  </si>
  <si>
    <t>APAR 4 KG ABC POWDER</t>
  </si>
  <si>
    <t>APAR 0,5 KG ABC POWDER</t>
  </si>
  <si>
    <t>KOTAK ISI P3K</t>
  </si>
  <si>
    <t>SCOTLIGHT KARET ANTI SLIP</t>
  </si>
  <si>
    <t>SCOTLIGHT HIJAU</t>
  </si>
  <si>
    <t>SCOTLIGHT PUTIH</t>
  </si>
  <si>
    <t>SCOTLIGHT KUNING</t>
  </si>
  <si>
    <t>SCOTLIGHTKUNING HITAM</t>
  </si>
  <si>
    <t>SCOTLIGHT MERAH PUTIH</t>
  </si>
  <si>
    <t>SCOTLIGHT MERAH</t>
  </si>
  <si>
    <t>Invoice Vendor Approval Apps</t>
  </si>
  <si>
    <t>SOLIDWORKS Premium 2023 - 3D CAD</t>
  </si>
  <si>
    <t>CAT WATCH : LB.111.21.231</t>
  </si>
  <si>
    <t>CAT WATCH : AL.340.21.252</t>
  </si>
  <si>
    <t>RADIO HT MOTOROLA XIR P66001</t>
  </si>
  <si>
    <t>CAT SHOES STREAMLINE RUNNER CT</t>
  </si>
  <si>
    <t>CAT SHOES IMPACT CT WP</t>
  </si>
  <si>
    <t>CAT SHOES EXPOSITION ESD AT DEMITASSE</t>
  </si>
  <si>
    <t>ALFAX 2104 2-TIER TRAY</t>
  </si>
  <si>
    <t>UHU 189 GLUE STICK 21G</t>
  </si>
  <si>
    <t>3M 656YE POST-IT 2"X3" YELLOW</t>
  </si>
  <si>
    <t>PILOT BPGP10RM SUPERGRIP PEN (BLUE)</t>
  </si>
  <si>
    <t>SHINY NC08 PRE-INKED STAMP "COMPLETED"</t>
  </si>
  <si>
    <t>ALFAX E310 A4 L-SHAPED FOLDER (12PCS)</t>
  </si>
  <si>
    <t>PTTUSB ROUND STAMP-RUBBER</t>
  </si>
  <si>
    <t>BOSCH LASER LEVEL</t>
  </si>
  <si>
    <t>VIDEO CONFERENCE DIVICE</t>
  </si>
  <si>
    <t>Cordless Nutruner CP8641CQ</t>
  </si>
  <si>
    <t>Cordless Nutruner CP8613CQ</t>
  </si>
  <si>
    <t>Hino 700 series ZS4141</t>
  </si>
  <si>
    <t>266.390.3 ACTUATOR</t>
  </si>
  <si>
    <t>ZEBRA PRINTER ZT231</t>
  </si>
  <si>
    <t>CAT Watch Statum Green Black LG.140.23.1</t>
  </si>
  <si>
    <t>Caterpillar CAT-F7 Sepatu Casual Pria Or</t>
  </si>
  <si>
    <t>CAT WATCH LP.130.23.333</t>
  </si>
  <si>
    <t>CAT WATCH LP.160.21.232</t>
  </si>
  <si>
    <t>CAT WATCH LP.160.21.737</t>
  </si>
  <si>
    <t>Override PS Digitalization Apps</t>
  </si>
  <si>
    <t>Y-2 AC YOKE</t>
  </si>
  <si>
    <t>CR MSIS Apps - Admin Daily, MM DataKita</t>
  </si>
  <si>
    <t>MAP (PETA)</t>
  </si>
  <si>
    <t>CAT WATCH DV.149.34.137</t>
  </si>
  <si>
    <t>SYLVAC 30-812-2240 BASE 320MM</t>
  </si>
  <si>
    <t>SYLVAC 30-805-6103 ANVIL PIN 4MM</t>
  </si>
  <si>
    <t>CAT WATCH : CAT LJ.110.26.662</t>
  </si>
  <si>
    <t>CAT WATCH : CAT LP.130.23.333</t>
  </si>
  <si>
    <t>CAT WATCH : CAT LP.160.21.232</t>
  </si>
  <si>
    <t>PLASTIC PALLET NPS 1612</t>
  </si>
  <si>
    <t>CAT WATCH NR.143.11.121</t>
  </si>
  <si>
    <t>CAT WATCH PZ.169.12.121</t>
  </si>
  <si>
    <t>CONTAINER PLASTIC RABBIT TYPE 7006 BLUE</t>
  </si>
  <si>
    <t>CONTAINER PLASTIC RABBIT TYPE 2266</t>
  </si>
  <si>
    <t>POST IT ROLL (TC ONLY)</t>
  </si>
  <si>
    <t>Container Plastik Rapat (2266 Biru)</t>
  </si>
  <si>
    <t>Container Plastik Rapat (7006+Roda Biru)</t>
  </si>
  <si>
    <t>Enhancement TM Dashboard Phase 2</t>
  </si>
  <si>
    <t>CAT WATCH AL.390.19.959</t>
  </si>
  <si>
    <t>CAT WATCH AL.380.20.555</t>
  </si>
  <si>
    <t>CAT WATCH PY.161.34.121</t>
  </si>
  <si>
    <t>Building Sign Trakindo CAT</t>
  </si>
  <si>
    <t>A5 PLANNER W 50 SHEETS (REFILL)</t>
  </si>
  <si>
    <t>GLUE TACK</t>
  </si>
  <si>
    <t>CAT WATCH SF.161.21.711</t>
  </si>
  <si>
    <t>(A) STAND ANCHOR BREAKE</t>
  </si>
  <si>
    <t>CAT WATCH NP.163.35.139</t>
  </si>
  <si>
    <t>CAT WATCH SJ.151.21.131</t>
  </si>
  <si>
    <t>iSpring Suite Max</t>
  </si>
  <si>
    <t>STICKY NOTE “PRONTO” 75X75MM (DIR ONLY)</t>
  </si>
  <si>
    <t>PLARAD CORDLESS NUTRUNNER</t>
  </si>
  <si>
    <t>PUI Online Dashboard Apps</t>
  </si>
  <si>
    <t>Sticker Functional Location</t>
  </si>
  <si>
    <t>Tumbler Unik Kayu CAT</t>
  </si>
  <si>
    <t>SSK NEVADA BlACK 216141 NO 8 (Z518)</t>
  </si>
  <si>
    <t>SSK NEVADA BlACK 216141 NO 5 (z518)</t>
  </si>
  <si>
    <t>SSK NEVADA BlACK 216141 NO 7 (Z518)</t>
  </si>
  <si>
    <t>Chat Zopim Zendesk</t>
  </si>
  <si>
    <t>PAPER PHOTOCOPY PAPER ONE A4 75GSM</t>
  </si>
  <si>
    <t>POWTOON PROFESIONAL LISENCE</t>
  </si>
  <si>
    <t>CRC 5-56 MULTI PURPOSE LUBRICANT (400gr)</t>
  </si>
  <si>
    <t>CRC MECHANIX ORANGE - SL1712 (16 oz)</t>
  </si>
  <si>
    <t>CRC MECHANIX ORANGE - SL1719 (32 oz)</t>
  </si>
  <si>
    <t>WYPALL OIL GREASE &amp; INK CLOTH (8 pack)</t>
  </si>
  <si>
    <t>CV</t>
  </si>
  <si>
    <t>Subscription Maytapi</t>
  </si>
  <si>
    <t>Subscription Apple Developer Program</t>
  </si>
  <si>
    <t>INSTALLATION SOLAR PV</t>
  </si>
  <si>
    <t>e-Learning Annual Subscription</t>
  </si>
  <si>
    <t>TURTLE WAX POLISHING COMPOUND</t>
  </si>
  <si>
    <t>BORING HEAD BHE MB50-50-80</t>
  </si>
  <si>
    <t>SPECTRUM 2 ZnSe WINDOWS KIT PIN.L1600242</t>
  </si>
  <si>
    <t>HD22Q (UK) DELL DUAL CHARGE DOCK</t>
  </si>
  <si>
    <t>ASUS FHD/F75/IPS1MPRT (VT)</t>
  </si>
  <si>
    <t>CAT WATCH AH SERIES 3</t>
  </si>
  <si>
    <t>GAS STOVE</t>
  </si>
  <si>
    <t>Prorate License Abode Acrobat DC Pro PDF</t>
  </si>
  <si>
    <t>CAT WATCH AJ SERIES 1</t>
  </si>
  <si>
    <t>LUCROR 134-ANTI RUST ENCER (20 L)</t>
  </si>
  <si>
    <t>LUCROR 133B-ANTI RUST KENTAL (20 L)</t>
  </si>
  <si>
    <t>GRABSTICK SNAKE TONGS</t>
  </si>
  <si>
    <t>LANDING NETS</t>
  </si>
  <si>
    <t>Fusser Assy HP Laserjet M506</t>
  </si>
  <si>
    <t>Ink Epson 001 Black</t>
  </si>
  <si>
    <t>Ink Epson 001 Cyan</t>
  </si>
  <si>
    <t>Ink Epson 001 Magenta</t>
  </si>
  <si>
    <t>Ink Epson 001 Yellow</t>
  </si>
  <si>
    <t>Aplikasi Project Monitoring Online PDSI</t>
  </si>
  <si>
    <t>Sigmat</t>
  </si>
  <si>
    <t>Timah Lunak</t>
  </si>
  <si>
    <t>SAMSUNG GALAXY WATCH</t>
  </si>
  <si>
    <t>SAMSUNG GALAXY MOBILEPHONE</t>
  </si>
  <si>
    <t>TUS BLACK COTTON BASEBALL CAP W VELCRO</t>
  </si>
  <si>
    <t>Digital Power meter Schneider PM2200</t>
  </si>
  <si>
    <t>PSU Longwei LW-K3010D 0-30V 0-10A</t>
  </si>
  <si>
    <t>Aten UE2120 USB Extender 12 M</t>
  </si>
  <si>
    <t>ATEN UC232A USB RS 232 adapter 35 cm</t>
  </si>
  <si>
    <t>Brother EP300 Label Printer</t>
  </si>
  <si>
    <t>Brother Label Tape HSe-211 Heat Shrink</t>
  </si>
  <si>
    <t>Reflektive Sticker</t>
  </si>
  <si>
    <t>CAT WATCH.LP.160.21.737</t>
  </si>
  <si>
    <t>Exclusive Cap</t>
  </si>
  <si>
    <t>Exclusive Box</t>
  </si>
  <si>
    <t>Hand Fan</t>
  </si>
  <si>
    <t>Polo co-brand</t>
  </si>
  <si>
    <t>WIPRO COPPER HAMMER 20LB (10KG)</t>
  </si>
  <si>
    <t>WIPRO COPPER HAMMER 10LB (5KG)</t>
  </si>
  <si>
    <t>Aplikasi electronic PR &amp; MM/SM Request</t>
  </si>
  <si>
    <t>Aplikasi CSMS Online</t>
  </si>
  <si>
    <t>FORM SAVE WORK PERMIT</t>
  </si>
  <si>
    <t>ABER GRIP 200 PU COATED GLOVES,SIZE 8 (M</t>
  </si>
  <si>
    <t>SABER GRIP 300 NITRILE COATED GLOVES</t>
  </si>
  <si>
    <t>TROLLEY BAG TRAKINDO CAT</t>
  </si>
  <si>
    <t>BACKPACK TRAKINDO CAT</t>
  </si>
  <si>
    <t>HP 119A Black Original Laser Toner</t>
  </si>
  <si>
    <t>HP 119A Cyan Original Laser Toner</t>
  </si>
  <si>
    <t>HP 119A Yellow Original Laser Toner</t>
  </si>
  <si>
    <t>HP 119A Magenta Original Laser Toner</t>
  </si>
  <si>
    <t>INSERT HOLDER IHFF 50-4550332 ISCAR</t>
  </si>
  <si>
    <t>BRUSHED COTTON LIGHT PINK CAP</t>
  </si>
  <si>
    <t>CAT GOLF UMBRELLA</t>
  </si>
  <si>
    <t>TRAVEL ADAPTOR</t>
  </si>
  <si>
    <t>COMPACT PROFESSIONAL BINOCULARS</t>
  </si>
  <si>
    <t>TU GOLF TEE SET</t>
  </si>
  <si>
    <t>DIGITAL PRINTING ON SHIRT</t>
  </si>
  <si>
    <t>TU LEATHER GOLF DUFFEL BAG</t>
  </si>
  <si>
    <t>5 ROLLS STEEL WIRE BRUSH</t>
  </si>
  <si>
    <t>MEGGER MIT1025</t>
  </si>
  <si>
    <t>APAR 3 Kg</t>
  </si>
  <si>
    <t>NIPPON WHEEL 14 RESIBON 355 x 3 x25</t>
  </si>
  <si>
    <t>CAT WATCH LP.160.21.131</t>
  </si>
  <si>
    <t>CAT WATCH LQ.161.21.132</t>
  </si>
  <si>
    <t>CAT WATCH LQ.161.21.137</t>
  </si>
  <si>
    <t>CAT WATCH LQ.161.21.138</t>
  </si>
  <si>
    <t>CAT WATCH LQ.161.21.732</t>
  </si>
  <si>
    <t>CAT WATCH LQ.161.26.632</t>
  </si>
  <si>
    <t>CAT WATCH LQ.161.27.137</t>
  </si>
  <si>
    <t>CAT WATCH LQ.161.23.332</t>
  </si>
  <si>
    <t>CONTAINER PLASTIC RABBIT TYPE 6611</t>
  </si>
  <si>
    <t>GIFT FOR DONATION</t>
  </si>
  <si>
    <t>AUTO LUBRICATION SYSTEM</t>
  </si>
  <si>
    <t>HYDRAULIC CYLINDER REPAIR BENCH</t>
  </si>
  <si>
    <t>HYDRAULIC CYLINDER TESTER</t>
  </si>
  <si>
    <t>FLUKE 941 LIGHT METER</t>
  </si>
  <si>
    <t>FLUKE 945 SOUND METER</t>
  </si>
  <si>
    <t>CAT WATCH NR SERIES 5</t>
  </si>
  <si>
    <t>T.VIOS G CVT - SILVER</t>
  </si>
  <si>
    <t>KOKEN SPONGE EGG SHAPE 1010A &amp; 1005RR</t>
  </si>
  <si>
    <t>BUSINESS BACKPACK</t>
  </si>
  <si>
    <t>MULTIFUCTIONAL TOOL</t>
  </si>
  <si>
    <t>MULTIFUCTIONAL TOOLBOX W LIGHT</t>
  </si>
  <si>
    <t>KOKEN FILTER MASKER 1005 For 1005RR</t>
  </si>
  <si>
    <t>AMPLAS TANGKAI 80X30X6MM GRIT 60 KUHLE</t>
  </si>
  <si>
    <t>AMPLAS TANGKAI 50X25X6MM GRIT 80 WIPRO</t>
  </si>
  <si>
    <t>FLUX CORED WIRED LW71 GOODWELD</t>
  </si>
  <si>
    <t>HOOK DISPLAY STAINLESS 15 CM</t>
  </si>
  <si>
    <t>HOOK DISPLAY STAINLESS 10 CM</t>
  </si>
  <si>
    <t>HOOK DISPLAY STAINLESS (S) 12 CM</t>
  </si>
  <si>
    <t>Sanwa Multimeter CD800A</t>
  </si>
  <si>
    <t>Impact Socket drive 1/2 " - 14 mm</t>
  </si>
  <si>
    <t>Impact Socket drive 1/2 " - 16 mm</t>
  </si>
  <si>
    <t>Impact Socket drive 1/2 " - 18 mm</t>
  </si>
  <si>
    <t>Impact Socket drive 1/2 " - 24 mm</t>
  </si>
  <si>
    <t>COPPER HAMMER 0.5 kg</t>
  </si>
  <si>
    <t>COPPER HAMMER 5 kg</t>
  </si>
  <si>
    <t>Krisbow Protective case 265x225x125 mm</t>
  </si>
  <si>
    <t>Krisbow Protective Case 339x295x152 mm</t>
  </si>
  <si>
    <t>WIPRO Amplas Tangkai m40x20x6 AA 80</t>
  </si>
  <si>
    <t>Diton Spray Paint Black</t>
  </si>
  <si>
    <t>Heavy Duty Trimming Knife Blades (Pk-10)</t>
  </si>
  <si>
    <t>KANSAI PAINT BEIGE</t>
  </si>
  <si>
    <t>KANSAI PAINT BRIGHT ORANGE</t>
  </si>
  <si>
    <t>Epoxy Danagloss NC Primer Grey 545-1020</t>
  </si>
  <si>
    <t>CROMWELL AUTO RETRACTABLE SAFETY KNIFE</t>
  </si>
  <si>
    <t>Blue Point  Combination Wrench 6MM</t>
  </si>
  <si>
    <t>Blue Point Combination Wrench 7MM</t>
  </si>
  <si>
    <t>Blue Point  Combination Wrench 8MM</t>
  </si>
  <si>
    <t>Blue Point  Combination Wrench 9MM</t>
  </si>
  <si>
    <t>Blue Point Combination Wrench Size15/16"</t>
  </si>
  <si>
    <t>Blue Point Hex Socket 1/2" Drive 8 mm</t>
  </si>
  <si>
    <t>Blue Point Hex Socket 1/2" Drive 12 mm</t>
  </si>
  <si>
    <t>Blue Point Hex Socket 1/2" Drive 14 mm</t>
  </si>
  <si>
    <t>Blue Point Hex Socket 1/2" Drive 17 mm</t>
  </si>
  <si>
    <t>Blue Point Hex Socket 1/2" Drive 19 mm</t>
  </si>
  <si>
    <t>Blue Point 1/2" Sliding T-handle 15"</t>
  </si>
  <si>
    <t>Blue Point 1/2" Double Hex Sockets 12 MM</t>
  </si>
  <si>
    <t>Blue Point 1/2" Double Hex Sockets 14 MM</t>
  </si>
  <si>
    <t>Blue Point 1/2" Double Hex Sockets 18 MM</t>
  </si>
  <si>
    <t>Blue Point 1/2" Double Hex Sockets 19 MM</t>
  </si>
  <si>
    <t>Blue Point Socket Shallow 1/2" D 15/16"</t>
  </si>
  <si>
    <t>Blue Point 1/2" Adaptor 1/2"-3/8"</t>
  </si>
  <si>
    <t>Wireless Microphone System Gooseneck</t>
  </si>
  <si>
    <t>CAT WATCH AH SERIES 1</t>
  </si>
  <si>
    <t>CAT WATCH AH SERIES 2</t>
  </si>
  <si>
    <t>CAT WATCH AK SERIES 1</t>
  </si>
  <si>
    <t>CAT WATCH AK SERIES 2</t>
  </si>
  <si>
    <t>CAT WATCH AL SERIES 1</t>
  </si>
  <si>
    <t>CAT WATCH AL SERIES 2</t>
  </si>
  <si>
    <t>CAT WATCH AM SERIES 3</t>
  </si>
  <si>
    <t>CAT WATCH AM SERIES 4</t>
  </si>
  <si>
    <t>CAT WATCH K3 SERIES 1</t>
  </si>
  <si>
    <t>CAT WATCH LF SERIES 2</t>
  </si>
  <si>
    <t>CAT WATCH LO SERIES 1</t>
  </si>
  <si>
    <t>CAT WATCH LQ SERIES 1</t>
  </si>
  <si>
    <t>CAT WATCH ME SERIES 1</t>
  </si>
  <si>
    <t>CAT WATCH MF SERIES 1</t>
  </si>
  <si>
    <t>CAT WATCH OA SERIES 1</t>
  </si>
  <si>
    <t>CAT WATCH OC SERIES 1</t>
  </si>
  <si>
    <t>CAT WATCH P3 SERIES 1</t>
  </si>
  <si>
    <t>CAT WATCH P9 SERIES 1</t>
  </si>
  <si>
    <t>CAT WATCH PZ SERIES 1</t>
  </si>
  <si>
    <t>CAT WATCH QA SERIES 1</t>
  </si>
  <si>
    <t>CAT WATCH QA SERIES 2</t>
  </si>
  <si>
    <t>CAT WATCH SJ SERIES 1</t>
  </si>
  <si>
    <t>CAT WATCH SJ SERIES 2</t>
  </si>
  <si>
    <t>SOS Dashboard Enhancement</t>
  </si>
  <si>
    <t>SOS INTERPRETER DASHBOARD</t>
  </si>
  <si>
    <t>SOS Manager contact response</t>
  </si>
  <si>
    <t>Kebutuhan Mining Expo 2023</t>
  </si>
  <si>
    <t>BOARD WOOD SIZE 2 CM X 15 CM</t>
  </si>
  <si>
    <t>WOOD SIZE 5 CM X 7 CM</t>
  </si>
  <si>
    <t>WOOD SIZE 5 CM X 10 CM</t>
  </si>
  <si>
    <t>Permanent Magnet Yoke Kit MP-10</t>
  </si>
  <si>
    <t>PRINT MANUAL BOOK GOH PERTAMINA G6X02949</t>
  </si>
  <si>
    <t>PRINT MANUAL BOOK GOH PERTAMINA G6X02951</t>
  </si>
  <si>
    <t>PRINT MANUAL BOOK GOH PERTAMINA G6X06156</t>
  </si>
  <si>
    <t>PRINT MANUAL BOOK PERTAMINA 07Y01516</t>
  </si>
  <si>
    <t>PRINTING BOOK COMMISS PERTAMINA R6S06929</t>
  </si>
  <si>
    <t>Samsung Galaxy Tab A8 LTE 4/128 GB +Case</t>
  </si>
  <si>
    <t>STORAGE BIN 100X160X74MM</t>
  </si>
  <si>
    <t>STORAGE BIN 150X240X124MM</t>
  </si>
  <si>
    <t>PERSONAL NOTE BOOK ERICA E-156</t>
  </si>
  <si>
    <t>NPJ-1111,1100x1100x150 mm</t>
  </si>
  <si>
    <t>IVECO TWAY 6 X4 AD380T43H</t>
  </si>
  <si>
    <t>KAROSERI LUBE TRUCK 8 COMPARTMENT</t>
  </si>
  <si>
    <t>TOP UP E-WALLET / E-MONEY 100.000</t>
  </si>
  <si>
    <t>TOP UP E-WALLET / E-MONEY 500.000</t>
  </si>
  <si>
    <t>TOP UP E-WALLET / E-MONEY 1.000.000</t>
  </si>
  <si>
    <t>TOP UP E-WALLET / E-MONEY 2.000.000</t>
  </si>
  <si>
    <t>TOP UP E-WALLET / E-MONEY 25.000</t>
  </si>
  <si>
    <t>HOSE CLAMP 113-121 SUPERIOR CLAMP</t>
  </si>
  <si>
    <t>CAMLOCK ALUMINIUM C 300</t>
  </si>
  <si>
    <t>CAMLOCK ALUMINIUM E 300</t>
  </si>
  <si>
    <t>CAMLOCK ALUMINIUM E 400</t>
  </si>
  <si>
    <t>GENIUS HEX BIT SOCKET DRIVE 3/8 - 5/32"</t>
  </si>
  <si>
    <t>ARM REST ADJUSTABLE</t>
  </si>
  <si>
    <t>TOP MATIC</t>
  </si>
  <si>
    <t>CRC, MECHANIX ORANGE HC</t>
  </si>
  <si>
    <t>FLEXOVIT CUTTING DISC 4" X 3.4</t>
  </si>
  <si>
    <t>FLEXOVIT CUTTING DISC 5" X 3.4</t>
  </si>
  <si>
    <t>FLEXOVIT CUTTING DISC 5" X 2.4</t>
  </si>
  <si>
    <t>SOLAR PANEL</t>
  </si>
  <si>
    <t>LADDER STEP W/ HANDLE 4STEP KW0101834</t>
  </si>
  <si>
    <t>RODA ARTCO C/W VELD</t>
  </si>
  <si>
    <t>EAR HOSE CLAMP 19-23 OETIKER</t>
  </si>
  <si>
    <t>EAR HOSE CLMAP 13-15 OETIKER</t>
  </si>
  <si>
    <t>HEAT SHRINK SIZE 70 MM1</t>
  </si>
  <si>
    <t>GROUND CLAMP 500 AMP PN EB500</t>
  </si>
  <si>
    <t>SATY-SILB WHITE BRAZING( FLUX) 5 LB(227G</t>
  </si>
  <si>
    <t>HOLE SAW SET 14 PCS MAKITA</t>
  </si>
  <si>
    <t>Stanley 57-533 Compo-Cast Hammers</t>
  </si>
  <si>
    <t>Bolt Extractor Set</t>
  </si>
  <si>
    <t>Scriber Pen - Flexsteel</t>
  </si>
  <si>
    <t>Stanley meteran 3m x 13mm</t>
  </si>
  <si>
    <t>PAINT SCRAPER (KAPE) UK. 2"</t>
  </si>
  <si>
    <t>STRAIGHT GRINDER - BOSCH GGS 5000 L</t>
  </si>
  <si>
    <t>Extech Coating Thickness Tester CG204</t>
  </si>
  <si>
    <t>Blue Point Combination Wrench 10MM</t>
  </si>
  <si>
    <t>Blue Point Ratchet Comb Wrench 9/16"</t>
  </si>
  <si>
    <t>Blue Point T-HEX key 3mm</t>
  </si>
  <si>
    <t>Blue Point Screwdriver size 3x150x278mm</t>
  </si>
  <si>
    <t>Blue Point Screwdriver size 0x75mm</t>
  </si>
  <si>
    <t>Blue Point Screwdriver size 3,2x75mm</t>
  </si>
  <si>
    <t>Blue Point Screwdriver size 5x100mm</t>
  </si>
  <si>
    <t>Blue Point Hex socket driver 1/2" 4mm</t>
  </si>
  <si>
    <t>Blue Point 1/2" double Hex socket 11MM</t>
  </si>
  <si>
    <t>Blue Point 1/2" double Hex socket 17MM</t>
  </si>
  <si>
    <t>Blue Point socket shallow 1/2" - 11/16"</t>
  </si>
  <si>
    <t>Blue Point socket shallow 1/2" - 13 MM</t>
  </si>
  <si>
    <t>Blue Point Diagonal plier cutters 7"</t>
  </si>
  <si>
    <t>Blue Point Needle nose pliers 6"</t>
  </si>
  <si>
    <t>Blue Point Circlip pliers snap ring</t>
  </si>
  <si>
    <t>Blue Point 1/2" quick release ratchet</t>
  </si>
  <si>
    <t>Point Mobile (PM 75)</t>
  </si>
  <si>
    <t>DELL LATITUDE 7440 14" NON-TOUCH LAPTOP</t>
  </si>
  <si>
    <t>F</t>
  </si>
  <si>
    <t>Lemari I</t>
  </si>
  <si>
    <t>Amplop Kecil kop trakindo M</t>
  </si>
  <si>
    <t xml:space="preserve">Ballpoint  Sarasa 0.5 black </t>
  </si>
  <si>
    <t xml:space="preserve">Ballpoint  Sarasa 0.5 blue </t>
  </si>
  <si>
    <t>Total Keluar 2025</t>
  </si>
  <si>
    <t>Total Masuk 2025</t>
  </si>
  <si>
    <t>Maret</t>
  </si>
  <si>
    <t>April</t>
  </si>
  <si>
    <t>May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</si>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</sst>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13" fillId="4" borderId="0" xfId="1" applyFont="1" applyFill="1" applyAlignment="1">
      <alignment horizontal="center"/>
    </xf>
    <xf numFmtId="0" fontId="13" fillId="4" borderId="0" xfId="1" applyFont="1" applyFill="1" applyAlignment="1">
      <alignment horizontal="left"/>
    </xf>
    <xf numFmtId="0" fontId="14" fillId="0" borderId="0" xfId="1"/>
    <xf numFmtId="0" fontId="14" fillId="0" borderId="0" xfId="1" applyAlignment="1">
      <alignment horizontal="center"/>
    </xf>
    <xf numFmtId="49" fontId="14" fillId="0" borderId="0" xfId="1" applyNumberFormat="1"/>
    <xf numFmtId="49" fontId="14" fillId="0" borderId="0" xfId="1" applyNumberFormat="1" applyAlignment="1">
      <alignment horizontal="center"/>
    </xf>
    <xf numFmtId="49" fontId="14" fillId="0" borderId="0" xfId="1" quotePrefix="1" applyNumberFormat="1"/>
    <xf numFmtId="0" fontId="4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vertical="center"/>
    </xf>
    <xf numFmtId="0" fontId="9" fillId="3" borderId="11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7F79F59-1A9C-4FAB-996D-EEA6B965D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ILE%20SODIKIN\2024\SAP\FORM%20REQ\FORM%20PR%20MANUAL\FORM%20PR%20MANUAL%20Kebutuhan%20ATK%20Jan%202024.xlsx" TargetMode="External"/><Relationship Id="rId1" Type="http://schemas.openxmlformats.org/officeDocument/2006/relationships/externalLinkPath" Target="/FILE%20SODIKIN/2024/SAP/FORM%20REQ/FORM%20PR%20MANUAL/FORM%20PR%20MANUAL%20Kebutuhan%20ATK%20Jan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PR Manual"/>
      <sheetName val="MM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A976-489D-46FD-9E10-9893D8F25939}">
  <sheetPr>
    <tabColor theme="4" tint="0.39997558519241921"/>
    <pageSetUpPr fitToPage="1"/>
  </sheetPr>
  <dimension ref="A1:EK228"/>
  <sheetViews>
    <sheetView tabSelected="1" zoomScale="98" zoomScaleNormal="98" workbookViewId="0">
      <pane xSplit="1" ySplit="5" topLeftCell="B196" activePane="bottomRight" state="frozen"/>
      <selection pane="topRight" activeCell="B1" sqref="B1"/>
      <selection pane="bottomLeft" activeCell="A6" sqref="A6"/>
      <selection pane="bottomRight" activeCell="AL217" sqref="AL217"/>
    </sheetView>
  </sheetViews>
  <sheetFormatPr defaultColWidth="9.140625" defaultRowHeight="12.75" x14ac:dyDescent="0.25"/>
  <cols>
    <col min="1" max="1" width="5.42578125" style="11" customWidth="1"/>
    <col min="2" max="2" width="4.140625" style="11" customWidth="1"/>
    <col min="3" max="3" width="11.28515625" style="23" bestFit="1" customWidth="1"/>
    <col min="4" max="4" width="46.7109375" style="24" bestFit="1" customWidth="1"/>
    <col min="5" max="5" width="5" style="11" bestFit="1" customWidth="1"/>
    <col min="6" max="6" width="6.42578125" style="11" customWidth="1"/>
    <col min="7" max="7" width="7.85546875" style="11" customWidth="1"/>
    <col min="8" max="8" width="11.28515625" style="23" bestFit="1" customWidth="1"/>
    <col min="9" max="68" width="3.7109375" style="13" customWidth="1"/>
    <col min="69" max="69" width="4.28515625" style="13" customWidth="1"/>
    <col min="70" max="97" width="3.7109375" style="13" customWidth="1"/>
    <col min="98" max="98" width="3.85546875" style="13" customWidth="1"/>
    <col min="99" max="100" width="3.7109375" style="13" customWidth="1"/>
    <col min="101" max="101" width="21.140625" style="13" customWidth="1"/>
    <col min="102" max="102" width="18.5703125" style="13" customWidth="1"/>
    <col min="103" max="103" width="21.28515625" style="13" customWidth="1"/>
    <col min="104" max="104" width="11.42578125" style="13" customWidth="1"/>
    <col min="105" max="105" width="7.28515625" style="13" customWidth="1"/>
    <col min="106" max="106" width="15.28515625" style="13" customWidth="1"/>
    <col min="107" max="107" width="11.140625" style="13" customWidth="1"/>
    <col min="108" max="108" width="9.28515625" style="13" customWidth="1"/>
    <col min="109" max="109" width="14.28515625" style="13" customWidth="1"/>
    <col min="110" max="110" width="19.28515625" style="13" customWidth="1"/>
    <col min="111" max="111" width="10.5703125" style="13" customWidth="1"/>
    <col min="112" max="112" width="6.85546875" style="13" customWidth="1"/>
    <col min="113" max="113" width="4.7109375" style="13" customWidth="1"/>
    <col min="114" max="114" width="4.5703125" style="13" customWidth="1"/>
    <col min="115" max="115" width="11.28515625" style="13" customWidth="1"/>
    <col min="116" max="117" width="8" style="13" customWidth="1"/>
    <col min="118" max="135" width="4.140625" style="13" customWidth="1"/>
    <col min="136" max="16384" width="9.140625" style="11"/>
  </cols>
  <sheetData>
    <row r="1" spans="2:135" ht="14.25" customHeight="1" x14ac:dyDescent="0.25"/>
    <row r="2" spans="2:135" s="23" customFormat="1" ht="14.25" customHeight="1" x14ac:dyDescent="0.25"/>
    <row r="3" spans="2:135" s="23" customFormat="1" x14ac:dyDescent="0.25">
      <c r="B3" s="64" t="s">
        <v>4</v>
      </c>
      <c r="C3" s="64" t="s">
        <v>5</v>
      </c>
      <c r="D3" s="66" t="s">
        <v>6</v>
      </c>
      <c r="E3" s="67" t="s">
        <v>163</v>
      </c>
      <c r="F3" s="67" t="s">
        <v>218</v>
      </c>
      <c r="G3" s="68" t="s">
        <v>219</v>
      </c>
      <c r="H3" s="64" t="s">
        <v>7</v>
      </c>
      <c r="I3" s="57" t="s">
        <v>232</v>
      </c>
      <c r="J3" s="58"/>
      <c r="K3" s="58"/>
      <c r="L3" s="58"/>
      <c r="M3" s="58"/>
      <c r="N3" s="58"/>
      <c r="O3" s="57" t="s">
        <v>236</v>
      </c>
      <c r="P3" s="58"/>
      <c r="Q3" s="58"/>
      <c r="R3" s="59"/>
      <c r="S3" s="63" t="s">
        <v>7505</v>
      </c>
      <c r="T3" s="63"/>
      <c r="U3" s="63"/>
      <c r="V3" s="63"/>
      <c r="W3" s="57" t="s">
        <v>7506</v>
      </c>
      <c r="X3" s="58"/>
      <c r="Y3" s="58"/>
      <c r="Z3" s="58"/>
      <c r="AA3" s="59"/>
      <c r="AB3" s="57" t="s">
        <v>7507</v>
      </c>
      <c r="AC3" s="58"/>
      <c r="AD3" s="58"/>
      <c r="AE3" s="58"/>
      <c r="AF3" s="59"/>
      <c r="AG3" s="57" t="s">
        <v>7508</v>
      </c>
      <c r="AH3" s="58"/>
      <c r="AI3" s="58"/>
      <c r="AJ3" s="58"/>
      <c r="AK3" s="59"/>
      <c r="AL3" s="49"/>
      <c r="AM3" s="49"/>
      <c r="AN3" s="49"/>
      <c r="AO3" s="49"/>
      <c r="AP3" s="49"/>
      <c r="AQ3" s="49"/>
      <c r="AR3" s="49"/>
      <c r="AS3" s="49"/>
      <c r="AT3" s="49"/>
      <c r="AU3" s="50"/>
    </row>
    <row r="4" spans="2:135" s="3" customFormat="1" ht="15" x14ac:dyDescent="0.25">
      <c r="B4" s="64"/>
      <c r="C4" s="64"/>
      <c r="D4" s="66"/>
      <c r="E4" s="67"/>
      <c r="F4" s="67"/>
      <c r="G4" s="68"/>
      <c r="H4" s="64"/>
      <c r="I4" s="60"/>
      <c r="J4" s="61"/>
      <c r="K4" s="61"/>
      <c r="L4" s="61"/>
      <c r="M4" s="61"/>
      <c r="N4" s="61"/>
      <c r="O4" s="60"/>
      <c r="P4" s="61"/>
      <c r="Q4" s="61"/>
      <c r="R4" s="62"/>
      <c r="S4" s="63"/>
      <c r="T4" s="63"/>
      <c r="U4" s="63"/>
      <c r="V4" s="63"/>
      <c r="W4" s="60"/>
      <c r="X4" s="61"/>
      <c r="Y4" s="61"/>
      <c r="Z4" s="61"/>
      <c r="AA4" s="62"/>
      <c r="AB4" s="60"/>
      <c r="AC4" s="61"/>
      <c r="AD4" s="61"/>
      <c r="AE4" s="61"/>
      <c r="AF4" s="62"/>
      <c r="AG4" s="60"/>
      <c r="AH4" s="61"/>
      <c r="AI4" s="61"/>
      <c r="AJ4" s="61"/>
      <c r="AK4" s="62"/>
      <c r="AL4" s="51"/>
      <c r="AM4" s="51"/>
      <c r="AN4" s="51"/>
      <c r="AO4" s="51"/>
      <c r="AP4" s="51"/>
      <c r="AQ4" s="51"/>
      <c r="AR4" s="51"/>
      <c r="AS4" s="51"/>
      <c r="AT4" s="51"/>
      <c r="AU4" s="52"/>
    </row>
    <row r="5" spans="2:135" s="3" customFormat="1" ht="15" x14ac:dyDescent="0.25">
      <c r="B5" s="64"/>
      <c r="C5" s="64"/>
      <c r="D5" s="66"/>
      <c r="E5" s="67"/>
      <c r="F5" s="67"/>
      <c r="G5" s="68"/>
      <c r="H5" s="64"/>
      <c r="I5" s="19">
        <v>6</v>
      </c>
      <c r="J5" s="19">
        <v>7</v>
      </c>
      <c r="K5" s="19">
        <v>10</v>
      </c>
      <c r="L5" s="19">
        <v>17</v>
      </c>
      <c r="M5" s="19">
        <v>24</v>
      </c>
      <c r="N5" s="19">
        <v>31</v>
      </c>
      <c r="O5" s="19">
        <v>7</v>
      </c>
      <c r="P5" s="19">
        <v>14</v>
      </c>
      <c r="Q5" s="19">
        <v>21</v>
      </c>
      <c r="R5" s="19">
        <v>28</v>
      </c>
      <c r="S5" s="19">
        <v>7</v>
      </c>
      <c r="T5" s="19">
        <v>14</v>
      </c>
      <c r="U5" s="19">
        <v>21</v>
      </c>
      <c r="V5" s="19">
        <v>27</v>
      </c>
      <c r="W5" s="19">
        <v>7</v>
      </c>
      <c r="X5" s="19">
        <v>10</v>
      </c>
      <c r="Y5" s="19">
        <v>14</v>
      </c>
      <c r="Z5" s="19">
        <v>21</v>
      </c>
      <c r="AA5" s="19">
        <v>28</v>
      </c>
      <c r="AB5" s="19">
        <v>2</v>
      </c>
      <c r="AC5" s="19">
        <v>9</v>
      </c>
      <c r="AD5" s="19">
        <v>16</v>
      </c>
      <c r="AE5" s="19">
        <v>23</v>
      </c>
      <c r="AF5" s="19">
        <v>30</v>
      </c>
      <c r="AG5" s="19">
        <v>5</v>
      </c>
      <c r="AH5" s="19">
        <v>12</v>
      </c>
      <c r="AI5" s="19">
        <v>19</v>
      </c>
      <c r="AJ5" s="19">
        <v>25</v>
      </c>
      <c r="AK5" s="19">
        <v>30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2:135" x14ac:dyDescent="0.25">
      <c r="B6" s="9">
        <v>1</v>
      </c>
      <c r="C6" s="9" t="s">
        <v>183</v>
      </c>
      <c r="D6" s="10" t="s">
        <v>8</v>
      </c>
      <c r="E6" s="9">
        <v>168</v>
      </c>
      <c r="F6" s="9">
        <f t="shared" ref="F6:F69" si="0">SUM(I6:CV6)</f>
        <v>27</v>
      </c>
      <c r="G6" s="31">
        <f>E6-F6</f>
        <v>141</v>
      </c>
      <c r="H6" s="9" t="s">
        <v>62</v>
      </c>
      <c r="I6" s="12">
        <v>2</v>
      </c>
      <c r="J6" s="12"/>
      <c r="K6" s="12"/>
      <c r="L6" s="12">
        <v>2</v>
      </c>
      <c r="M6" s="12"/>
      <c r="N6" s="12"/>
      <c r="O6" s="12">
        <v>2</v>
      </c>
      <c r="P6" s="12"/>
      <c r="Q6" s="12"/>
      <c r="R6" s="12">
        <v>2</v>
      </c>
      <c r="S6" s="12"/>
      <c r="T6" s="12"/>
      <c r="U6" s="12">
        <v>2</v>
      </c>
      <c r="V6" s="12"/>
      <c r="W6" s="12"/>
      <c r="X6" s="12">
        <v>2</v>
      </c>
      <c r="Y6" s="12"/>
      <c r="Z6" s="12">
        <v>2</v>
      </c>
      <c r="AA6" s="12">
        <v>2</v>
      </c>
      <c r="AB6" s="12"/>
      <c r="AC6" s="12"/>
      <c r="AD6" s="12">
        <v>2</v>
      </c>
      <c r="AE6" s="12">
        <v>2</v>
      </c>
      <c r="AF6" s="12">
        <v>2</v>
      </c>
      <c r="AG6" s="12"/>
      <c r="AH6" s="12"/>
      <c r="AI6" s="12">
        <v>2</v>
      </c>
      <c r="AJ6" s="12"/>
      <c r="AK6" s="12">
        <v>3</v>
      </c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</row>
    <row r="7" spans="2:135" s="17" customFormat="1" x14ac:dyDescent="0.25">
      <c r="B7" s="15">
        <v>2</v>
      </c>
      <c r="C7" s="15" t="s">
        <v>183</v>
      </c>
      <c r="D7" s="27" t="s">
        <v>157</v>
      </c>
      <c r="E7" s="15">
        <v>0</v>
      </c>
      <c r="F7" s="9">
        <f t="shared" si="0"/>
        <v>0</v>
      </c>
      <c r="G7" s="31">
        <f t="shared" ref="G7:G70" si="1">E7-F7</f>
        <v>0</v>
      </c>
      <c r="H7" s="9" t="s">
        <v>62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2:135" x14ac:dyDescent="0.25">
      <c r="B8" s="9">
        <v>3</v>
      </c>
      <c r="C8" s="9" t="s">
        <v>183</v>
      </c>
      <c r="D8" s="10" t="s">
        <v>158</v>
      </c>
      <c r="E8" s="9">
        <v>1</v>
      </c>
      <c r="F8" s="9">
        <f t="shared" si="0"/>
        <v>0</v>
      </c>
      <c r="G8" s="31">
        <f t="shared" si="1"/>
        <v>1</v>
      </c>
      <c r="H8" s="9" t="s">
        <v>62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</row>
    <row r="9" spans="2:135" x14ac:dyDescent="0.25">
      <c r="B9" s="15">
        <v>4</v>
      </c>
      <c r="C9" s="9" t="s">
        <v>183</v>
      </c>
      <c r="D9" s="10" t="s">
        <v>9</v>
      </c>
      <c r="E9" s="9">
        <v>25</v>
      </c>
      <c r="F9" s="9">
        <f t="shared" si="0"/>
        <v>19</v>
      </c>
      <c r="G9" s="31">
        <f t="shared" si="1"/>
        <v>6</v>
      </c>
      <c r="H9" s="9" t="s">
        <v>62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2</v>
      </c>
      <c r="X9" s="12"/>
      <c r="Y9" s="12">
        <v>5</v>
      </c>
      <c r="Z9" s="12"/>
      <c r="AA9" s="12">
        <v>5</v>
      </c>
      <c r="AB9" s="12">
        <v>2</v>
      </c>
      <c r="AC9" s="12"/>
      <c r="AD9" s="12">
        <v>3</v>
      </c>
      <c r="AE9" s="12">
        <v>2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</row>
    <row r="10" spans="2:135" x14ac:dyDescent="0.25">
      <c r="B10" s="9">
        <v>5</v>
      </c>
      <c r="C10" s="9" t="s">
        <v>183</v>
      </c>
      <c r="D10" s="10" t="s">
        <v>10</v>
      </c>
      <c r="E10" s="9">
        <v>70</v>
      </c>
      <c r="F10" s="9">
        <f t="shared" si="0"/>
        <v>0</v>
      </c>
      <c r="G10" s="31">
        <f t="shared" si="1"/>
        <v>70</v>
      </c>
      <c r="H10" s="9" t="s">
        <v>62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</row>
    <row r="11" spans="2:135" x14ac:dyDescent="0.25">
      <c r="B11" s="15">
        <v>6</v>
      </c>
      <c r="C11" s="9" t="s">
        <v>183</v>
      </c>
      <c r="D11" s="10" t="s">
        <v>257</v>
      </c>
      <c r="E11" s="9">
        <v>22</v>
      </c>
      <c r="F11" s="9">
        <f t="shared" si="0"/>
        <v>18</v>
      </c>
      <c r="G11" s="31">
        <f t="shared" si="1"/>
        <v>4</v>
      </c>
      <c r="H11" s="9" t="s">
        <v>62</v>
      </c>
      <c r="I11" s="12"/>
      <c r="J11" s="12">
        <v>3</v>
      </c>
      <c r="K11" s="12"/>
      <c r="L11" s="12">
        <v>1</v>
      </c>
      <c r="M11" s="12"/>
      <c r="N11" s="12"/>
      <c r="O11" s="12">
        <v>1</v>
      </c>
      <c r="P11" s="12">
        <v>2</v>
      </c>
      <c r="Q11" s="12"/>
      <c r="R11" s="12">
        <v>2</v>
      </c>
      <c r="S11" s="12"/>
      <c r="T11" s="12">
        <v>2</v>
      </c>
      <c r="U11" s="12"/>
      <c r="V11" s="12">
        <v>2</v>
      </c>
      <c r="W11" s="12"/>
      <c r="X11" s="12">
        <v>2</v>
      </c>
      <c r="Y11" s="12"/>
      <c r="Z11" s="12">
        <v>1</v>
      </c>
      <c r="AA11" s="12"/>
      <c r="AB11" s="12">
        <v>2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</row>
    <row r="12" spans="2:135" x14ac:dyDescent="0.25">
      <c r="B12" s="9">
        <v>7</v>
      </c>
      <c r="C12" s="9" t="s">
        <v>183</v>
      </c>
      <c r="D12" s="10" t="s">
        <v>258</v>
      </c>
      <c r="E12" s="9">
        <v>6</v>
      </c>
      <c r="F12" s="9">
        <f t="shared" si="0"/>
        <v>4</v>
      </c>
      <c r="G12" s="31">
        <f t="shared" si="1"/>
        <v>2</v>
      </c>
      <c r="H12" s="9" t="s">
        <v>62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2</v>
      </c>
      <c r="V12" s="12"/>
      <c r="W12" s="12"/>
      <c r="X12" s="12"/>
      <c r="Y12" s="12"/>
      <c r="Z12" s="12">
        <v>2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</row>
    <row r="13" spans="2:135" x14ac:dyDescent="0.25">
      <c r="B13" s="15">
        <v>8</v>
      </c>
      <c r="C13" s="9" t="s">
        <v>183</v>
      </c>
      <c r="D13" s="10" t="s">
        <v>235</v>
      </c>
      <c r="E13" s="9">
        <f>1+6+10</f>
        <v>17</v>
      </c>
      <c r="F13" s="9">
        <f t="shared" si="0"/>
        <v>13</v>
      </c>
      <c r="G13" s="31">
        <f t="shared" si="1"/>
        <v>4</v>
      </c>
      <c r="H13" s="9" t="s">
        <v>11</v>
      </c>
      <c r="I13" s="12"/>
      <c r="J13" s="12">
        <v>2</v>
      </c>
      <c r="K13" s="12"/>
      <c r="L13" s="12">
        <v>1</v>
      </c>
      <c r="M13" s="12"/>
      <c r="N13" s="12"/>
      <c r="O13" s="12"/>
      <c r="P13" s="12">
        <v>2</v>
      </c>
      <c r="Q13" s="12"/>
      <c r="R13" s="12"/>
      <c r="S13" s="12"/>
      <c r="T13" s="12"/>
      <c r="U13" s="12">
        <v>2</v>
      </c>
      <c r="V13" s="12"/>
      <c r="W13" s="12"/>
      <c r="X13" s="12"/>
      <c r="Y13" s="12">
        <v>3</v>
      </c>
      <c r="Z13" s="12"/>
      <c r="AA13" s="12"/>
      <c r="AB13" s="12"/>
      <c r="AC13" s="12"/>
      <c r="AD13" s="12">
        <v>3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</row>
    <row r="14" spans="2:135" x14ac:dyDescent="0.25">
      <c r="B14" s="9">
        <v>9</v>
      </c>
      <c r="C14" s="9" t="s">
        <v>184</v>
      </c>
      <c r="D14" s="10" t="s">
        <v>12</v>
      </c>
      <c r="E14" s="9">
        <v>0</v>
      </c>
      <c r="F14" s="9">
        <f t="shared" si="0"/>
        <v>0</v>
      </c>
      <c r="G14" s="31">
        <f t="shared" si="1"/>
        <v>0</v>
      </c>
      <c r="H14" s="9" t="s">
        <v>11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</row>
    <row r="15" spans="2:135" x14ac:dyDescent="0.25">
      <c r="B15" s="15">
        <v>10</v>
      </c>
      <c r="C15" s="9" t="s">
        <v>184</v>
      </c>
      <c r="D15" s="10" t="s">
        <v>256</v>
      </c>
      <c r="E15" s="9">
        <f>12+12</f>
        <v>24</v>
      </c>
      <c r="F15" s="9">
        <f t="shared" si="0"/>
        <v>13</v>
      </c>
      <c r="G15" s="31">
        <f t="shared" si="1"/>
        <v>11</v>
      </c>
      <c r="H15" s="9" t="s">
        <v>11</v>
      </c>
      <c r="I15" s="12"/>
      <c r="J15" s="12"/>
      <c r="K15" s="12"/>
      <c r="L15" s="12">
        <v>2</v>
      </c>
      <c r="M15" s="12"/>
      <c r="N15" s="12">
        <v>2</v>
      </c>
      <c r="O15" s="12"/>
      <c r="P15" s="12">
        <v>3</v>
      </c>
      <c r="Q15" s="12"/>
      <c r="R15" s="12"/>
      <c r="S15" s="12">
        <v>2</v>
      </c>
      <c r="T15" s="12"/>
      <c r="U15" s="12"/>
      <c r="V15" s="12"/>
      <c r="W15" s="12"/>
      <c r="X15" s="12"/>
      <c r="Y15" s="12"/>
      <c r="Z15" s="12">
        <v>1</v>
      </c>
      <c r="AA15" s="12"/>
      <c r="AB15" s="12">
        <v>1</v>
      </c>
      <c r="AC15" s="12"/>
      <c r="AD15" s="12">
        <v>1</v>
      </c>
      <c r="AE15" s="12"/>
      <c r="AF15" s="12"/>
      <c r="AG15" s="12">
        <v>1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</row>
    <row r="16" spans="2:135" x14ac:dyDescent="0.25">
      <c r="B16" s="9">
        <v>11</v>
      </c>
      <c r="C16" s="9" t="s">
        <v>184</v>
      </c>
      <c r="D16" s="35" t="s">
        <v>192</v>
      </c>
      <c r="E16" s="9">
        <v>28</v>
      </c>
      <c r="F16" s="9">
        <f t="shared" si="0"/>
        <v>17</v>
      </c>
      <c r="G16" s="31">
        <f t="shared" si="1"/>
        <v>11</v>
      </c>
      <c r="H16" s="9" t="s">
        <v>11</v>
      </c>
      <c r="I16" s="12"/>
      <c r="J16" s="12"/>
      <c r="K16" s="12"/>
      <c r="L16" s="12">
        <v>2</v>
      </c>
      <c r="M16" s="12"/>
      <c r="N16" s="12"/>
      <c r="O16" s="12">
        <v>2</v>
      </c>
      <c r="P16" s="12"/>
      <c r="Q16" s="12">
        <v>2</v>
      </c>
      <c r="R16" s="12">
        <v>1</v>
      </c>
      <c r="S16" s="12"/>
      <c r="T16" s="12">
        <v>1</v>
      </c>
      <c r="U16" s="12"/>
      <c r="V16" s="12"/>
      <c r="W16" s="12"/>
      <c r="X16" s="12">
        <v>1</v>
      </c>
      <c r="Y16" s="12"/>
      <c r="Z16" s="12"/>
      <c r="AA16" s="12">
        <v>1</v>
      </c>
      <c r="AB16" s="12">
        <v>2</v>
      </c>
      <c r="AC16" s="12">
        <v>2</v>
      </c>
      <c r="AD16" s="12"/>
      <c r="AE16" s="12">
        <v>2</v>
      </c>
      <c r="AF16" s="12">
        <v>1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</row>
    <row r="17" spans="2:135" x14ac:dyDescent="0.25">
      <c r="B17" s="15">
        <v>12</v>
      </c>
      <c r="C17" s="9" t="s">
        <v>184</v>
      </c>
      <c r="D17" s="10" t="s">
        <v>166</v>
      </c>
      <c r="E17" s="9">
        <v>29</v>
      </c>
      <c r="F17" s="9">
        <f t="shared" si="0"/>
        <v>21</v>
      </c>
      <c r="G17" s="31">
        <f t="shared" si="1"/>
        <v>8</v>
      </c>
      <c r="H17" s="9" t="s">
        <v>11</v>
      </c>
      <c r="I17" s="12"/>
      <c r="J17" s="12"/>
      <c r="K17" s="12"/>
      <c r="L17" s="12"/>
      <c r="M17" s="12">
        <v>5</v>
      </c>
      <c r="N17" s="12"/>
      <c r="O17" s="12">
        <v>3</v>
      </c>
      <c r="P17" s="12"/>
      <c r="Q17" s="12">
        <v>2</v>
      </c>
      <c r="R17" s="12"/>
      <c r="S17" s="12"/>
      <c r="T17" s="12"/>
      <c r="U17" s="12"/>
      <c r="V17" s="12">
        <v>3</v>
      </c>
      <c r="W17" s="12"/>
      <c r="X17" s="12"/>
      <c r="Y17" s="12"/>
      <c r="Z17" s="12">
        <v>3</v>
      </c>
      <c r="AA17" s="12"/>
      <c r="AB17" s="12"/>
      <c r="AC17" s="12"/>
      <c r="AD17" s="12"/>
      <c r="AE17" s="12">
        <v>5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</row>
    <row r="18" spans="2:135" x14ac:dyDescent="0.25">
      <c r="B18" s="9">
        <v>13</v>
      </c>
      <c r="C18" s="9" t="s">
        <v>184</v>
      </c>
      <c r="D18" s="10" t="s">
        <v>188</v>
      </c>
      <c r="E18" s="9">
        <v>0</v>
      </c>
      <c r="F18" s="9">
        <f t="shared" si="0"/>
        <v>0</v>
      </c>
      <c r="G18" s="31">
        <f t="shared" si="1"/>
        <v>0</v>
      </c>
      <c r="H18" s="9" t="s">
        <v>11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</row>
    <row r="19" spans="2:135" x14ac:dyDescent="0.25">
      <c r="B19" s="15">
        <v>14</v>
      </c>
      <c r="C19" s="9" t="s">
        <v>184</v>
      </c>
      <c r="D19" s="10" t="s">
        <v>167</v>
      </c>
      <c r="E19" s="9">
        <f>18+20+120</f>
        <v>158</v>
      </c>
      <c r="F19" s="9">
        <f t="shared" si="0"/>
        <v>35</v>
      </c>
      <c r="G19" s="31">
        <f t="shared" si="1"/>
        <v>123</v>
      </c>
      <c r="H19" s="9" t="s">
        <v>11</v>
      </c>
      <c r="I19" s="12"/>
      <c r="J19" s="12"/>
      <c r="K19" s="12"/>
      <c r="L19" s="12">
        <v>6</v>
      </c>
      <c r="M19" s="12">
        <v>10</v>
      </c>
      <c r="N19" s="12"/>
      <c r="O19" s="12"/>
      <c r="P19" s="12"/>
      <c r="Q19" s="12">
        <v>3</v>
      </c>
      <c r="R19" s="12"/>
      <c r="S19" s="12"/>
      <c r="T19" s="12"/>
      <c r="U19" s="12">
        <v>3</v>
      </c>
      <c r="V19" s="12"/>
      <c r="W19" s="12"/>
      <c r="X19" s="12">
        <v>5</v>
      </c>
      <c r="Y19" s="12"/>
      <c r="Z19" s="12"/>
      <c r="AA19" s="12">
        <v>2</v>
      </c>
      <c r="AB19" s="12"/>
      <c r="AC19" s="12">
        <v>3</v>
      </c>
      <c r="AD19" s="12"/>
      <c r="AE19" s="12">
        <v>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</row>
    <row r="20" spans="2:135" x14ac:dyDescent="0.25">
      <c r="B20" s="9">
        <v>15</v>
      </c>
      <c r="C20" s="9" t="s">
        <v>184</v>
      </c>
      <c r="D20" s="10" t="s">
        <v>255</v>
      </c>
      <c r="E20" s="9">
        <v>6</v>
      </c>
      <c r="F20" s="9">
        <f t="shared" si="0"/>
        <v>4</v>
      </c>
      <c r="G20" s="31">
        <f t="shared" si="1"/>
        <v>2</v>
      </c>
      <c r="H20" s="9" t="s">
        <v>11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>
        <v>2</v>
      </c>
      <c r="V20" s="12"/>
      <c r="W20" s="12"/>
      <c r="X20" s="12"/>
      <c r="Y20" s="12">
        <v>1</v>
      </c>
      <c r="Z20" s="12"/>
      <c r="AA20" s="12"/>
      <c r="AB20" s="12">
        <v>1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</row>
    <row r="21" spans="2:135" x14ac:dyDescent="0.25">
      <c r="B21" s="15">
        <v>16</v>
      </c>
      <c r="C21" s="9" t="s">
        <v>184</v>
      </c>
      <c r="D21" s="27" t="s">
        <v>165</v>
      </c>
      <c r="E21" s="9">
        <v>1</v>
      </c>
      <c r="F21" s="9">
        <f t="shared" si="0"/>
        <v>0</v>
      </c>
      <c r="G21" s="31">
        <f t="shared" si="1"/>
        <v>1</v>
      </c>
      <c r="H21" s="9" t="s">
        <v>11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</row>
    <row r="22" spans="2:135" x14ac:dyDescent="0.25">
      <c r="B22" s="9">
        <v>17</v>
      </c>
      <c r="C22" s="9" t="s">
        <v>175</v>
      </c>
      <c r="D22" s="34" t="s">
        <v>13</v>
      </c>
      <c r="E22" s="9">
        <v>15</v>
      </c>
      <c r="F22" s="9">
        <f t="shared" si="0"/>
        <v>2</v>
      </c>
      <c r="G22" s="31">
        <f t="shared" si="1"/>
        <v>13</v>
      </c>
      <c r="H22" s="9" t="s">
        <v>11</v>
      </c>
      <c r="I22" s="12"/>
      <c r="J22" s="12"/>
      <c r="K22" s="12"/>
      <c r="L22" s="12">
        <v>1</v>
      </c>
      <c r="M22" s="12"/>
      <c r="N22" s="12"/>
      <c r="O22" s="12">
        <v>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</row>
    <row r="23" spans="2:135" x14ac:dyDescent="0.25">
      <c r="B23" s="15">
        <v>18</v>
      </c>
      <c r="C23" s="9" t="s">
        <v>175</v>
      </c>
      <c r="D23" s="34" t="s">
        <v>14</v>
      </c>
      <c r="E23" s="9">
        <v>10</v>
      </c>
      <c r="F23" s="9">
        <f t="shared" si="0"/>
        <v>2</v>
      </c>
      <c r="G23" s="31">
        <f t="shared" si="1"/>
        <v>8</v>
      </c>
      <c r="H23" s="9" t="s">
        <v>11</v>
      </c>
      <c r="I23" s="12"/>
      <c r="J23" s="12"/>
      <c r="K23" s="12"/>
      <c r="L23" s="12"/>
      <c r="M23" s="12"/>
      <c r="N23" s="12"/>
      <c r="O23" s="12"/>
      <c r="P23" s="12"/>
      <c r="Q23" s="12">
        <v>1</v>
      </c>
      <c r="R23" s="12"/>
      <c r="S23" s="12"/>
      <c r="T23" s="12"/>
      <c r="U23" s="12">
        <v>1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</row>
    <row r="24" spans="2:135" x14ac:dyDescent="0.25">
      <c r="B24" s="9">
        <v>19</v>
      </c>
      <c r="C24" s="9" t="s">
        <v>175</v>
      </c>
      <c r="D24" s="34" t="s">
        <v>15</v>
      </c>
      <c r="E24" s="9">
        <v>1</v>
      </c>
      <c r="F24" s="9">
        <f t="shared" si="0"/>
        <v>0</v>
      </c>
      <c r="G24" s="31">
        <f t="shared" si="1"/>
        <v>1</v>
      </c>
      <c r="H24" s="9" t="s">
        <v>11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</row>
    <row r="25" spans="2:135" x14ac:dyDescent="0.25">
      <c r="B25" s="15">
        <v>20</v>
      </c>
      <c r="C25" s="9" t="s">
        <v>175</v>
      </c>
      <c r="D25" s="34" t="s">
        <v>16</v>
      </c>
      <c r="E25" s="9">
        <v>4</v>
      </c>
      <c r="F25" s="9">
        <f t="shared" si="0"/>
        <v>2</v>
      </c>
      <c r="G25" s="31">
        <f t="shared" si="1"/>
        <v>2</v>
      </c>
      <c r="H25" s="9" t="s">
        <v>11</v>
      </c>
      <c r="I25" s="12"/>
      <c r="J25" s="12"/>
      <c r="K25" s="12"/>
      <c r="L25" s="12">
        <v>1</v>
      </c>
      <c r="M25" s="12"/>
      <c r="N25" s="12"/>
      <c r="O25" s="12"/>
      <c r="P25" s="12"/>
      <c r="Q25" s="12"/>
      <c r="R25" s="12"/>
      <c r="S25" s="12"/>
      <c r="T25" s="12"/>
      <c r="U25" s="12">
        <v>1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</row>
    <row r="26" spans="2:135" x14ac:dyDescent="0.25">
      <c r="B26" s="9">
        <v>21</v>
      </c>
      <c r="C26" s="9" t="s">
        <v>175</v>
      </c>
      <c r="D26" s="34" t="s">
        <v>17</v>
      </c>
      <c r="E26" s="9">
        <v>6</v>
      </c>
      <c r="F26" s="9">
        <f t="shared" si="0"/>
        <v>0</v>
      </c>
      <c r="G26" s="31">
        <f t="shared" si="1"/>
        <v>6</v>
      </c>
      <c r="H26" s="9" t="s">
        <v>11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</row>
    <row r="27" spans="2:135" x14ac:dyDescent="0.25">
      <c r="B27" s="15">
        <v>22</v>
      </c>
      <c r="C27" s="9" t="s">
        <v>175</v>
      </c>
      <c r="D27" s="34" t="s">
        <v>18</v>
      </c>
      <c r="E27" s="9">
        <v>9</v>
      </c>
      <c r="F27" s="9">
        <f t="shared" si="0"/>
        <v>0</v>
      </c>
      <c r="G27" s="31">
        <f t="shared" si="1"/>
        <v>9</v>
      </c>
      <c r="H27" s="9" t="s">
        <v>11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</row>
    <row r="28" spans="2:135" x14ac:dyDescent="0.25">
      <c r="B28" s="9">
        <v>23</v>
      </c>
      <c r="C28" s="9" t="s">
        <v>175</v>
      </c>
      <c r="D28" s="34" t="s">
        <v>19</v>
      </c>
      <c r="E28" s="9">
        <v>1</v>
      </c>
      <c r="F28" s="9">
        <f t="shared" si="0"/>
        <v>0</v>
      </c>
      <c r="G28" s="31">
        <f t="shared" si="1"/>
        <v>1</v>
      </c>
      <c r="H28" s="9" t="s">
        <v>11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</row>
    <row r="29" spans="2:135" x14ac:dyDescent="0.25">
      <c r="B29" s="15">
        <v>24</v>
      </c>
      <c r="C29" s="9" t="s">
        <v>175</v>
      </c>
      <c r="D29" s="34" t="s">
        <v>20</v>
      </c>
      <c r="E29" s="9">
        <v>0</v>
      </c>
      <c r="F29" s="9">
        <f t="shared" si="0"/>
        <v>0</v>
      </c>
      <c r="G29" s="31">
        <f t="shared" si="1"/>
        <v>0</v>
      </c>
      <c r="H29" s="9" t="s">
        <v>11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</row>
    <row r="30" spans="2:135" x14ac:dyDescent="0.25">
      <c r="B30" s="9">
        <v>25</v>
      </c>
      <c r="C30" s="9" t="s">
        <v>175</v>
      </c>
      <c r="D30" s="34" t="s">
        <v>21</v>
      </c>
      <c r="E30" s="9">
        <v>1</v>
      </c>
      <c r="F30" s="9">
        <f t="shared" si="0"/>
        <v>0</v>
      </c>
      <c r="G30" s="31">
        <f t="shared" si="1"/>
        <v>1</v>
      </c>
      <c r="H30" s="9" t="s">
        <v>11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</row>
    <row r="31" spans="2:135" x14ac:dyDescent="0.25">
      <c r="B31" s="15">
        <v>26</v>
      </c>
      <c r="C31" s="9" t="s">
        <v>175</v>
      </c>
      <c r="D31" s="34" t="s">
        <v>22</v>
      </c>
      <c r="E31" s="9">
        <v>3</v>
      </c>
      <c r="F31" s="9">
        <f t="shared" si="0"/>
        <v>0</v>
      </c>
      <c r="G31" s="31">
        <f t="shared" si="1"/>
        <v>3</v>
      </c>
      <c r="H31" s="9" t="s">
        <v>11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</row>
    <row r="32" spans="2:135" x14ac:dyDescent="0.25">
      <c r="B32" s="9">
        <v>27</v>
      </c>
      <c r="C32" s="9" t="s">
        <v>175</v>
      </c>
      <c r="D32" s="34" t="s">
        <v>23</v>
      </c>
      <c r="E32" s="9">
        <v>7</v>
      </c>
      <c r="F32" s="9">
        <f t="shared" si="0"/>
        <v>0</v>
      </c>
      <c r="G32" s="31">
        <f t="shared" si="1"/>
        <v>7</v>
      </c>
      <c r="H32" s="9" t="s">
        <v>11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</row>
    <row r="33" spans="2:135" x14ac:dyDescent="0.25">
      <c r="B33" s="15">
        <v>28</v>
      </c>
      <c r="C33" s="9" t="s">
        <v>175</v>
      </c>
      <c r="D33" s="34" t="s">
        <v>272</v>
      </c>
      <c r="E33" s="9">
        <v>7</v>
      </c>
      <c r="F33" s="9">
        <f t="shared" si="0"/>
        <v>0</v>
      </c>
      <c r="G33" s="31">
        <f t="shared" si="1"/>
        <v>7</v>
      </c>
      <c r="H33" s="9" t="s">
        <v>11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</row>
    <row r="34" spans="2:135" x14ac:dyDescent="0.25">
      <c r="B34" s="9">
        <v>29</v>
      </c>
      <c r="C34" s="9" t="s">
        <v>175</v>
      </c>
      <c r="D34" s="34" t="s">
        <v>159</v>
      </c>
      <c r="E34" s="9">
        <v>2</v>
      </c>
      <c r="F34" s="9">
        <f t="shared" si="0"/>
        <v>0</v>
      </c>
      <c r="G34" s="31">
        <f t="shared" si="1"/>
        <v>2</v>
      </c>
      <c r="H34" s="9" t="s">
        <v>11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</row>
    <row r="35" spans="2:135" x14ac:dyDescent="0.25">
      <c r="B35" s="15">
        <v>30</v>
      </c>
      <c r="C35" s="9" t="s">
        <v>175</v>
      </c>
      <c r="D35" s="34" t="s">
        <v>24</v>
      </c>
      <c r="E35" s="9">
        <v>2</v>
      </c>
      <c r="F35" s="9">
        <f t="shared" si="0"/>
        <v>0</v>
      </c>
      <c r="G35" s="31">
        <f t="shared" si="1"/>
        <v>2</v>
      </c>
      <c r="H35" s="9" t="s">
        <v>11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</row>
    <row r="36" spans="2:135" x14ac:dyDescent="0.25">
      <c r="B36" s="9">
        <v>31</v>
      </c>
      <c r="C36" s="9" t="s">
        <v>175</v>
      </c>
      <c r="D36" s="34" t="s">
        <v>25</v>
      </c>
      <c r="E36" s="9">
        <v>0</v>
      </c>
      <c r="F36" s="9">
        <f t="shared" si="0"/>
        <v>0</v>
      </c>
      <c r="G36" s="31">
        <f t="shared" si="1"/>
        <v>0</v>
      </c>
      <c r="H36" s="9" t="s">
        <v>11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</row>
    <row r="37" spans="2:135" x14ac:dyDescent="0.25">
      <c r="B37" s="15">
        <v>32</v>
      </c>
      <c r="C37" s="9" t="s">
        <v>175</v>
      </c>
      <c r="D37" s="34" t="s">
        <v>26</v>
      </c>
      <c r="E37" s="9">
        <v>0</v>
      </c>
      <c r="F37" s="9">
        <f t="shared" si="0"/>
        <v>0</v>
      </c>
      <c r="G37" s="31">
        <f t="shared" si="1"/>
        <v>0</v>
      </c>
      <c r="H37" s="9" t="s">
        <v>11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</row>
    <row r="38" spans="2:135" x14ac:dyDescent="0.25">
      <c r="B38" s="9">
        <v>33</v>
      </c>
      <c r="C38" s="9" t="s">
        <v>175</v>
      </c>
      <c r="D38" s="34" t="s">
        <v>27</v>
      </c>
      <c r="E38" s="9">
        <v>0</v>
      </c>
      <c r="F38" s="9">
        <f t="shared" si="0"/>
        <v>0</v>
      </c>
      <c r="G38" s="31">
        <f t="shared" si="1"/>
        <v>0</v>
      </c>
      <c r="H38" s="9" t="s">
        <v>11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</row>
    <row r="39" spans="2:135" x14ac:dyDescent="0.25">
      <c r="B39" s="15">
        <v>34</v>
      </c>
      <c r="C39" s="9" t="s">
        <v>178</v>
      </c>
      <c r="D39" s="10" t="s">
        <v>28</v>
      </c>
      <c r="E39" s="9">
        <v>2</v>
      </c>
      <c r="F39" s="9">
        <f t="shared" si="0"/>
        <v>0</v>
      </c>
      <c r="G39" s="31">
        <f t="shared" si="1"/>
        <v>2</v>
      </c>
      <c r="H39" s="9" t="s">
        <v>11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</row>
    <row r="40" spans="2:135" x14ac:dyDescent="0.25">
      <c r="B40" s="9">
        <v>35</v>
      </c>
      <c r="C40" s="9" t="s">
        <v>174</v>
      </c>
      <c r="D40" s="10" t="s">
        <v>194</v>
      </c>
      <c r="E40" s="9">
        <v>2</v>
      </c>
      <c r="F40" s="9">
        <f t="shared" si="0"/>
        <v>0</v>
      </c>
      <c r="G40" s="31">
        <f t="shared" si="1"/>
        <v>2</v>
      </c>
      <c r="H40" s="9" t="s">
        <v>11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</row>
    <row r="41" spans="2:135" x14ac:dyDescent="0.25">
      <c r="B41" s="15">
        <v>36</v>
      </c>
      <c r="C41" s="9" t="s">
        <v>174</v>
      </c>
      <c r="D41" s="10" t="s">
        <v>195</v>
      </c>
      <c r="E41" s="9">
        <v>5</v>
      </c>
      <c r="F41" s="9">
        <f t="shared" si="0"/>
        <v>0</v>
      </c>
      <c r="G41" s="31">
        <f t="shared" si="1"/>
        <v>5</v>
      </c>
      <c r="H41" s="9" t="s">
        <v>11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</row>
    <row r="42" spans="2:135" x14ac:dyDescent="0.25">
      <c r="B42" s="9">
        <v>37</v>
      </c>
      <c r="C42" s="9" t="s">
        <v>174</v>
      </c>
      <c r="D42" s="10" t="s">
        <v>196</v>
      </c>
      <c r="E42" s="9">
        <v>1</v>
      </c>
      <c r="F42" s="9">
        <f t="shared" si="0"/>
        <v>0</v>
      </c>
      <c r="G42" s="31">
        <f t="shared" si="1"/>
        <v>1</v>
      </c>
      <c r="H42" s="9" t="s">
        <v>71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</row>
    <row r="43" spans="2:135" x14ac:dyDescent="0.25">
      <c r="B43" s="15">
        <v>38</v>
      </c>
      <c r="C43" s="9" t="s">
        <v>174</v>
      </c>
      <c r="D43" s="10" t="s">
        <v>197</v>
      </c>
      <c r="E43" s="9">
        <v>8</v>
      </c>
      <c r="F43" s="9">
        <f t="shared" si="0"/>
        <v>0</v>
      </c>
      <c r="G43" s="31">
        <f t="shared" si="1"/>
        <v>8</v>
      </c>
      <c r="H43" s="9" t="s">
        <v>11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</row>
    <row r="44" spans="2:135" x14ac:dyDescent="0.25">
      <c r="B44" s="9">
        <v>39</v>
      </c>
      <c r="C44" s="9" t="s">
        <v>174</v>
      </c>
      <c r="D44" s="10" t="s">
        <v>198</v>
      </c>
      <c r="E44" s="9">
        <v>1</v>
      </c>
      <c r="F44" s="9">
        <f t="shared" si="0"/>
        <v>0</v>
      </c>
      <c r="G44" s="31">
        <f t="shared" si="1"/>
        <v>1</v>
      </c>
      <c r="H44" s="9" t="s">
        <v>11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</row>
    <row r="45" spans="2:135" x14ac:dyDescent="0.25">
      <c r="B45" s="15">
        <v>40</v>
      </c>
      <c r="C45" s="9" t="s">
        <v>174</v>
      </c>
      <c r="D45" s="10" t="s">
        <v>199</v>
      </c>
      <c r="E45" s="9">
        <v>1</v>
      </c>
      <c r="F45" s="9">
        <f t="shared" si="0"/>
        <v>0</v>
      </c>
      <c r="G45" s="31">
        <f t="shared" si="1"/>
        <v>1</v>
      </c>
      <c r="H45" s="9" t="s">
        <v>11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</row>
    <row r="46" spans="2:135" x14ac:dyDescent="0.25">
      <c r="B46" s="9">
        <v>41</v>
      </c>
      <c r="C46" s="9" t="s">
        <v>174</v>
      </c>
      <c r="D46" s="10" t="s">
        <v>200</v>
      </c>
      <c r="E46" s="9">
        <v>1</v>
      </c>
      <c r="F46" s="9">
        <f t="shared" si="0"/>
        <v>0</v>
      </c>
      <c r="G46" s="31">
        <f t="shared" si="1"/>
        <v>1</v>
      </c>
      <c r="H46" s="9" t="s">
        <v>11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</row>
    <row r="47" spans="2:135" x14ac:dyDescent="0.25">
      <c r="B47" s="15">
        <v>42</v>
      </c>
      <c r="C47" s="9" t="s">
        <v>174</v>
      </c>
      <c r="D47" s="10" t="s">
        <v>201</v>
      </c>
      <c r="E47" s="9">
        <v>0</v>
      </c>
      <c r="F47" s="9">
        <f t="shared" si="0"/>
        <v>0</v>
      </c>
      <c r="G47" s="31">
        <f t="shared" si="1"/>
        <v>0</v>
      </c>
      <c r="H47" s="9" t="s">
        <v>11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</row>
    <row r="48" spans="2:135" x14ac:dyDescent="0.25">
      <c r="B48" s="9">
        <v>43</v>
      </c>
      <c r="C48" s="9" t="s">
        <v>174</v>
      </c>
      <c r="D48" s="10" t="s">
        <v>202</v>
      </c>
      <c r="E48" s="9">
        <v>3</v>
      </c>
      <c r="F48" s="9">
        <f t="shared" si="0"/>
        <v>0</v>
      </c>
      <c r="G48" s="31">
        <f t="shared" si="1"/>
        <v>3</v>
      </c>
      <c r="H48" s="9" t="s">
        <v>11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</row>
    <row r="49" spans="2:135" x14ac:dyDescent="0.25">
      <c r="B49" s="15">
        <v>44</v>
      </c>
      <c r="C49" s="9" t="s">
        <v>174</v>
      </c>
      <c r="D49" s="10" t="s">
        <v>203</v>
      </c>
      <c r="E49" s="9">
        <v>1</v>
      </c>
      <c r="F49" s="9">
        <f t="shared" si="0"/>
        <v>0</v>
      </c>
      <c r="G49" s="31">
        <f t="shared" si="1"/>
        <v>1</v>
      </c>
      <c r="H49" s="9" t="s">
        <v>11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</row>
    <row r="50" spans="2:135" x14ac:dyDescent="0.25">
      <c r="B50" s="9">
        <v>45</v>
      </c>
      <c r="C50" s="9" t="s">
        <v>174</v>
      </c>
      <c r="D50" s="10" t="s">
        <v>204</v>
      </c>
      <c r="E50" s="9">
        <v>1</v>
      </c>
      <c r="F50" s="9">
        <f t="shared" si="0"/>
        <v>0</v>
      </c>
      <c r="G50" s="31">
        <f t="shared" si="1"/>
        <v>1</v>
      </c>
      <c r="H50" s="9" t="s">
        <v>11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</row>
    <row r="51" spans="2:135" x14ac:dyDescent="0.25">
      <c r="B51" s="15">
        <v>46</v>
      </c>
      <c r="C51" s="9" t="s">
        <v>174</v>
      </c>
      <c r="D51" s="10" t="s">
        <v>205</v>
      </c>
      <c r="E51" s="9">
        <v>1</v>
      </c>
      <c r="F51" s="9">
        <f t="shared" si="0"/>
        <v>0</v>
      </c>
      <c r="G51" s="31">
        <f t="shared" si="1"/>
        <v>1</v>
      </c>
      <c r="H51" s="9" t="s">
        <v>11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</row>
    <row r="52" spans="2:135" x14ac:dyDescent="0.25">
      <c r="B52" s="9">
        <v>47</v>
      </c>
      <c r="C52" s="9" t="s">
        <v>173</v>
      </c>
      <c r="D52" s="10" t="s">
        <v>29</v>
      </c>
      <c r="E52" s="9">
        <v>27</v>
      </c>
      <c r="F52" s="9">
        <f t="shared" si="0"/>
        <v>0</v>
      </c>
      <c r="G52" s="31">
        <f t="shared" si="1"/>
        <v>27</v>
      </c>
      <c r="H52" s="9" t="s">
        <v>11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</row>
    <row r="53" spans="2:135" x14ac:dyDescent="0.25">
      <c r="B53" s="15">
        <v>48</v>
      </c>
      <c r="C53" s="9" t="s">
        <v>173</v>
      </c>
      <c r="D53" s="10" t="s">
        <v>30</v>
      </c>
      <c r="E53" s="9">
        <v>11</v>
      </c>
      <c r="F53" s="9">
        <f t="shared" si="0"/>
        <v>0</v>
      </c>
      <c r="G53" s="31">
        <f t="shared" si="1"/>
        <v>11</v>
      </c>
      <c r="H53" s="9" t="s">
        <v>11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</row>
    <row r="54" spans="2:135" x14ac:dyDescent="0.25">
      <c r="B54" s="9">
        <v>49</v>
      </c>
      <c r="C54" s="9" t="s">
        <v>173</v>
      </c>
      <c r="D54" s="10" t="s">
        <v>31</v>
      </c>
      <c r="E54" s="9">
        <v>13</v>
      </c>
      <c r="F54" s="9">
        <f t="shared" si="0"/>
        <v>0</v>
      </c>
      <c r="G54" s="31">
        <f t="shared" si="1"/>
        <v>13</v>
      </c>
      <c r="H54" s="9" t="s">
        <v>11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</row>
    <row r="55" spans="2:135" x14ac:dyDescent="0.25">
      <c r="B55" s="15">
        <v>50</v>
      </c>
      <c r="C55" s="9" t="s">
        <v>173</v>
      </c>
      <c r="D55" s="10" t="s">
        <v>32</v>
      </c>
      <c r="E55" s="9">
        <v>31</v>
      </c>
      <c r="F55" s="9">
        <f t="shared" si="0"/>
        <v>0</v>
      </c>
      <c r="G55" s="31">
        <f t="shared" si="1"/>
        <v>31</v>
      </c>
      <c r="H55" s="9" t="s">
        <v>11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</row>
    <row r="56" spans="2:135" x14ac:dyDescent="0.25">
      <c r="B56" s="9">
        <v>51</v>
      </c>
      <c r="C56" s="9" t="s">
        <v>173</v>
      </c>
      <c r="D56" s="10" t="s">
        <v>33</v>
      </c>
      <c r="E56" s="9">
        <v>21</v>
      </c>
      <c r="F56" s="9">
        <f t="shared" si="0"/>
        <v>0</v>
      </c>
      <c r="G56" s="31">
        <f t="shared" si="1"/>
        <v>21</v>
      </c>
      <c r="H56" s="9" t="s">
        <v>11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</row>
    <row r="57" spans="2:135" x14ac:dyDescent="0.25">
      <c r="B57" s="15">
        <v>52</v>
      </c>
      <c r="C57" s="9" t="s">
        <v>173</v>
      </c>
      <c r="D57" s="10" t="s">
        <v>34</v>
      </c>
      <c r="E57" s="9">
        <v>17</v>
      </c>
      <c r="F57" s="9">
        <f t="shared" si="0"/>
        <v>0</v>
      </c>
      <c r="G57" s="31">
        <f t="shared" si="1"/>
        <v>17</v>
      </c>
      <c r="H57" s="9" t="s">
        <v>11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</row>
    <row r="58" spans="2:135" x14ac:dyDescent="0.25">
      <c r="B58" s="9">
        <v>53</v>
      </c>
      <c r="C58" s="9" t="s">
        <v>173</v>
      </c>
      <c r="D58" s="10" t="s">
        <v>35</v>
      </c>
      <c r="E58" s="9">
        <v>87</v>
      </c>
      <c r="F58" s="9">
        <f t="shared" si="0"/>
        <v>0</v>
      </c>
      <c r="G58" s="31">
        <f t="shared" si="1"/>
        <v>87</v>
      </c>
      <c r="H58" s="9" t="s">
        <v>11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</row>
    <row r="59" spans="2:135" x14ac:dyDescent="0.25">
      <c r="B59" s="15">
        <v>54</v>
      </c>
      <c r="C59" s="9" t="s">
        <v>173</v>
      </c>
      <c r="D59" s="10" t="s">
        <v>36</v>
      </c>
      <c r="E59" s="9">
        <v>80</v>
      </c>
      <c r="F59" s="9">
        <f t="shared" si="0"/>
        <v>0</v>
      </c>
      <c r="G59" s="31">
        <f t="shared" si="1"/>
        <v>80</v>
      </c>
      <c r="H59" s="9" t="s">
        <v>11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</row>
    <row r="60" spans="2:135" x14ac:dyDescent="0.25">
      <c r="B60" s="9">
        <v>55</v>
      </c>
      <c r="C60" s="9" t="s">
        <v>173</v>
      </c>
      <c r="D60" s="10" t="s">
        <v>37</v>
      </c>
      <c r="E60" s="9">
        <v>0</v>
      </c>
      <c r="F60" s="9">
        <f t="shared" si="0"/>
        <v>0</v>
      </c>
      <c r="G60" s="31">
        <f t="shared" si="1"/>
        <v>0</v>
      </c>
      <c r="H60" s="9" t="s">
        <v>11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</row>
    <row r="61" spans="2:135" x14ac:dyDescent="0.25">
      <c r="B61" s="15">
        <v>56</v>
      </c>
      <c r="C61" s="9" t="s">
        <v>173</v>
      </c>
      <c r="D61" s="10" t="s">
        <v>38</v>
      </c>
      <c r="E61" s="9">
        <v>38</v>
      </c>
      <c r="F61" s="9">
        <f t="shared" si="0"/>
        <v>0</v>
      </c>
      <c r="G61" s="31">
        <f t="shared" si="1"/>
        <v>38</v>
      </c>
      <c r="H61" s="9" t="s">
        <v>11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</row>
    <row r="62" spans="2:135" x14ac:dyDescent="0.25">
      <c r="B62" s="9">
        <v>57</v>
      </c>
      <c r="C62" s="9" t="s">
        <v>173</v>
      </c>
      <c r="D62" s="10" t="s">
        <v>39</v>
      </c>
      <c r="E62" s="9">
        <v>38</v>
      </c>
      <c r="F62" s="9">
        <f t="shared" si="0"/>
        <v>0</v>
      </c>
      <c r="G62" s="31">
        <f t="shared" si="1"/>
        <v>38</v>
      </c>
      <c r="H62" s="9" t="s">
        <v>11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</row>
    <row r="63" spans="2:135" x14ac:dyDescent="0.25">
      <c r="B63" s="15">
        <v>58</v>
      </c>
      <c r="C63" s="9" t="s">
        <v>173</v>
      </c>
      <c r="D63" s="10" t="s">
        <v>40</v>
      </c>
      <c r="E63" s="9">
        <v>14</v>
      </c>
      <c r="F63" s="9">
        <f t="shared" si="0"/>
        <v>0</v>
      </c>
      <c r="G63" s="31">
        <f t="shared" si="1"/>
        <v>14</v>
      </c>
      <c r="H63" s="9" t="s">
        <v>11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</row>
    <row r="64" spans="2:135" x14ac:dyDescent="0.25">
      <c r="B64" s="9">
        <v>59</v>
      </c>
      <c r="C64" s="9" t="s">
        <v>173</v>
      </c>
      <c r="D64" s="10" t="s">
        <v>41</v>
      </c>
      <c r="E64" s="9">
        <v>7</v>
      </c>
      <c r="F64" s="9">
        <f t="shared" si="0"/>
        <v>0</v>
      </c>
      <c r="G64" s="31">
        <f t="shared" si="1"/>
        <v>7</v>
      </c>
      <c r="H64" s="9" t="s">
        <v>11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</row>
    <row r="65" spans="2:135" x14ac:dyDescent="0.25">
      <c r="B65" s="15">
        <v>60</v>
      </c>
      <c r="C65" s="9" t="s">
        <v>173</v>
      </c>
      <c r="D65" s="10" t="s">
        <v>42</v>
      </c>
      <c r="E65" s="9">
        <v>1</v>
      </c>
      <c r="F65" s="9">
        <f t="shared" si="0"/>
        <v>0</v>
      </c>
      <c r="G65" s="31">
        <f t="shared" si="1"/>
        <v>1</v>
      </c>
      <c r="H65" s="9" t="s">
        <v>11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</row>
    <row r="66" spans="2:135" x14ac:dyDescent="0.25">
      <c r="B66" s="9">
        <v>61</v>
      </c>
      <c r="C66" s="9" t="s">
        <v>174</v>
      </c>
      <c r="D66" s="10" t="s">
        <v>43</v>
      </c>
      <c r="E66" s="9">
        <v>12</v>
      </c>
      <c r="F66" s="9">
        <f t="shared" si="0"/>
        <v>0</v>
      </c>
      <c r="G66" s="31">
        <f t="shared" si="1"/>
        <v>12</v>
      </c>
      <c r="H66" s="9" t="s">
        <v>11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</row>
    <row r="67" spans="2:135" x14ac:dyDescent="0.25">
      <c r="B67" s="15">
        <v>62</v>
      </c>
      <c r="C67" s="9" t="s">
        <v>174</v>
      </c>
      <c r="D67" s="10" t="s">
        <v>44</v>
      </c>
      <c r="E67" s="9">
        <v>14</v>
      </c>
      <c r="F67" s="9">
        <f t="shared" si="0"/>
        <v>0</v>
      </c>
      <c r="G67" s="31">
        <f t="shared" si="1"/>
        <v>14</v>
      </c>
      <c r="H67" s="9" t="s">
        <v>11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</row>
    <row r="68" spans="2:135" x14ac:dyDescent="0.25">
      <c r="B68" s="9">
        <v>63</v>
      </c>
      <c r="C68" s="9" t="s">
        <v>174</v>
      </c>
      <c r="D68" s="10" t="s">
        <v>45</v>
      </c>
      <c r="E68" s="9">
        <v>10</v>
      </c>
      <c r="F68" s="9">
        <f t="shared" si="0"/>
        <v>0</v>
      </c>
      <c r="G68" s="31">
        <f t="shared" si="1"/>
        <v>10</v>
      </c>
      <c r="H68" s="9" t="s">
        <v>11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</row>
    <row r="69" spans="2:135" x14ac:dyDescent="0.25">
      <c r="B69" s="15">
        <v>64</v>
      </c>
      <c r="C69" s="9" t="s">
        <v>174</v>
      </c>
      <c r="D69" s="10" t="s">
        <v>46</v>
      </c>
      <c r="E69" s="9">
        <v>4</v>
      </c>
      <c r="F69" s="9">
        <f t="shared" si="0"/>
        <v>0</v>
      </c>
      <c r="G69" s="31">
        <f t="shared" si="1"/>
        <v>4</v>
      </c>
      <c r="H69" s="9" t="s">
        <v>11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</row>
    <row r="70" spans="2:135" x14ac:dyDescent="0.25">
      <c r="B70" s="9">
        <v>65</v>
      </c>
      <c r="C70" s="9" t="s">
        <v>174</v>
      </c>
      <c r="D70" s="10" t="s">
        <v>47</v>
      </c>
      <c r="E70" s="9">
        <v>6</v>
      </c>
      <c r="F70" s="9">
        <f t="shared" ref="F70:F133" si="2">SUM(I70:CV70)</f>
        <v>0</v>
      </c>
      <c r="G70" s="31">
        <f t="shared" si="1"/>
        <v>6</v>
      </c>
      <c r="H70" s="9" t="s">
        <v>11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</row>
    <row r="71" spans="2:135" x14ac:dyDescent="0.25">
      <c r="B71" s="15">
        <v>66</v>
      </c>
      <c r="C71" s="9" t="s">
        <v>174</v>
      </c>
      <c r="D71" s="10" t="s">
        <v>48</v>
      </c>
      <c r="E71" s="9">
        <v>5</v>
      </c>
      <c r="F71" s="9">
        <f t="shared" si="2"/>
        <v>0</v>
      </c>
      <c r="G71" s="31">
        <f t="shared" ref="G71:G134" si="3">E71-F71</f>
        <v>5</v>
      </c>
      <c r="H71" s="9" t="s">
        <v>11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</row>
    <row r="72" spans="2:135" x14ac:dyDescent="0.25">
      <c r="B72" s="9">
        <v>67</v>
      </c>
      <c r="C72" s="9" t="s">
        <v>174</v>
      </c>
      <c r="D72" s="10" t="s">
        <v>49</v>
      </c>
      <c r="E72" s="9">
        <v>5</v>
      </c>
      <c r="F72" s="9">
        <f t="shared" si="2"/>
        <v>0</v>
      </c>
      <c r="G72" s="31">
        <f t="shared" si="3"/>
        <v>5</v>
      </c>
      <c r="H72" s="9" t="s">
        <v>11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</row>
    <row r="73" spans="2:135" x14ac:dyDescent="0.25">
      <c r="B73" s="15">
        <v>68</v>
      </c>
      <c r="C73" s="9" t="s">
        <v>174</v>
      </c>
      <c r="D73" s="10" t="s">
        <v>50</v>
      </c>
      <c r="E73" s="9">
        <v>2</v>
      </c>
      <c r="F73" s="9">
        <f t="shared" si="2"/>
        <v>0</v>
      </c>
      <c r="G73" s="31">
        <f t="shared" si="3"/>
        <v>2</v>
      </c>
      <c r="H73" s="9" t="s">
        <v>11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</row>
    <row r="74" spans="2:135" x14ac:dyDescent="0.25">
      <c r="B74" s="9">
        <v>69</v>
      </c>
      <c r="C74" s="9" t="s">
        <v>174</v>
      </c>
      <c r="D74" s="10" t="s">
        <v>51</v>
      </c>
      <c r="E74" s="9">
        <v>7</v>
      </c>
      <c r="F74" s="9">
        <f t="shared" si="2"/>
        <v>0</v>
      </c>
      <c r="G74" s="31">
        <f t="shared" si="3"/>
        <v>7</v>
      </c>
      <c r="H74" s="9" t="s">
        <v>11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</row>
    <row r="75" spans="2:135" x14ac:dyDescent="0.25">
      <c r="B75" s="15">
        <v>70</v>
      </c>
      <c r="C75" s="9" t="s">
        <v>174</v>
      </c>
      <c r="D75" s="10" t="s">
        <v>52</v>
      </c>
      <c r="E75" s="9">
        <v>5</v>
      </c>
      <c r="F75" s="9">
        <f t="shared" si="2"/>
        <v>0</v>
      </c>
      <c r="G75" s="31">
        <f t="shared" si="3"/>
        <v>5</v>
      </c>
      <c r="H75" s="9" t="s">
        <v>11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</row>
    <row r="76" spans="2:135" x14ac:dyDescent="0.25">
      <c r="B76" s="9">
        <v>71</v>
      </c>
      <c r="C76" s="9" t="s">
        <v>174</v>
      </c>
      <c r="D76" s="10" t="s">
        <v>53</v>
      </c>
      <c r="E76" s="9">
        <v>3</v>
      </c>
      <c r="F76" s="9">
        <f t="shared" si="2"/>
        <v>0</v>
      </c>
      <c r="G76" s="31">
        <f t="shared" si="3"/>
        <v>3</v>
      </c>
      <c r="H76" s="9" t="s">
        <v>11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</row>
    <row r="77" spans="2:135" x14ac:dyDescent="0.25">
      <c r="B77" s="15">
        <v>72</v>
      </c>
      <c r="C77" s="9" t="s">
        <v>174</v>
      </c>
      <c r="D77" s="10" t="s">
        <v>54</v>
      </c>
      <c r="E77" s="9">
        <v>3</v>
      </c>
      <c r="F77" s="9">
        <f t="shared" si="2"/>
        <v>0</v>
      </c>
      <c r="G77" s="31">
        <f t="shared" si="3"/>
        <v>3</v>
      </c>
      <c r="H77" s="9" t="s">
        <v>11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</row>
    <row r="78" spans="2:135" x14ac:dyDescent="0.25">
      <c r="B78" s="9">
        <v>73</v>
      </c>
      <c r="C78" s="9" t="s">
        <v>174</v>
      </c>
      <c r="D78" s="10" t="s">
        <v>55</v>
      </c>
      <c r="E78" s="9">
        <v>3</v>
      </c>
      <c r="F78" s="9">
        <f t="shared" si="2"/>
        <v>0</v>
      </c>
      <c r="G78" s="31">
        <f t="shared" si="3"/>
        <v>3</v>
      </c>
      <c r="H78" s="9" t="s">
        <v>11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</row>
    <row r="79" spans="2:135" x14ac:dyDescent="0.25">
      <c r="B79" s="15">
        <v>74</v>
      </c>
      <c r="C79" s="9" t="s">
        <v>174</v>
      </c>
      <c r="D79" s="10" t="s">
        <v>56</v>
      </c>
      <c r="E79" s="9">
        <v>4</v>
      </c>
      <c r="F79" s="9">
        <f t="shared" si="2"/>
        <v>0</v>
      </c>
      <c r="G79" s="31">
        <f t="shared" si="3"/>
        <v>4</v>
      </c>
      <c r="H79" s="9" t="s">
        <v>11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</row>
    <row r="80" spans="2:135" x14ac:dyDescent="0.25">
      <c r="B80" s="9">
        <v>75</v>
      </c>
      <c r="C80" s="9" t="s">
        <v>174</v>
      </c>
      <c r="D80" s="10" t="s">
        <v>57</v>
      </c>
      <c r="E80" s="9">
        <v>3</v>
      </c>
      <c r="F80" s="9">
        <f t="shared" si="2"/>
        <v>0</v>
      </c>
      <c r="G80" s="31">
        <f t="shared" si="3"/>
        <v>3</v>
      </c>
      <c r="H80" s="9" t="s">
        <v>11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</row>
    <row r="81" spans="2:135" x14ac:dyDescent="0.25">
      <c r="B81" s="15">
        <v>76</v>
      </c>
      <c r="C81" s="9" t="s">
        <v>174</v>
      </c>
      <c r="D81" s="10" t="s">
        <v>58</v>
      </c>
      <c r="E81" s="9">
        <v>4</v>
      </c>
      <c r="F81" s="9">
        <f t="shared" si="2"/>
        <v>0</v>
      </c>
      <c r="G81" s="31">
        <f t="shared" si="3"/>
        <v>4</v>
      </c>
      <c r="H81" s="9" t="s">
        <v>11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</row>
    <row r="82" spans="2:135" x14ac:dyDescent="0.25">
      <c r="B82" s="9">
        <v>77</v>
      </c>
      <c r="C82" s="9" t="s">
        <v>174</v>
      </c>
      <c r="D82" s="10" t="s">
        <v>59</v>
      </c>
      <c r="E82" s="9">
        <v>6</v>
      </c>
      <c r="F82" s="9">
        <f t="shared" si="2"/>
        <v>0</v>
      </c>
      <c r="G82" s="31">
        <f t="shared" si="3"/>
        <v>6</v>
      </c>
      <c r="H82" s="9" t="s">
        <v>11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</row>
    <row r="83" spans="2:135" x14ac:dyDescent="0.25">
      <c r="B83" s="15">
        <v>78</v>
      </c>
      <c r="C83" s="9" t="s">
        <v>173</v>
      </c>
      <c r="D83" s="10" t="s">
        <v>60</v>
      </c>
      <c r="E83" s="9">
        <v>13</v>
      </c>
      <c r="F83" s="9">
        <f t="shared" si="2"/>
        <v>0</v>
      </c>
      <c r="G83" s="31">
        <f t="shared" si="3"/>
        <v>13</v>
      </c>
      <c r="H83" s="9" t="s">
        <v>11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</row>
    <row r="84" spans="2:135" x14ac:dyDescent="0.25">
      <c r="B84" s="9">
        <v>79</v>
      </c>
      <c r="C84" s="9" t="s">
        <v>176</v>
      </c>
      <c r="D84" s="10" t="s">
        <v>61</v>
      </c>
      <c r="E84" s="9">
        <v>7</v>
      </c>
      <c r="F84" s="9">
        <f t="shared" si="2"/>
        <v>0</v>
      </c>
      <c r="G84" s="31">
        <f t="shared" si="3"/>
        <v>7</v>
      </c>
      <c r="H84" s="9" t="s">
        <v>62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</row>
    <row r="85" spans="2:135" x14ac:dyDescent="0.25">
      <c r="B85" s="15">
        <v>80</v>
      </c>
      <c r="C85" s="9" t="s">
        <v>176</v>
      </c>
      <c r="D85" s="10" t="s">
        <v>63</v>
      </c>
      <c r="E85" s="9">
        <v>5</v>
      </c>
      <c r="F85" s="9">
        <f t="shared" si="2"/>
        <v>0</v>
      </c>
      <c r="G85" s="31">
        <f t="shared" si="3"/>
        <v>5</v>
      </c>
      <c r="H85" s="9" t="s">
        <v>62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</row>
    <row r="86" spans="2:135" x14ac:dyDescent="0.25">
      <c r="B86" s="9">
        <v>81</v>
      </c>
      <c r="C86" s="9" t="s">
        <v>176</v>
      </c>
      <c r="D86" s="10" t="s">
        <v>64</v>
      </c>
      <c r="E86" s="9">
        <v>4</v>
      </c>
      <c r="F86" s="9">
        <f t="shared" si="2"/>
        <v>0</v>
      </c>
      <c r="G86" s="31">
        <f t="shared" si="3"/>
        <v>4</v>
      </c>
      <c r="H86" s="9" t="s">
        <v>62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</row>
    <row r="87" spans="2:135" x14ac:dyDescent="0.25">
      <c r="B87" s="15">
        <v>82</v>
      </c>
      <c r="C87" s="9" t="s">
        <v>176</v>
      </c>
      <c r="D87" s="10" t="s">
        <v>65</v>
      </c>
      <c r="E87" s="9">
        <v>1</v>
      </c>
      <c r="F87" s="9">
        <f t="shared" si="2"/>
        <v>0</v>
      </c>
      <c r="G87" s="31">
        <f t="shared" si="3"/>
        <v>1</v>
      </c>
      <c r="H87" s="9" t="s">
        <v>62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</row>
    <row r="88" spans="2:135" x14ac:dyDescent="0.25">
      <c r="B88" s="9">
        <v>83</v>
      </c>
      <c r="C88" s="9" t="s">
        <v>176</v>
      </c>
      <c r="D88" s="10" t="s">
        <v>66</v>
      </c>
      <c r="E88" s="9">
        <v>1</v>
      </c>
      <c r="F88" s="9">
        <f t="shared" si="2"/>
        <v>0</v>
      </c>
      <c r="G88" s="31">
        <f t="shared" si="3"/>
        <v>1</v>
      </c>
      <c r="H88" s="9" t="s">
        <v>62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</row>
    <row r="89" spans="2:135" x14ac:dyDescent="0.25">
      <c r="B89" s="15">
        <v>84</v>
      </c>
      <c r="C89" s="9" t="s">
        <v>176</v>
      </c>
      <c r="D89" s="10" t="s">
        <v>67</v>
      </c>
      <c r="E89" s="9">
        <v>4</v>
      </c>
      <c r="F89" s="9">
        <f t="shared" si="2"/>
        <v>0</v>
      </c>
      <c r="G89" s="31">
        <f t="shared" si="3"/>
        <v>4</v>
      </c>
      <c r="H89" s="9" t="s">
        <v>11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</row>
    <row r="90" spans="2:135" x14ac:dyDescent="0.25">
      <c r="B90" s="9">
        <v>85</v>
      </c>
      <c r="C90" s="9" t="s">
        <v>176</v>
      </c>
      <c r="D90" s="10" t="s">
        <v>68</v>
      </c>
      <c r="E90" s="9">
        <v>17</v>
      </c>
      <c r="F90" s="9">
        <f t="shared" si="2"/>
        <v>0</v>
      </c>
      <c r="G90" s="31">
        <f t="shared" si="3"/>
        <v>17</v>
      </c>
      <c r="H90" s="9" t="s">
        <v>11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</row>
    <row r="91" spans="2:135" x14ac:dyDescent="0.25">
      <c r="B91" s="15">
        <v>86</v>
      </c>
      <c r="C91" s="9" t="s">
        <v>179</v>
      </c>
      <c r="D91" s="10" t="s">
        <v>70</v>
      </c>
      <c r="E91" s="9">
        <f>4+24</f>
        <v>28</v>
      </c>
      <c r="F91" s="9">
        <f t="shared" si="2"/>
        <v>21</v>
      </c>
      <c r="G91" s="31">
        <f t="shared" si="3"/>
        <v>7</v>
      </c>
      <c r="H91" s="9" t="s">
        <v>62</v>
      </c>
      <c r="I91" s="12"/>
      <c r="J91" s="12"/>
      <c r="K91" s="12"/>
      <c r="L91" s="12">
        <v>2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>
        <v>3</v>
      </c>
      <c r="AC91" s="12"/>
      <c r="AD91" s="12">
        <v>2</v>
      </c>
      <c r="AE91" s="12"/>
      <c r="AF91" s="12">
        <v>3</v>
      </c>
      <c r="AG91" s="12"/>
      <c r="AH91" s="12">
        <v>3</v>
      </c>
      <c r="AI91" s="12">
        <v>3</v>
      </c>
      <c r="AJ91" s="12">
        <v>3</v>
      </c>
      <c r="AK91" s="12">
        <v>2</v>
      </c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</row>
    <row r="92" spans="2:135" x14ac:dyDescent="0.25">
      <c r="B92" s="9">
        <v>87</v>
      </c>
      <c r="C92" s="9" t="s">
        <v>179</v>
      </c>
      <c r="D92" s="10" t="s">
        <v>72</v>
      </c>
      <c r="E92" s="9">
        <f>7+36+24</f>
        <v>67</v>
      </c>
      <c r="F92" s="9">
        <f t="shared" si="2"/>
        <v>59</v>
      </c>
      <c r="G92" s="31">
        <f t="shared" si="3"/>
        <v>8</v>
      </c>
      <c r="H92" s="9" t="s">
        <v>62</v>
      </c>
      <c r="I92" s="12"/>
      <c r="J92" s="12"/>
      <c r="K92" s="12"/>
      <c r="L92" s="12">
        <v>3</v>
      </c>
      <c r="M92" s="12"/>
      <c r="N92" s="12"/>
      <c r="O92" s="12"/>
      <c r="P92" s="12">
        <v>3</v>
      </c>
      <c r="Q92" s="12">
        <v>2</v>
      </c>
      <c r="R92" s="12">
        <v>3</v>
      </c>
      <c r="S92" s="12"/>
      <c r="T92" s="12">
        <v>3</v>
      </c>
      <c r="U92" s="12">
        <v>2</v>
      </c>
      <c r="V92" s="12">
        <v>3</v>
      </c>
      <c r="W92" s="12">
        <v>3</v>
      </c>
      <c r="X92" s="12">
        <v>3</v>
      </c>
      <c r="Y92" s="12">
        <v>3</v>
      </c>
      <c r="Z92" s="12">
        <v>3</v>
      </c>
      <c r="AA92" s="12">
        <v>3</v>
      </c>
      <c r="AB92" s="12">
        <v>3</v>
      </c>
      <c r="AC92" s="12">
        <v>3</v>
      </c>
      <c r="AD92" s="12"/>
      <c r="AE92" s="12">
        <v>3</v>
      </c>
      <c r="AF92" s="12">
        <v>2</v>
      </c>
      <c r="AG92" s="12">
        <v>3</v>
      </c>
      <c r="AH92" s="12">
        <v>2</v>
      </c>
      <c r="AI92" s="12">
        <v>3</v>
      </c>
      <c r="AJ92" s="12">
        <v>3</v>
      </c>
      <c r="AK92" s="12">
        <v>3</v>
      </c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</row>
    <row r="93" spans="2:135" x14ac:dyDescent="0.25">
      <c r="B93" s="15">
        <v>88</v>
      </c>
      <c r="C93" s="9" t="s">
        <v>175</v>
      </c>
      <c r="D93" s="10" t="s">
        <v>73</v>
      </c>
      <c r="E93" s="9">
        <v>7</v>
      </c>
      <c r="F93" s="9">
        <f t="shared" si="2"/>
        <v>3</v>
      </c>
      <c r="G93" s="31">
        <f t="shared" si="3"/>
        <v>4</v>
      </c>
      <c r="H93" s="9" t="s">
        <v>11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>
        <v>2</v>
      </c>
      <c r="AA93" s="12"/>
      <c r="AB93" s="12"/>
      <c r="AC93" s="12"/>
      <c r="AD93" s="12"/>
      <c r="AE93" s="12"/>
      <c r="AF93" s="12"/>
      <c r="AG93" s="12">
        <v>1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</row>
    <row r="94" spans="2:135" x14ac:dyDescent="0.25">
      <c r="B94" s="9">
        <v>89</v>
      </c>
      <c r="C94" s="9" t="s">
        <v>175</v>
      </c>
      <c r="D94" s="10" t="s">
        <v>74</v>
      </c>
      <c r="E94" s="9">
        <v>19</v>
      </c>
      <c r="F94" s="9">
        <f t="shared" si="2"/>
        <v>4</v>
      </c>
      <c r="G94" s="31">
        <f t="shared" si="3"/>
        <v>15</v>
      </c>
      <c r="H94" s="9" t="s">
        <v>11</v>
      </c>
      <c r="I94" s="16"/>
      <c r="J94" s="16"/>
      <c r="K94" s="16"/>
      <c r="L94" s="16"/>
      <c r="M94" s="16"/>
      <c r="N94" s="16">
        <v>1</v>
      </c>
      <c r="O94" s="16"/>
      <c r="P94" s="16"/>
      <c r="Q94" s="16"/>
      <c r="R94" s="16"/>
      <c r="S94" s="16"/>
      <c r="T94" s="16"/>
      <c r="U94" s="16">
        <v>1</v>
      </c>
      <c r="V94" s="16"/>
      <c r="W94" s="16"/>
      <c r="X94" s="16"/>
      <c r="Y94" s="16"/>
      <c r="Z94" s="16"/>
      <c r="AA94" s="16"/>
      <c r="AB94" s="16"/>
      <c r="AC94" s="16">
        <v>1</v>
      </c>
      <c r="AD94" s="16"/>
      <c r="AE94" s="16"/>
      <c r="AF94" s="16"/>
      <c r="AG94" s="16"/>
      <c r="AH94" s="16"/>
      <c r="AI94" s="16">
        <v>1</v>
      </c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</row>
    <row r="95" spans="2:135" x14ac:dyDescent="0.25">
      <c r="B95" s="15">
        <v>90</v>
      </c>
      <c r="C95" s="9" t="s">
        <v>175</v>
      </c>
      <c r="D95" s="10" t="s">
        <v>75</v>
      </c>
      <c r="E95" s="9">
        <v>4</v>
      </c>
      <c r="F95" s="9">
        <f t="shared" si="2"/>
        <v>0</v>
      </c>
      <c r="G95" s="31">
        <f t="shared" si="3"/>
        <v>4</v>
      </c>
      <c r="H95" s="9" t="s">
        <v>11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</row>
    <row r="96" spans="2:135" x14ac:dyDescent="0.25">
      <c r="B96" s="9">
        <v>91</v>
      </c>
      <c r="C96" s="9" t="s">
        <v>176</v>
      </c>
      <c r="D96" s="10" t="s">
        <v>76</v>
      </c>
      <c r="E96" s="9">
        <v>5</v>
      </c>
      <c r="F96" s="9">
        <f t="shared" si="2"/>
        <v>1</v>
      </c>
      <c r="G96" s="31">
        <f t="shared" si="3"/>
        <v>4</v>
      </c>
      <c r="H96" s="9" t="s">
        <v>11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>
        <v>1</v>
      </c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</row>
    <row r="97" spans="2:135" x14ac:dyDescent="0.25">
      <c r="B97" s="15">
        <v>92</v>
      </c>
      <c r="C97" s="9">
        <v>6</v>
      </c>
      <c r="D97" s="10" t="s">
        <v>189</v>
      </c>
      <c r="E97" s="9">
        <v>49</v>
      </c>
      <c r="F97" s="9">
        <f t="shared" si="2"/>
        <v>22</v>
      </c>
      <c r="G97" s="31">
        <f t="shared" si="3"/>
        <v>27</v>
      </c>
      <c r="H97" s="9" t="s">
        <v>11</v>
      </c>
      <c r="I97" s="12"/>
      <c r="J97" s="12"/>
      <c r="K97" s="12"/>
      <c r="L97" s="12">
        <v>3</v>
      </c>
      <c r="M97" s="12"/>
      <c r="N97" s="12">
        <v>3</v>
      </c>
      <c r="O97" s="12"/>
      <c r="P97" s="12">
        <v>3</v>
      </c>
      <c r="Q97" s="12"/>
      <c r="R97" s="12">
        <v>2</v>
      </c>
      <c r="S97" s="12"/>
      <c r="T97" s="12"/>
      <c r="U97" s="12">
        <v>2</v>
      </c>
      <c r="V97" s="12"/>
      <c r="W97" s="12"/>
      <c r="X97" s="12">
        <v>3</v>
      </c>
      <c r="Y97" s="12"/>
      <c r="Z97" s="12"/>
      <c r="AA97" s="12">
        <v>2</v>
      </c>
      <c r="AB97" s="12"/>
      <c r="AC97" s="12"/>
      <c r="AD97" s="12">
        <v>2</v>
      </c>
      <c r="AE97" s="12"/>
      <c r="AF97" s="12"/>
      <c r="AG97" s="12">
        <v>2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</row>
    <row r="98" spans="2:135" x14ac:dyDescent="0.25">
      <c r="B98" s="9">
        <v>93</v>
      </c>
      <c r="C98" s="9">
        <v>6</v>
      </c>
      <c r="D98" s="10" t="s">
        <v>190</v>
      </c>
      <c r="E98" s="9">
        <f>2+6</f>
        <v>8</v>
      </c>
      <c r="F98" s="9">
        <f t="shared" si="2"/>
        <v>6</v>
      </c>
      <c r="G98" s="31">
        <f t="shared" si="3"/>
        <v>2</v>
      </c>
      <c r="H98" s="9" t="s">
        <v>11</v>
      </c>
      <c r="I98" s="12"/>
      <c r="J98" s="12"/>
      <c r="K98" s="12"/>
      <c r="L98" s="12">
        <v>2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>
        <v>2</v>
      </c>
      <c r="AG98" s="12"/>
      <c r="AH98" s="12"/>
      <c r="AI98" s="12">
        <v>2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</row>
    <row r="99" spans="2:135" x14ac:dyDescent="0.25">
      <c r="B99" s="15">
        <v>94</v>
      </c>
      <c r="C99" s="9">
        <v>5</v>
      </c>
      <c r="D99" s="10" t="s">
        <v>77</v>
      </c>
      <c r="E99" s="9">
        <v>14</v>
      </c>
      <c r="F99" s="9">
        <f t="shared" si="2"/>
        <v>7</v>
      </c>
      <c r="G99" s="31">
        <f t="shared" si="3"/>
        <v>7</v>
      </c>
      <c r="H99" s="9" t="s">
        <v>11</v>
      </c>
      <c r="I99" s="12"/>
      <c r="J99" s="12"/>
      <c r="K99" s="12">
        <v>2</v>
      </c>
      <c r="L99" s="12"/>
      <c r="M99" s="12">
        <v>2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v>2</v>
      </c>
      <c r="AA99" s="12"/>
      <c r="AB99" s="12"/>
      <c r="AC99" s="12"/>
      <c r="AD99" s="12"/>
      <c r="AE99" s="12"/>
      <c r="AF99" s="12">
        <v>1</v>
      </c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</row>
    <row r="100" spans="2:135" x14ac:dyDescent="0.25">
      <c r="B100" s="9">
        <v>95</v>
      </c>
      <c r="C100" s="9">
        <v>5</v>
      </c>
      <c r="D100" s="10" t="s">
        <v>191</v>
      </c>
      <c r="E100" s="9">
        <v>14</v>
      </c>
      <c r="F100" s="9">
        <f t="shared" si="2"/>
        <v>7</v>
      </c>
      <c r="G100" s="31">
        <f t="shared" si="3"/>
        <v>7</v>
      </c>
      <c r="H100" s="9" t="s">
        <v>11</v>
      </c>
      <c r="I100" s="12"/>
      <c r="J100" s="12"/>
      <c r="K100" s="12">
        <v>2</v>
      </c>
      <c r="L100" s="12"/>
      <c r="M100" s="12">
        <v>2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>
        <v>1</v>
      </c>
      <c r="AC100" s="12"/>
      <c r="AD100" s="12"/>
      <c r="AE100" s="12"/>
      <c r="AF100" s="12"/>
      <c r="AG100" s="12">
        <v>2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</row>
    <row r="101" spans="2:135" x14ac:dyDescent="0.25">
      <c r="B101" s="15">
        <v>96</v>
      </c>
      <c r="C101" s="9" t="s">
        <v>176</v>
      </c>
      <c r="D101" s="10" t="s">
        <v>78</v>
      </c>
      <c r="E101" s="9">
        <f>0+12</f>
        <v>12</v>
      </c>
      <c r="F101" s="9">
        <f t="shared" si="2"/>
        <v>3</v>
      </c>
      <c r="G101" s="31">
        <f t="shared" si="3"/>
        <v>9</v>
      </c>
      <c r="H101" s="9" t="s">
        <v>11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>
        <v>1</v>
      </c>
      <c r="AJ101" s="12"/>
      <c r="AK101" s="12">
        <v>2</v>
      </c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</row>
    <row r="102" spans="2:135" x14ac:dyDescent="0.25">
      <c r="B102" s="9">
        <v>97</v>
      </c>
      <c r="C102" s="9" t="s">
        <v>176</v>
      </c>
      <c r="D102" s="10" t="s">
        <v>79</v>
      </c>
      <c r="E102" s="9">
        <v>9</v>
      </c>
      <c r="F102" s="9">
        <f t="shared" si="2"/>
        <v>2</v>
      </c>
      <c r="G102" s="31">
        <f t="shared" si="3"/>
        <v>7</v>
      </c>
      <c r="H102" s="9" t="s">
        <v>11</v>
      </c>
      <c r="I102" s="12"/>
      <c r="J102" s="12"/>
      <c r="K102" s="12"/>
      <c r="L102" s="12">
        <v>2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</row>
    <row r="103" spans="2:135" x14ac:dyDescent="0.25">
      <c r="B103" s="15">
        <v>98</v>
      </c>
      <c r="C103" s="9" t="s">
        <v>176</v>
      </c>
      <c r="D103" s="10" t="s">
        <v>80</v>
      </c>
      <c r="E103" s="9">
        <v>14</v>
      </c>
      <c r="F103" s="9">
        <f t="shared" si="2"/>
        <v>8</v>
      </c>
      <c r="G103" s="31">
        <f t="shared" si="3"/>
        <v>6</v>
      </c>
      <c r="H103" s="9" t="s">
        <v>11</v>
      </c>
      <c r="I103" s="12"/>
      <c r="J103" s="12">
        <v>2</v>
      </c>
      <c r="K103" s="12"/>
      <c r="L103" s="12"/>
      <c r="M103" s="12"/>
      <c r="N103" s="12">
        <v>2</v>
      </c>
      <c r="O103" s="12"/>
      <c r="P103" s="12"/>
      <c r="Q103" s="12"/>
      <c r="R103" s="12"/>
      <c r="S103" s="12"/>
      <c r="T103" s="12">
        <v>4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</row>
    <row r="104" spans="2:135" x14ac:dyDescent="0.25">
      <c r="B104" s="9">
        <v>99</v>
      </c>
      <c r="C104" s="9" t="s">
        <v>176</v>
      </c>
      <c r="D104" s="10" t="s">
        <v>81</v>
      </c>
      <c r="E104" s="9">
        <v>10</v>
      </c>
      <c r="F104" s="9">
        <f t="shared" si="2"/>
        <v>0</v>
      </c>
      <c r="G104" s="31">
        <f t="shared" si="3"/>
        <v>10</v>
      </c>
      <c r="H104" s="9" t="s">
        <v>11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</row>
    <row r="105" spans="2:135" x14ac:dyDescent="0.25">
      <c r="B105" s="15">
        <v>100</v>
      </c>
      <c r="C105" s="9" t="s">
        <v>185</v>
      </c>
      <c r="D105" s="10" t="s">
        <v>86</v>
      </c>
      <c r="E105" s="9">
        <v>340</v>
      </c>
      <c r="F105" s="9">
        <f t="shared" si="2"/>
        <v>180</v>
      </c>
      <c r="G105" s="31">
        <f t="shared" si="3"/>
        <v>160</v>
      </c>
      <c r="H105" s="9" t="s">
        <v>11</v>
      </c>
      <c r="I105" s="12"/>
      <c r="J105" s="12">
        <v>10</v>
      </c>
      <c r="K105" s="12"/>
      <c r="L105" s="12">
        <v>5</v>
      </c>
      <c r="M105" s="12"/>
      <c r="N105" s="12">
        <v>10</v>
      </c>
      <c r="O105" s="12"/>
      <c r="P105" s="12">
        <v>15</v>
      </c>
      <c r="Q105" s="12"/>
      <c r="R105" s="12">
        <v>10</v>
      </c>
      <c r="S105" s="12"/>
      <c r="T105" s="12">
        <v>15</v>
      </c>
      <c r="U105" s="12"/>
      <c r="V105" s="12">
        <v>10</v>
      </c>
      <c r="W105" s="12"/>
      <c r="X105" s="12">
        <v>15</v>
      </c>
      <c r="Y105" s="12"/>
      <c r="Z105" s="12">
        <v>5</v>
      </c>
      <c r="AA105" s="12">
        <v>10</v>
      </c>
      <c r="AB105" s="12"/>
      <c r="AC105" s="12">
        <v>15</v>
      </c>
      <c r="AD105" s="12"/>
      <c r="AE105" s="12">
        <v>10</v>
      </c>
      <c r="AF105" s="12"/>
      <c r="AG105" s="12">
        <v>15</v>
      </c>
      <c r="AH105" s="12"/>
      <c r="AI105" s="12">
        <v>10</v>
      </c>
      <c r="AJ105" s="12"/>
      <c r="AK105" s="12">
        <v>15</v>
      </c>
      <c r="AL105" s="12">
        <v>10</v>
      </c>
      <c r="AM105" s="12"/>
      <c r="AN105" s="12"/>
      <c r="AO105" s="12"/>
      <c r="AP105" s="12"/>
      <c r="AQ105" s="12"/>
      <c r="AR105" s="12"/>
      <c r="AS105" s="12"/>
      <c r="AT105" s="12"/>
      <c r="AU105" s="12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</row>
    <row r="106" spans="2:135" x14ac:dyDescent="0.25">
      <c r="B106" s="9">
        <v>101</v>
      </c>
      <c r="C106" s="9" t="s">
        <v>185</v>
      </c>
      <c r="D106" s="10" t="s">
        <v>87</v>
      </c>
      <c r="E106" s="9">
        <v>780</v>
      </c>
      <c r="F106" s="9">
        <f t="shared" si="2"/>
        <v>5</v>
      </c>
      <c r="G106" s="31">
        <f t="shared" si="3"/>
        <v>775</v>
      </c>
      <c r="H106" s="9" t="s">
        <v>11</v>
      </c>
      <c r="I106" s="12"/>
      <c r="J106" s="12"/>
      <c r="K106" s="12"/>
      <c r="L106" s="12">
        <v>5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</row>
    <row r="107" spans="2:135" x14ac:dyDescent="0.25">
      <c r="B107" s="15">
        <v>102</v>
      </c>
      <c r="C107" s="9" t="s">
        <v>185</v>
      </c>
      <c r="D107" s="10" t="s">
        <v>88</v>
      </c>
      <c r="E107" s="9">
        <v>8</v>
      </c>
      <c r="F107" s="9">
        <f t="shared" si="2"/>
        <v>0</v>
      </c>
      <c r="G107" s="31">
        <f t="shared" si="3"/>
        <v>8</v>
      </c>
      <c r="H107" s="9" t="s">
        <v>11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</row>
    <row r="108" spans="2:135" x14ac:dyDescent="0.25">
      <c r="B108" s="9">
        <v>103</v>
      </c>
      <c r="C108" s="9" t="s">
        <v>185</v>
      </c>
      <c r="D108" s="10" t="s">
        <v>89</v>
      </c>
      <c r="E108" s="9">
        <v>11</v>
      </c>
      <c r="F108" s="9">
        <f t="shared" si="2"/>
        <v>6</v>
      </c>
      <c r="G108" s="31">
        <f t="shared" si="3"/>
        <v>5</v>
      </c>
      <c r="H108" s="9" t="s">
        <v>11</v>
      </c>
      <c r="I108" s="12"/>
      <c r="J108" s="12"/>
      <c r="K108" s="12"/>
      <c r="L108" s="12"/>
      <c r="M108" s="12"/>
      <c r="N108" s="12">
        <v>1</v>
      </c>
      <c r="O108" s="12"/>
      <c r="P108" s="12">
        <v>1</v>
      </c>
      <c r="Q108" s="12"/>
      <c r="R108" s="12">
        <v>1</v>
      </c>
      <c r="S108" s="12"/>
      <c r="T108" s="12">
        <v>1</v>
      </c>
      <c r="U108" s="12"/>
      <c r="V108" s="12"/>
      <c r="W108" s="12"/>
      <c r="X108" s="12"/>
      <c r="Y108" s="12">
        <v>1</v>
      </c>
      <c r="Z108" s="12"/>
      <c r="AA108" s="12"/>
      <c r="AB108" s="12"/>
      <c r="AC108" s="12">
        <v>1</v>
      </c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</row>
    <row r="109" spans="2:135" x14ac:dyDescent="0.25">
      <c r="B109" s="15">
        <v>104</v>
      </c>
      <c r="C109" s="9" t="s">
        <v>185</v>
      </c>
      <c r="D109" s="10" t="s">
        <v>150</v>
      </c>
      <c r="E109" s="9">
        <v>11</v>
      </c>
      <c r="F109" s="9">
        <f t="shared" si="2"/>
        <v>0</v>
      </c>
      <c r="G109" s="31">
        <f t="shared" si="3"/>
        <v>11</v>
      </c>
      <c r="H109" s="9" t="s">
        <v>108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</row>
    <row r="110" spans="2:135" x14ac:dyDescent="0.25">
      <c r="B110" s="9">
        <v>105</v>
      </c>
      <c r="C110" s="9" t="s">
        <v>185</v>
      </c>
      <c r="D110" s="10" t="s">
        <v>90</v>
      </c>
      <c r="E110" s="9">
        <v>10</v>
      </c>
      <c r="F110" s="9">
        <f t="shared" si="2"/>
        <v>0</v>
      </c>
      <c r="G110" s="31">
        <f t="shared" si="3"/>
        <v>10</v>
      </c>
      <c r="H110" s="9" t="s">
        <v>11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</row>
    <row r="111" spans="2:135" x14ac:dyDescent="0.25">
      <c r="B111" s="15">
        <v>106</v>
      </c>
      <c r="C111" s="9">
        <v>4</v>
      </c>
      <c r="D111" s="10" t="s">
        <v>91</v>
      </c>
      <c r="E111" s="9">
        <v>34</v>
      </c>
      <c r="F111" s="9">
        <f t="shared" si="2"/>
        <v>0</v>
      </c>
      <c r="G111" s="31">
        <f t="shared" si="3"/>
        <v>34</v>
      </c>
      <c r="H111" s="9" t="s">
        <v>11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</row>
    <row r="112" spans="2:135" x14ac:dyDescent="0.25">
      <c r="B112" s="9">
        <v>107</v>
      </c>
      <c r="C112" s="9">
        <v>4</v>
      </c>
      <c r="D112" s="10" t="s">
        <v>92</v>
      </c>
      <c r="E112" s="9">
        <v>42</v>
      </c>
      <c r="F112" s="9">
        <f t="shared" si="2"/>
        <v>0</v>
      </c>
      <c r="G112" s="31">
        <f t="shared" si="3"/>
        <v>42</v>
      </c>
      <c r="H112" s="9" t="s">
        <v>11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</row>
    <row r="113" spans="2:135" x14ac:dyDescent="0.25">
      <c r="B113" s="15">
        <v>108</v>
      </c>
      <c r="C113" s="9">
        <v>4</v>
      </c>
      <c r="D113" s="10" t="s">
        <v>93</v>
      </c>
      <c r="E113" s="9">
        <v>41</v>
      </c>
      <c r="F113" s="9">
        <f t="shared" si="2"/>
        <v>0</v>
      </c>
      <c r="G113" s="31">
        <f t="shared" si="3"/>
        <v>41</v>
      </c>
      <c r="H113" s="9" t="s">
        <v>11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</row>
    <row r="114" spans="2:135" x14ac:dyDescent="0.25">
      <c r="B114" s="9">
        <v>109</v>
      </c>
      <c r="C114" s="9">
        <v>4</v>
      </c>
      <c r="D114" s="35" t="s">
        <v>94</v>
      </c>
      <c r="E114" s="9">
        <v>28</v>
      </c>
      <c r="F114" s="9">
        <f t="shared" si="2"/>
        <v>18</v>
      </c>
      <c r="G114" s="31">
        <f t="shared" si="3"/>
        <v>10</v>
      </c>
      <c r="H114" s="9" t="s">
        <v>11</v>
      </c>
      <c r="I114" s="12"/>
      <c r="J114" s="12"/>
      <c r="K114" s="12"/>
      <c r="L114" s="12"/>
      <c r="M114" s="12">
        <v>2</v>
      </c>
      <c r="N114" s="12"/>
      <c r="O114" s="12">
        <v>4</v>
      </c>
      <c r="P114" s="12">
        <v>4</v>
      </c>
      <c r="Q114" s="12">
        <v>4</v>
      </c>
      <c r="R114" s="12">
        <v>4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</row>
    <row r="115" spans="2:135" x14ac:dyDescent="0.25">
      <c r="B115" s="15">
        <v>110</v>
      </c>
      <c r="C115" s="9">
        <v>4</v>
      </c>
      <c r="D115" s="10" t="s">
        <v>95</v>
      </c>
      <c r="E115" s="9">
        <v>0</v>
      </c>
      <c r="F115" s="9">
        <f t="shared" si="2"/>
        <v>0</v>
      </c>
      <c r="G115" s="31">
        <f t="shared" si="3"/>
        <v>0</v>
      </c>
      <c r="H115" s="9" t="s">
        <v>11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</row>
    <row r="116" spans="2:135" x14ac:dyDescent="0.25">
      <c r="B116" s="9">
        <v>111</v>
      </c>
      <c r="C116" s="9">
        <v>4</v>
      </c>
      <c r="D116" s="10" t="s">
        <v>96</v>
      </c>
      <c r="E116" s="9">
        <v>65</v>
      </c>
      <c r="F116" s="9">
        <f t="shared" si="2"/>
        <v>18</v>
      </c>
      <c r="G116" s="31">
        <f t="shared" si="3"/>
        <v>47</v>
      </c>
      <c r="H116" s="9" t="s">
        <v>11</v>
      </c>
      <c r="I116" s="12"/>
      <c r="J116" s="12"/>
      <c r="K116" s="12"/>
      <c r="L116" s="12"/>
      <c r="M116" s="12">
        <v>2</v>
      </c>
      <c r="N116" s="12"/>
      <c r="O116" s="12">
        <v>4</v>
      </c>
      <c r="P116" s="12">
        <v>4</v>
      </c>
      <c r="Q116" s="12">
        <v>4</v>
      </c>
      <c r="R116" s="12">
        <v>4</v>
      </c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</row>
    <row r="117" spans="2:135" x14ac:dyDescent="0.25">
      <c r="B117" s="15">
        <v>112</v>
      </c>
      <c r="C117" s="9">
        <v>4</v>
      </c>
      <c r="D117" s="10" t="s">
        <v>97</v>
      </c>
      <c r="E117" s="9">
        <f>5+12+24</f>
        <v>41</v>
      </c>
      <c r="F117" s="9">
        <f t="shared" si="2"/>
        <v>29</v>
      </c>
      <c r="G117" s="31">
        <f t="shared" si="3"/>
        <v>12</v>
      </c>
      <c r="H117" s="9" t="s">
        <v>11</v>
      </c>
      <c r="I117" s="12"/>
      <c r="J117" s="12"/>
      <c r="K117" s="12"/>
      <c r="L117" s="12"/>
      <c r="M117" s="12">
        <v>5</v>
      </c>
      <c r="N117" s="12"/>
      <c r="O117" s="12">
        <v>4</v>
      </c>
      <c r="P117" s="12">
        <v>4</v>
      </c>
      <c r="Q117" s="12"/>
      <c r="R117" s="12"/>
      <c r="S117" s="12"/>
      <c r="T117" s="12">
        <v>4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>
        <v>12</v>
      </c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</row>
    <row r="118" spans="2:135" x14ac:dyDescent="0.25">
      <c r="B118" s="9">
        <v>113</v>
      </c>
      <c r="C118" s="9">
        <v>4</v>
      </c>
      <c r="D118" s="10" t="s">
        <v>98</v>
      </c>
      <c r="E118" s="9">
        <v>12</v>
      </c>
      <c r="F118" s="9">
        <f t="shared" si="2"/>
        <v>1</v>
      </c>
      <c r="G118" s="31">
        <f t="shared" si="3"/>
        <v>11</v>
      </c>
      <c r="H118" s="9" t="s">
        <v>11</v>
      </c>
      <c r="I118" s="12"/>
      <c r="J118" s="12"/>
      <c r="K118" s="12"/>
      <c r="L118" s="12">
        <v>1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</row>
    <row r="119" spans="2:135" x14ac:dyDescent="0.25">
      <c r="B119" s="15">
        <v>114</v>
      </c>
      <c r="C119" s="9">
        <v>4</v>
      </c>
      <c r="D119" s="10" t="s">
        <v>99</v>
      </c>
      <c r="E119" s="9">
        <v>70</v>
      </c>
      <c r="F119" s="9">
        <f t="shared" si="2"/>
        <v>1</v>
      </c>
      <c r="G119" s="31">
        <f t="shared" si="3"/>
        <v>69</v>
      </c>
      <c r="H119" s="9" t="s">
        <v>11</v>
      </c>
      <c r="I119" s="12"/>
      <c r="J119" s="12"/>
      <c r="K119" s="12"/>
      <c r="L119" s="12">
        <v>1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</row>
    <row r="120" spans="2:135" x14ac:dyDescent="0.25">
      <c r="B120" s="9">
        <v>115</v>
      </c>
      <c r="C120" s="9">
        <v>4</v>
      </c>
      <c r="D120" s="10" t="s">
        <v>100</v>
      </c>
      <c r="E120" s="9">
        <v>15</v>
      </c>
      <c r="F120" s="9">
        <f t="shared" si="2"/>
        <v>6</v>
      </c>
      <c r="G120" s="31">
        <f t="shared" si="3"/>
        <v>9</v>
      </c>
      <c r="H120" s="9" t="s">
        <v>11</v>
      </c>
      <c r="I120" s="12"/>
      <c r="J120" s="12"/>
      <c r="K120" s="12"/>
      <c r="L120" s="12">
        <v>1</v>
      </c>
      <c r="M120" s="12"/>
      <c r="N120" s="12"/>
      <c r="O120" s="12"/>
      <c r="P120" s="12"/>
      <c r="Q120" s="12"/>
      <c r="R120" s="12"/>
      <c r="S120" s="12"/>
      <c r="T120" s="12">
        <v>1</v>
      </c>
      <c r="U120" s="12"/>
      <c r="V120" s="12">
        <v>1</v>
      </c>
      <c r="W120" s="12"/>
      <c r="X120" s="12"/>
      <c r="Y120" s="12"/>
      <c r="Z120" s="12">
        <v>1</v>
      </c>
      <c r="AA120" s="12"/>
      <c r="AB120" s="12"/>
      <c r="AC120" s="12"/>
      <c r="AD120" s="12"/>
      <c r="AE120" s="12"/>
      <c r="AF120" s="12"/>
      <c r="AG120" s="12">
        <v>1</v>
      </c>
      <c r="AH120" s="12"/>
      <c r="AI120" s="12"/>
      <c r="AJ120" s="12">
        <v>1</v>
      </c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</row>
    <row r="121" spans="2:135" x14ac:dyDescent="0.25">
      <c r="B121" s="15">
        <v>116</v>
      </c>
      <c r="C121" s="9">
        <v>15</v>
      </c>
      <c r="D121" s="10" t="s">
        <v>101</v>
      </c>
      <c r="E121" s="9">
        <v>49</v>
      </c>
      <c r="F121" s="9">
        <f t="shared" si="2"/>
        <v>0</v>
      </c>
      <c r="G121" s="31">
        <f t="shared" si="3"/>
        <v>49</v>
      </c>
      <c r="H121" s="9" t="s">
        <v>11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</row>
    <row r="122" spans="2:135" x14ac:dyDescent="0.25">
      <c r="B122" s="9">
        <v>117</v>
      </c>
      <c r="C122" s="9" t="s">
        <v>176</v>
      </c>
      <c r="D122" s="10" t="s">
        <v>102</v>
      </c>
      <c r="E122" s="9">
        <v>0</v>
      </c>
      <c r="F122" s="9">
        <f t="shared" si="2"/>
        <v>0</v>
      </c>
      <c r="G122" s="31">
        <f t="shared" si="3"/>
        <v>0</v>
      </c>
      <c r="H122" s="9" t="s">
        <v>103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</row>
    <row r="123" spans="2:135" x14ac:dyDescent="0.25">
      <c r="B123" s="15">
        <v>118</v>
      </c>
      <c r="C123" s="9" t="s">
        <v>176</v>
      </c>
      <c r="D123" s="10" t="s">
        <v>104</v>
      </c>
      <c r="E123" s="9">
        <v>2</v>
      </c>
      <c r="F123" s="9">
        <f t="shared" si="2"/>
        <v>0</v>
      </c>
      <c r="G123" s="31">
        <f t="shared" si="3"/>
        <v>2</v>
      </c>
      <c r="H123" s="9" t="s">
        <v>103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</row>
    <row r="124" spans="2:135" x14ac:dyDescent="0.25">
      <c r="B124" s="9">
        <v>119</v>
      </c>
      <c r="C124" s="9">
        <v>4</v>
      </c>
      <c r="D124" s="10" t="s">
        <v>105</v>
      </c>
      <c r="E124" s="9">
        <v>8</v>
      </c>
      <c r="F124" s="9">
        <f t="shared" si="2"/>
        <v>0</v>
      </c>
      <c r="G124" s="31">
        <f t="shared" si="3"/>
        <v>8</v>
      </c>
      <c r="H124" s="9" t="s">
        <v>103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</row>
    <row r="125" spans="2:135" x14ac:dyDescent="0.25">
      <c r="B125" s="15">
        <v>120</v>
      </c>
      <c r="C125" s="9" t="s">
        <v>176</v>
      </c>
      <c r="D125" s="10" t="s">
        <v>106</v>
      </c>
      <c r="E125" s="9">
        <v>2</v>
      </c>
      <c r="F125" s="9">
        <f t="shared" si="2"/>
        <v>0</v>
      </c>
      <c r="G125" s="31">
        <f t="shared" si="3"/>
        <v>2</v>
      </c>
      <c r="H125" s="9" t="s">
        <v>103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</row>
    <row r="126" spans="2:135" x14ac:dyDescent="0.25">
      <c r="B126" s="9">
        <v>121</v>
      </c>
      <c r="C126" s="9" t="s">
        <v>176</v>
      </c>
      <c r="D126" s="10" t="s">
        <v>240</v>
      </c>
      <c r="E126" s="9">
        <v>6</v>
      </c>
      <c r="F126" s="9">
        <f t="shared" si="2"/>
        <v>0</v>
      </c>
      <c r="G126" s="31">
        <f t="shared" si="3"/>
        <v>6</v>
      </c>
      <c r="H126" s="9" t="s">
        <v>108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</row>
    <row r="127" spans="2:135" x14ac:dyDescent="0.25">
      <c r="B127" s="15">
        <v>122</v>
      </c>
      <c r="C127" s="9" t="s">
        <v>184</v>
      </c>
      <c r="D127" s="35" t="s">
        <v>109</v>
      </c>
      <c r="E127" s="9">
        <v>22</v>
      </c>
      <c r="F127" s="9">
        <f t="shared" si="2"/>
        <v>2</v>
      </c>
      <c r="G127" s="31">
        <f t="shared" si="3"/>
        <v>20</v>
      </c>
      <c r="H127" s="9" t="s">
        <v>103</v>
      </c>
      <c r="I127" s="12"/>
      <c r="J127" s="12"/>
      <c r="K127" s="12"/>
      <c r="L127" s="12"/>
      <c r="M127" s="12">
        <v>2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</row>
    <row r="128" spans="2:135" x14ac:dyDescent="0.25">
      <c r="B128" s="9">
        <v>123</v>
      </c>
      <c r="C128" s="9" t="s">
        <v>185</v>
      </c>
      <c r="D128" s="10" t="s">
        <v>110</v>
      </c>
      <c r="E128" s="9">
        <v>21</v>
      </c>
      <c r="F128" s="9">
        <f t="shared" si="2"/>
        <v>0</v>
      </c>
      <c r="G128" s="31">
        <f t="shared" si="3"/>
        <v>21</v>
      </c>
      <c r="H128" s="9" t="s">
        <v>108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</row>
    <row r="129" spans="2:135" x14ac:dyDescent="0.25">
      <c r="B129" s="15">
        <v>124</v>
      </c>
      <c r="C129" s="9" t="s">
        <v>179</v>
      </c>
      <c r="D129" s="10" t="s">
        <v>111</v>
      </c>
      <c r="E129" s="9">
        <v>9</v>
      </c>
      <c r="F129" s="9">
        <f t="shared" si="2"/>
        <v>5</v>
      </c>
      <c r="G129" s="31">
        <f t="shared" si="3"/>
        <v>4</v>
      </c>
      <c r="H129" s="9" t="s">
        <v>112</v>
      </c>
      <c r="I129" s="12"/>
      <c r="J129" s="12"/>
      <c r="K129" s="12"/>
      <c r="L129" s="12"/>
      <c r="M129" s="12"/>
      <c r="N129" s="12"/>
      <c r="O129" s="12"/>
      <c r="P129" s="12">
        <v>1</v>
      </c>
      <c r="Q129" s="12"/>
      <c r="R129" s="12">
        <v>1</v>
      </c>
      <c r="S129" s="12"/>
      <c r="T129" s="12"/>
      <c r="U129" s="12"/>
      <c r="V129" s="12"/>
      <c r="W129" s="12"/>
      <c r="X129" s="12"/>
      <c r="Y129" s="12">
        <v>1</v>
      </c>
      <c r="Z129" s="12"/>
      <c r="AA129" s="12"/>
      <c r="AB129" s="12"/>
      <c r="AC129" s="12"/>
      <c r="AD129" s="12"/>
      <c r="AE129" s="12">
        <v>1</v>
      </c>
      <c r="AF129" s="12"/>
      <c r="AG129" s="12"/>
      <c r="AH129" s="12">
        <v>1</v>
      </c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</row>
    <row r="130" spans="2:135" x14ac:dyDescent="0.25">
      <c r="B130" s="9">
        <v>125</v>
      </c>
      <c r="C130" s="9" t="s">
        <v>177</v>
      </c>
      <c r="D130" s="10" t="s">
        <v>206</v>
      </c>
      <c r="E130" s="9">
        <v>1</v>
      </c>
      <c r="F130" s="9">
        <f t="shared" si="2"/>
        <v>0</v>
      </c>
      <c r="G130" s="31">
        <f t="shared" si="3"/>
        <v>1</v>
      </c>
      <c r="H130" s="9" t="s">
        <v>112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</row>
    <row r="131" spans="2:135" x14ac:dyDescent="0.25">
      <c r="B131" s="15">
        <v>126</v>
      </c>
      <c r="C131" s="9" t="s">
        <v>177</v>
      </c>
      <c r="D131" s="10" t="s">
        <v>207</v>
      </c>
      <c r="E131" s="9">
        <v>2</v>
      </c>
      <c r="F131" s="9">
        <f t="shared" si="2"/>
        <v>0</v>
      </c>
      <c r="G131" s="31">
        <f t="shared" si="3"/>
        <v>2</v>
      </c>
      <c r="H131" s="9" t="s">
        <v>108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</row>
    <row r="132" spans="2:135" x14ac:dyDescent="0.25">
      <c r="B132" s="9">
        <v>127</v>
      </c>
      <c r="C132" s="9" t="s">
        <v>177</v>
      </c>
      <c r="D132" s="10" t="s">
        <v>208</v>
      </c>
      <c r="E132" s="9">
        <v>186</v>
      </c>
      <c r="F132" s="9">
        <f t="shared" si="2"/>
        <v>18</v>
      </c>
      <c r="G132" s="31">
        <f t="shared" si="3"/>
        <v>168</v>
      </c>
      <c r="H132" s="9" t="s">
        <v>247</v>
      </c>
      <c r="I132" s="12">
        <v>2</v>
      </c>
      <c r="J132" s="12"/>
      <c r="K132" s="12">
        <v>1</v>
      </c>
      <c r="L132" s="12"/>
      <c r="M132" s="12"/>
      <c r="N132" s="12"/>
      <c r="O132" s="12">
        <v>3</v>
      </c>
      <c r="P132" s="12"/>
      <c r="Q132" s="12"/>
      <c r="R132" s="12">
        <v>2</v>
      </c>
      <c r="S132" s="12"/>
      <c r="T132" s="12">
        <v>1</v>
      </c>
      <c r="U132" s="12"/>
      <c r="V132" s="12"/>
      <c r="W132" s="12"/>
      <c r="X132" s="12">
        <v>2</v>
      </c>
      <c r="Y132" s="12"/>
      <c r="Z132" s="12"/>
      <c r="AA132" s="12"/>
      <c r="AB132" s="12"/>
      <c r="AC132" s="12">
        <v>2</v>
      </c>
      <c r="AD132" s="12"/>
      <c r="AE132" s="12"/>
      <c r="AF132" s="12"/>
      <c r="AG132" s="12">
        <v>3</v>
      </c>
      <c r="AH132" s="12"/>
      <c r="AI132" s="12">
        <v>2</v>
      </c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</row>
    <row r="133" spans="2:135" x14ac:dyDescent="0.25">
      <c r="B133" s="15">
        <v>128</v>
      </c>
      <c r="C133" s="9" t="s">
        <v>177</v>
      </c>
      <c r="D133" s="10" t="s">
        <v>260</v>
      </c>
      <c r="E133" s="9">
        <v>11</v>
      </c>
      <c r="F133" s="9">
        <f t="shared" si="2"/>
        <v>0</v>
      </c>
      <c r="G133" s="31">
        <f t="shared" si="3"/>
        <v>11</v>
      </c>
      <c r="H133" s="9" t="s">
        <v>11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</row>
    <row r="134" spans="2:135" x14ac:dyDescent="0.25">
      <c r="B134" s="9">
        <v>129</v>
      </c>
      <c r="C134" s="9" t="s">
        <v>182</v>
      </c>
      <c r="D134" s="10" t="s">
        <v>233</v>
      </c>
      <c r="E134" s="9">
        <v>34</v>
      </c>
      <c r="F134" s="9">
        <f t="shared" ref="F134:F197" si="4">SUM(I134:CV134)</f>
        <v>10</v>
      </c>
      <c r="G134" s="31">
        <f t="shared" si="3"/>
        <v>24</v>
      </c>
      <c r="H134" s="9" t="s">
        <v>103</v>
      </c>
      <c r="I134" s="12"/>
      <c r="J134" s="12"/>
      <c r="K134" s="12"/>
      <c r="L134" s="12">
        <v>2</v>
      </c>
      <c r="M134" s="12"/>
      <c r="N134" s="12"/>
      <c r="O134" s="12"/>
      <c r="P134" s="12">
        <v>2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>
        <v>2</v>
      </c>
      <c r="AD134" s="12"/>
      <c r="AE134" s="12"/>
      <c r="AF134" s="12"/>
      <c r="AG134" s="12">
        <v>2</v>
      </c>
      <c r="AH134" s="12"/>
      <c r="AI134" s="12">
        <v>2</v>
      </c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</row>
    <row r="135" spans="2:135" x14ac:dyDescent="0.25">
      <c r="B135" s="15">
        <v>130</v>
      </c>
      <c r="C135" s="9" t="s">
        <v>182</v>
      </c>
      <c r="D135" s="10" t="s">
        <v>234</v>
      </c>
      <c r="E135" s="9">
        <v>33</v>
      </c>
      <c r="F135" s="9">
        <f t="shared" si="4"/>
        <v>4</v>
      </c>
      <c r="G135" s="31">
        <f t="shared" ref="G135:G198" si="5">E135-F135</f>
        <v>29</v>
      </c>
      <c r="H135" s="9" t="s">
        <v>112</v>
      </c>
      <c r="I135" s="12"/>
      <c r="J135" s="12"/>
      <c r="K135" s="12"/>
      <c r="L135" s="12"/>
      <c r="M135" s="12"/>
      <c r="N135" s="12"/>
      <c r="O135" s="12">
        <v>1</v>
      </c>
      <c r="P135" s="12"/>
      <c r="Q135" s="12"/>
      <c r="R135" s="12"/>
      <c r="S135" s="12"/>
      <c r="T135" s="12">
        <v>1</v>
      </c>
      <c r="U135" s="12"/>
      <c r="V135" s="12"/>
      <c r="W135" s="12"/>
      <c r="X135" s="12"/>
      <c r="Y135" s="12"/>
      <c r="Z135" s="12">
        <v>1</v>
      </c>
      <c r="AA135" s="12"/>
      <c r="AB135" s="12"/>
      <c r="AC135" s="12"/>
      <c r="AD135" s="12"/>
      <c r="AE135" s="12"/>
      <c r="AF135" s="12">
        <v>1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</row>
    <row r="136" spans="2:135" x14ac:dyDescent="0.25">
      <c r="B136" s="9">
        <v>131</v>
      </c>
      <c r="C136" s="9" t="s">
        <v>184</v>
      </c>
      <c r="D136" s="10" t="s">
        <v>193</v>
      </c>
      <c r="E136" s="9">
        <v>10</v>
      </c>
      <c r="F136" s="9">
        <f t="shared" si="4"/>
        <v>0</v>
      </c>
      <c r="G136" s="31">
        <f t="shared" si="5"/>
        <v>10</v>
      </c>
      <c r="H136" s="9" t="s">
        <v>112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</row>
    <row r="137" spans="2:135" x14ac:dyDescent="0.25">
      <c r="B137" s="15">
        <v>132</v>
      </c>
      <c r="C137" s="9" t="s">
        <v>177</v>
      </c>
      <c r="D137" s="10" t="s">
        <v>115</v>
      </c>
      <c r="E137" s="9">
        <v>229</v>
      </c>
      <c r="F137" s="9">
        <f t="shared" si="4"/>
        <v>23</v>
      </c>
      <c r="G137" s="31">
        <f t="shared" si="5"/>
        <v>206</v>
      </c>
      <c r="H137" s="9" t="s">
        <v>112</v>
      </c>
      <c r="I137" s="12"/>
      <c r="J137" s="12">
        <v>3</v>
      </c>
      <c r="K137" s="12"/>
      <c r="L137" s="12">
        <v>3</v>
      </c>
      <c r="M137" s="12"/>
      <c r="N137" s="12"/>
      <c r="O137" s="12"/>
      <c r="P137" s="12"/>
      <c r="Q137" s="12">
        <v>3</v>
      </c>
      <c r="R137" s="12"/>
      <c r="S137" s="12"/>
      <c r="T137" s="12"/>
      <c r="U137" s="12">
        <v>4</v>
      </c>
      <c r="V137" s="12"/>
      <c r="W137" s="12"/>
      <c r="X137" s="12"/>
      <c r="Y137" s="12">
        <v>2</v>
      </c>
      <c r="Z137" s="12"/>
      <c r="AA137" s="12"/>
      <c r="AB137" s="12"/>
      <c r="AC137" s="12">
        <v>3</v>
      </c>
      <c r="AD137" s="12"/>
      <c r="AE137" s="12"/>
      <c r="AF137" s="12"/>
      <c r="AG137" s="12">
        <v>2</v>
      </c>
      <c r="AH137" s="12"/>
      <c r="AI137" s="12"/>
      <c r="AJ137" s="12">
        <v>3</v>
      </c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</row>
    <row r="138" spans="2:135" x14ac:dyDescent="0.25">
      <c r="B138" s="9">
        <v>133</v>
      </c>
      <c r="C138" s="9" t="s">
        <v>184</v>
      </c>
      <c r="D138" s="10" t="s">
        <v>261</v>
      </c>
      <c r="E138" s="9">
        <v>0</v>
      </c>
      <c r="F138" s="9">
        <f t="shared" si="4"/>
        <v>0</v>
      </c>
      <c r="G138" s="31">
        <f t="shared" si="5"/>
        <v>0</v>
      </c>
      <c r="H138" s="9" t="s">
        <v>112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</row>
    <row r="139" spans="2:135" x14ac:dyDescent="0.25">
      <c r="B139" s="15">
        <v>134</v>
      </c>
      <c r="C139" s="9" t="s">
        <v>184</v>
      </c>
      <c r="D139" s="10" t="s">
        <v>262</v>
      </c>
      <c r="E139" s="9">
        <v>47</v>
      </c>
      <c r="F139" s="9">
        <f t="shared" si="4"/>
        <v>3</v>
      </c>
      <c r="G139" s="31">
        <f t="shared" si="5"/>
        <v>44</v>
      </c>
      <c r="H139" s="9" t="s">
        <v>112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>
        <v>1</v>
      </c>
      <c r="AD139" s="12"/>
      <c r="AE139" s="12"/>
      <c r="AF139" s="12"/>
      <c r="AG139" s="12"/>
      <c r="AH139" s="12">
        <v>2</v>
      </c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</row>
    <row r="140" spans="2:135" x14ac:dyDescent="0.25">
      <c r="B140" s="9">
        <v>135</v>
      </c>
      <c r="C140" s="9"/>
      <c r="D140" s="10" t="s">
        <v>263</v>
      </c>
      <c r="E140" s="9">
        <v>1</v>
      </c>
      <c r="F140" s="9">
        <f t="shared" si="4"/>
        <v>0</v>
      </c>
      <c r="G140" s="31">
        <f t="shared" si="5"/>
        <v>1</v>
      </c>
      <c r="H140" s="9" t="s">
        <v>112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</row>
    <row r="141" spans="2:135" x14ac:dyDescent="0.25">
      <c r="B141" s="15">
        <v>136</v>
      </c>
      <c r="C141" s="9" t="s">
        <v>184</v>
      </c>
      <c r="D141" s="10" t="s">
        <v>243</v>
      </c>
      <c r="E141" s="9">
        <v>13</v>
      </c>
      <c r="F141" s="9">
        <f t="shared" si="4"/>
        <v>8</v>
      </c>
      <c r="G141" s="31">
        <f t="shared" si="5"/>
        <v>5</v>
      </c>
      <c r="H141" s="9" t="s">
        <v>112</v>
      </c>
      <c r="I141" s="12"/>
      <c r="J141" s="12"/>
      <c r="K141" s="12"/>
      <c r="L141" s="12"/>
      <c r="M141" s="12"/>
      <c r="N141" s="12"/>
      <c r="O141" s="12"/>
      <c r="P141" s="12">
        <v>3</v>
      </c>
      <c r="Q141" s="12">
        <v>3</v>
      </c>
      <c r="R141" s="12">
        <v>2</v>
      </c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</row>
    <row r="142" spans="2:135" x14ac:dyDescent="0.25">
      <c r="B142" s="9">
        <v>137</v>
      </c>
      <c r="C142" s="9" t="s">
        <v>185</v>
      </c>
      <c r="D142" s="10" t="s">
        <v>113</v>
      </c>
      <c r="E142" s="9">
        <v>1</v>
      </c>
      <c r="F142" s="9">
        <f t="shared" si="4"/>
        <v>0</v>
      </c>
      <c r="G142" s="31">
        <f t="shared" si="5"/>
        <v>1</v>
      </c>
      <c r="H142" s="9" t="s">
        <v>112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</row>
    <row r="143" spans="2:135" x14ac:dyDescent="0.25">
      <c r="B143" s="15">
        <v>138</v>
      </c>
      <c r="C143" s="9" t="s">
        <v>185</v>
      </c>
      <c r="D143" s="10" t="s">
        <v>226</v>
      </c>
      <c r="E143" s="9">
        <v>10</v>
      </c>
      <c r="F143" s="9">
        <f t="shared" si="4"/>
        <v>0</v>
      </c>
      <c r="G143" s="31">
        <f t="shared" si="5"/>
        <v>10</v>
      </c>
      <c r="H143" s="9" t="s">
        <v>108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</row>
    <row r="144" spans="2:135" x14ac:dyDescent="0.25">
      <c r="B144" s="9">
        <v>139</v>
      </c>
      <c r="C144" s="9" t="s">
        <v>184</v>
      </c>
      <c r="D144" s="10" t="s">
        <v>114</v>
      </c>
      <c r="E144" s="9">
        <v>15</v>
      </c>
      <c r="F144" s="9">
        <f t="shared" si="4"/>
        <v>8</v>
      </c>
      <c r="G144" s="31">
        <f t="shared" si="5"/>
        <v>7</v>
      </c>
      <c r="H144" s="9" t="s">
        <v>112</v>
      </c>
      <c r="I144" s="12"/>
      <c r="J144" s="12"/>
      <c r="K144" s="12"/>
      <c r="L144" s="12">
        <v>8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</row>
    <row r="145" spans="2:135" x14ac:dyDescent="0.25">
      <c r="B145" s="9">
        <v>140</v>
      </c>
      <c r="C145" s="9" t="s">
        <v>184</v>
      </c>
      <c r="D145" s="10" t="s">
        <v>7501</v>
      </c>
      <c r="E145" s="9">
        <f>0+24</f>
        <v>24</v>
      </c>
      <c r="F145" s="9">
        <f t="shared" si="4"/>
        <v>18</v>
      </c>
      <c r="G145" s="31">
        <f t="shared" si="5"/>
        <v>6</v>
      </c>
      <c r="H145" s="9" t="s">
        <v>108</v>
      </c>
      <c r="I145" s="12"/>
      <c r="J145" s="12"/>
      <c r="K145" s="12">
        <v>6</v>
      </c>
      <c r="L145" s="12"/>
      <c r="M145" s="12"/>
      <c r="N145" s="12"/>
      <c r="O145" s="12"/>
      <c r="P145" s="12">
        <v>2</v>
      </c>
      <c r="Q145" s="12"/>
      <c r="R145" s="12"/>
      <c r="S145" s="12"/>
      <c r="T145" s="12">
        <v>2</v>
      </c>
      <c r="U145" s="12"/>
      <c r="V145" s="12"/>
      <c r="W145" s="12"/>
      <c r="X145" s="12"/>
      <c r="Y145" s="12">
        <v>2</v>
      </c>
      <c r="Z145" s="12"/>
      <c r="AA145" s="12"/>
      <c r="AB145" s="12"/>
      <c r="AC145" s="12">
        <v>2</v>
      </c>
      <c r="AD145" s="12"/>
      <c r="AE145" s="12">
        <v>2</v>
      </c>
      <c r="AF145" s="12"/>
      <c r="AG145" s="12"/>
      <c r="AH145" s="12">
        <v>2</v>
      </c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</row>
    <row r="146" spans="2:135" x14ac:dyDescent="0.25">
      <c r="B146" s="9">
        <v>141</v>
      </c>
      <c r="C146" s="9" t="s">
        <v>184</v>
      </c>
      <c r="D146" s="10" t="s">
        <v>7502</v>
      </c>
      <c r="E146" s="9">
        <f>0+24</f>
        <v>24</v>
      </c>
      <c r="F146" s="9">
        <f t="shared" si="4"/>
        <v>24</v>
      </c>
      <c r="G146" s="31">
        <f t="shared" si="5"/>
        <v>0</v>
      </c>
      <c r="H146" s="9" t="s">
        <v>108</v>
      </c>
      <c r="I146" s="12"/>
      <c r="J146" s="12"/>
      <c r="K146" s="12">
        <v>6</v>
      </c>
      <c r="L146" s="12"/>
      <c r="M146" s="12"/>
      <c r="N146" s="12"/>
      <c r="O146" s="12"/>
      <c r="P146" s="12"/>
      <c r="Q146" s="12"/>
      <c r="R146" s="12">
        <v>3</v>
      </c>
      <c r="S146" s="12"/>
      <c r="T146" s="12"/>
      <c r="U146" s="12">
        <v>3</v>
      </c>
      <c r="V146" s="12"/>
      <c r="W146" s="12"/>
      <c r="X146" s="12"/>
      <c r="Y146" s="12">
        <v>3</v>
      </c>
      <c r="Z146" s="12"/>
      <c r="AA146" s="12"/>
      <c r="AB146" s="12"/>
      <c r="AC146" s="12">
        <v>3</v>
      </c>
      <c r="AD146" s="12"/>
      <c r="AE146" s="12">
        <v>3</v>
      </c>
      <c r="AF146" s="12"/>
      <c r="AG146" s="12"/>
      <c r="AH146" s="12">
        <v>3</v>
      </c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</row>
    <row r="147" spans="2:135" x14ac:dyDescent="0.25">
      <c r="B147" s="9">
        <v>142</v>
      </c>
      <c r="C147" s="9" t="s">
        <v>184</v>
      </c>
      <c r="D147" s="10" t="s">
        <v>273</v>
      </c>
      <c r="E147" s="9">
        <f>24+9</f>
        <v>33</v>
      </c>
      <c r="F147" s="9">
        <f t="shared" si="4"/>
        <v>18</v>
      </c>
      <c r="G147" s="31">
        <f t="shared" si="5"/>
        <v>15</v>
      </c>
      <c r="H147" s="9" t="s">
        <v>11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>
        <v>3</v>
      </c>
      <c r="S147" s="12"/>
      <c r="T147" s="12"/>
      <c r="U147" s="12">
        <v>3</v>
      </c>
      <c r="V147" s="12"/>
      <c r="W147" s="12"/>
      <c r="X147" s="12"/>
      <c r="Y147" s="12">
        <v>3</v>
      </c>
      <c r="Z147" s="12"/>
      <c r="AA147" s="12"/>
      <c r="AB147" s="12"/>
      <c r="AC147" s="12"/>
      <c r="AD147" s="12"/>
      <c r="AE147" s="12"/>
      <c r="AF147" s="12"/>
      <c r="AG147" s="12"/>
      <c r="AH147" s="12">
        <v>3</v>
      </c>
      <c r="AI147" s="12">
        <v>3</v>
      </c>
      <c r="AJ147" s="12">
        <v>3</v>
      </c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</row>
    <row r="148" spans="2:135" x14ac:dyDescent="0.25">
      <c r="B148" s="9">
        <v>143</v>
      </c>
      <c r="C148" s="9" t="s">
        <v>184</v>
      </c>
      <c r="D148" s="10" t="s">
        <v>274</v>
      </c>
      <c r="E148" s="9">
        <f>0+36</f>
        <v>36</v>
      </c>
      <c r="F148" s="9">
        <f t="shared" si="4"/>
        <v>15</v>
      </c>
      <c r="G148" s="31">
        <f t="shared" si="5"/>
        <v>21</v>
      </c>
      <c r="H148" s="9" t="s">
        <v>11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>
        <v>3</v>
      </c>
      <c r="AD148" s="12"/>
      <c r="AE148" s="12">
        <v>5</v>
      </c>
      <c r="AF148" s="12"/>
      <c r="AG148" s="12"/>
      <c r="AH148" s="12">
        <v>2</v>
      </c>
      <c r="AI148" s="12"/>
      <c r="AJ148" s="12">
        <v>3</v>
      </c>
      <c r="AK148" s="12"/>
      <c r="AL148" s="12">
        <v>2</v>
      </c>
      <c r="AM148" s="12"/>
      <c r="AN148" s="12"/>
      <c r="AO148" s="12"/>
      <c r="AP148" s="12"/>
      <c r="AQ148" s="12"/>
      <c r="AR148" s="12"/>
      <c r="AS148" s="12"/>
      <c r="AT148" s="12"/>
      <c r="AU148" s="12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</row>
    <row r="149" spans="2:135" x14ac:dyDescent="0.25">
      <c r="B149" s="9">
        <v>144</v>
      </c>
      <c r="C149" s="9" t="s">
        <v>184</v>
      </c>
      <c r="D149" s="10" t="s">
        <v>116</v>
      </c>
      <c r="E149" s="9">
        <f>4+24+36</f>
        <v>64</v>
      </c>
      <c r="F149" s="9">
        <f t="shared" si="4"/>
        <v>30</v>
      </c>
      <c r="G149" s="31">
        <f t="shared" si="5"/>
        <v>34</v>
      </c>
      <c r="H149" s="9" t="s">
        <v>103</v>
      </c>
      <c r="I149" s="12"/>
      <c r="J149" s="12"/>
      <c r="K149" s="12"/>
      <c r="L149" s="12">
        <v>5</v>
      </c>
      <c r="M149" s="12"/>
      <c r="N149" s="12">
        <v>5</v>
      </c>
      <c r="O149" s="12">
        <v>3</v>
      </c>
      <c r="P149" s="12"/>
      <c r="Q149" s="12"/>
      <c r="R149" s="12"/>
      <c r="S149" s="12"/>
      <c r="T149" s="12"/>
      <c r="U149" s="12"/>
      <c r="V149" s="12"/>
      <c r="W149" s="12"/>
      <c r="X149" s="12">
        <v>2</v>
      </c>
      <c r="Y149" s="12"/>
      <c r="Z149" s="12">
        <v>3</v>
      </c>
      <c r="AA149" s="12"/>
      <c r="AB149" s="12"/>
      <c r="AC149" s="12">
        <v>2</v>
      </c>
      <c r="AD149" s="12"/>
      <c r="AE149" s="12">
        <v>3</v>
      </c>
      <c r="AF149" s="12"/>
      <c r="AG149" s="12">
        <v>2</v>
      </c>
      <c r="AH149" s="12"/>
      <c r="AI149" s="12">
        <v>3</v>
      </c>
      <c r="AJ149" s="12"/>
      <c r="AK149" s="12">
        <v>2</v>
      </c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</row>
    <row r="150" spans="2:135" x14ac:dyDescent="0.25">
      <c r="B150" s="9">
        <v>145</v>
      </c>
      <c r="C150" s="9" t="s">
        <v>184</v>
      </c>
      <c r="D150" s="10" t="s">
        <v>117</v>
      </c>
      <c r="E150" s="9">
        <f>4+24+36</f>
        <v>64</v>
      </c>
      <c r="F150" s="9">
        <f t="shared" si="4"/>
        <v>45</v>
      </c>
      <c r="G150" s="31">
        <f t="shared" si="5"/>
        <v>19</v>
      </c>
      <c r="H150" s="9" t="s">
        <v>103</v>
      </c>
      <c r="I150" s="12"/>
      <c r="J150" s="12"/>
      <c r="K150" s="12"/>
      <c r="L150" s="12">
        <v>5</v>
      </c>
      <c r="M150" s="12"/>
      <c r="N150" s="12"/>
      <c r="O150" s="12"/>
      <c r="P150" s="12"/>
      <c r="Q150" s="12">
        <v>3</v>
      </c>
      <c r="R150" s="12">
        <v>2</v>
      </c>
      <c r="S150" s="12">
        <v>2</v>
      </c>
      <c r="T150" s="12">
        <v>12</v>
      </c>
      <c r="U150" s="12"/>
      <c r="V150" s="12">
        <v>2</v>
      </c>
      <c r="W150" s="12"/>
      <c r="X150" s="12">
        <v>1</v>
      </c>
      <c r="Y150" s="12">
        <v>2</v>
      </c>
      <c r="Z150" s="12"/>
      <c r="AA150" s="12">
        <v>2</v>
      </c>
      <c r="AB150" s="12"/>
      <c r="AC150" s="12">
        <v>2</v>
      </c>
      <c r="AD150" s="12"/>
      <c r="AE150" s="12">
        <v>3</v>
      </c>
      <c r="AF150" s="12">
        <v>2</v>
      </c>
      <c r="AG150" s="12">
        <v>1</v>
      </c>
      <c r="AH150" s="12">
        <v>1</v>
      </c>
      <c r="AI150" s="12">
        <v>2</v>
      </c>
      <c r="AJ150" s="12">
        <v>1</v>
      </c>
      <c r="AK150" s="12"/>
      <c r="AL150" s="12">
        <v>2</v>
      </c>
      <c r="AM150" s="12"/>
      <c r="AN150" s="12"/>
      <c r="AO150" s="12"/>
      <c r="AP150" s="12"/>
      <c r="AQ150" s="12"/>
      <c r="AR150" s="12"/>
      <c r="AS150" s="12"/>
      <c r="AT150" s="12"/>
      <c r="AU150" s="12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</row>
    <row r="151" spans="2:135" x14ac:dyDescent="0.25">
      <c r="B151" s="9">
        <v>146</v>
      </c>
      <c r="C151" s="9" t="s">
        <v>179</v>
      </c>
      <c r="D151" s="10" t="s">
        <v>118</v>
      </c>
      <c r="E151" s="9">
        <v>41</v>
      </c>
      <c r="F151" s="9">
        <f t="shared" si="4"/>
        <v>18</v>
      </c>
      <c r="G151" s="31">
        <f t="shared" si="5"/>
        <v>23</v>
      </c>
      <c r="H151" s="9" t="s">
        <v>103</v>
      </c>
      <c r="I151" s="12">
        <v>3</v>
      </c>
      <c r="J151" s="12"/>
      <c r="K151" s="12">
        <v>3</v>
      </c>
      <c r="L151" s="12"/>
      <c r="M151" s="12">
        <v>3</v>
      </c>
      <c r="N151" s="12"/>
      <c r="O151" s="12"/>
      <c r="P151" s="12"/>
      <c r="Q151" s="12"/>
      <c r="R151" s="12">
        <v>3</v>
      </c>
      <c r="S151" s="12"/>
      <c r="T151" s="12"/>
      <c r="U151" s="12"/>
      <c r="V151" s="12"/>
      <c r="W151" s="12"/>
      <c r="X151" s="12">
        <v>3</v>
      </c>
      <c r="Y151" s="12"/>
      <c r="Z151" s="12"/>
      <c r="AA151" s="12"/>
      <c r="AB151" s="12">
        <v>3</v>
      </c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</row>
    <row r="152" spans="2:135" x14ac:dyDescent="0.25">
      <c r="B152" s="9">
        <v>147</v>
      </c>
      <c r="C152" s="9" t="s">
        <v>184</v>
      </c>
      <c r="D152" s="10" t="s">
        <v>119</v>
      </c>
      <c r="E152" s="9">
        <v>30</v>
      </c>
      <c r="F152" s="9">
        <f t="shared" si="4"/>
        <v>5</v>
      </c>
      <c r="G152" s="31">
        <f t="shared" si="5"/>
        <v>25</v>
      </c>
      <c r="H152" s="9" t="s">
        <v>103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>
        <v>1</v>
      </c>
      <c r="S152" s="12"/>
      <c r="T152" s="12"/>
      <c r="U152" s="12"/>
      <c r="V152" s="12"/>
      <c r="W152" s="12">
        <v>1</v>
      </c>
      <c r="X152" s="12"/>
      <c r="Y152" s="12"/>
      <c r="Z152" s="12">
        <v>1</v>
      </c>
      <c r="AA152" s="12"/>
      <c r="AB152" s="12">
        <v>2</v>
      </c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</row>
    <row r="153" spans="2:135" x14ac:dyDescent="0.25">
      <c r="B153" s="9">
        <v>148</v>
      </c>
      <c r="C153" s="9" t="s">
        <v>184</v>
      </c>
      <c r="D153" s="10" t="s">
        <v>275</v>
      </c>
      <c r="E153" s="9">
        <v>7</v>
      </c>
      <c r="F153" s="9">
        <f t="shared" si="4"/>
        <v>7</v>
      </c>
      <c r="G153" s="31">
        <f t="shared" si="5"/>
        <v>0</v>
      </c>
      <c r="H153" s="9" t="s">
        <v>103</v>
      </c>
      <c r="I153" s="12">
        <v>7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</row>
    <row r="154" spans="2:135" x14ac:dyDescent="0.25">
      <c r="B154" s="9">
        <v>149</v>
      </c>
      <c r="C154" s="9" t="s">
        <v>177</v>
      </c>
      <c r="D154" s="10" t="s">
        <v>220</v>
      </c>
      <c r="E154" s="9">
        <v>3</v>
      </c>
      <c r="F154" s="9">
        <f t="shared" si="4"/>
        <v>0</v>
      </c>
      <c r="G154" s="31">
        <f t="shared" si="5"/>
        <v>3</v>
      </c>
      <c r="H154" s="9" t="s">
        <v>103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</row>
    <row r="155" spans="2:135" x14ac:dyDescent="0.25">
      <c r="B155" s="9">
        <v>150</v>
      </c>
      <c r="C155" s="9" t="s">
        <v>172</v>
      </c>
      <c r="D155" s="10" t="s">
        <v>120</v>
      </c>
      <c r="E155" s="9">
        <v>138</v>
      </c>
      <c r="F155" s="9">
        <f t="shared" si="4"/>
        <v>0</v>
      </c>
      <c r="G155" s="31">
        <f t="shared" si="5"/>
        <v>138</v>
      </c>
      <c r="H155" s="9" t="s">
        <v>121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</row>
    <row r="156" spans="2:135" x14ac:dyDescent="0.25">
      <c r="B156" s="9">
        <v>151</v>
      </c>
      <c r="C156" s="9" t="s">
        <v>172</v>
      </c>
      <c r="D156" s="10" t="s">
        <v>122</v>
      </c>
      <c r="E156" s="9">
        <v>52</v>
      </c>
      <c r="F156" s="9">
        <f t="shared" si="4"/>
        <v>0</v>
      </c>
      <c r="G156" s="31">
        <f t="shared" si="5"/>
        <v>52</v>
      </c>
      <c r="H156" s="9" t="s">
        <v>121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</row>
    <row r="157" spans="2:135" x14ac:dyDescent="0.25">
      <c r="B157" s="9">
        <v>152</v>
      </c>
      <c r="C157" s="9" t="s">
        <v>172</v>
      </c>
      <c r="D157" s="10" t="s">
        <v>123</v>
      </c>
      <c r="E157" s="9">
        <v>24</v>
      </c>
      <c r="F157" s="9">
        <f t="shared" si="4"/>
        <v>0</v>
      </c>
      <c r="G157" s="31">
        <f t="shared" si="5"/>
        <v>24</v>
      </c>
      <c r="H157" s="9" t="s">
        <v>121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</row>
    <row r="158" spans="2:135" x14ac:dyDescent="0.25">
      <c r="B158" s="9">
        <v>153</v>
      </c>
      <c r="C158" s="9" t="s">
        <v>172</v>
      </c>
      <c r="D158" s="10" t="s">
        <v>124</v>
      </c>
      <c r="E158" s="9">
        <v>63</v>
      </c>
      <c r="F158" s="9">
        <f t="shared" si="4"/>
        <v>0</v>
      </c>
      <c r="G158" s="31">
        <f t="shared" si="5"/>
        <v>63</v>
      </c>
      <c r="H158" s="9" t="s">
        <v>121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</row>
    <row r="159" spans="2:135" x14ac:dyDescent="0.25">
      <c r="B159" s="9">
        <v>154</v>
      </c>
      <c r="C159" s="9" t="s">
        <v>172</v>
      </c>
      <c r="D159" s="10" t="s">
        <v>125</v>
      </c>
      <c r="E159" s="9">
        <v>66</v>
      </c>
      <c r="F159" s="9">
        <f t="shared" si="4"/>
        <v>0</v>
      </c>
      <c r="G159" s="31">
        <f t="shared" si="5"/>
        <v>66</v>
      </c>
      <c r="H159" s="9" t="s">
        <v>121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</row>
    <row r="160" spans="2:135" x14ac:dyDescent="0.25">
      <c r="B160" s="9">
        <v>155</v>
      </c>
      <c r="C160" s="9" t="s">
        <v>171</v>
      </c>
      <c r="D160" s="10" t="s">
        <v>126</v>
      </c>
      <c r="E160" s="9">
        <v>89</v>
      </c>
      <c r="F160" s="9">
        <f t="shared" si="4"/>
        <v>0</v>
      </c>
      <c r="G160" s="31">
        <f t="shared" si="5"/>
        <v>89</v>
      </c>
      <c r="H160" s="9" t="s">
        <v>121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</row>
    <row r="161" spans="1:141" x14ac:dyDescent="0.25">
      <c r="B161" s="9">
        <v>156</v>
      </c>
      <c r="C161" s="9" t="s">
        <v>168</v>
      </c>
      <c r="D161" s="10" t="s">
        <v>69</v>
      </c>
      <c r="E161" s="9">
        <v>3</v>
      </c>
      <c r="F161" s="9">
        <f t="shared" si="4"/>
        <v>0</v>
      </c>
      <c r="G161" s="31">
        <f t="shared" si="5"/>
        <v>3</v>
      </c>
      <c r="H161" s="9" t="s">
        <v>62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</row>
    <row r="162" spans="1:141" x14ac:dyDescent="0.25">
      <c r="B162" s="9">
        <v>157</v>
      </c>
      <c r="C162" s="9" t="s">
        <v>168</v>
      </c>
      <c r="D162" s="10" t="s">
        <v>253</v>
      </c>
      <c r="E162" s="9">
        <v>53</v>
      </c>
      <c r="F162" s="9">
        <f t="shared" si="4"/>
        <v>0</v>
      </c>
      <c r="G162" s="31">
        <f t="shared" si="5"/>
        <v>53</v>
      </c>
      <c r="H162" s="9" t="s">
        <v>162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</row>
    <row r="163" spans="1:141" x14ac:dyDescent="0.25">
      <c r="B163" s="9">
        <v>158</v>
      </c>
      <c r="C163" s="9">
        <v>4</v>
      </c>
      <c r="D163" s="10" t="s">
        <v>82</v>
      </c>
      <c r="E163" s="9">
        <v>18</v>
      </c>
      <c r="F163" s="9">
        <f t="shared" si="4"/>
        <v>0</v>
      </c>
      <c r="G163" s="31">
        <f t="shared" si="5"/>
        <v>18</v>
      </c>
      <c r="H163" s="9" t="s">
        <v>62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</row>
    <row r="164" spans="1:141" x14ac:dyDescent="0.25">
      <c r="B164" s="9">
        <v>159</v>
      </c>
      <c r="C164" s="9" t="s">
        <v>177</v>
      </c>
      <c r="D164" s="10" t="s">
        <v>83</v>
      </c>
      <c r="E164" s="9">
        <v>10</v>
      </c>
      <c r="F164" s="9">
        <f t="shared" si="4"/>
        <v>0</v>
      </c>
      <c r="G164" s="31">
        <f t="shared" si="5"/>
        <v>10</v>
      </c>
      <c r="H164" s="9" t="s">
        <v>11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</row>
    <row r="165" spans="1:141" x14ac:dyDescent="0.25">
      <c r="B165" s="9">
        <v>160</v>
      </c>
      <c r="C165" s="9" t="s">
        <v>177</v>
      </c>
      <c r="D165" s="10" t="s">
        <v>84</v>
      </c>
      <c r="E165" s="9">
        <v>3</v>
      </c>
      <c r="F165" s="9">
        <f t="shared" si="4"/>
        <v>1</v>
      </c>
      <c r="G165" s="31">
        <f t="shared" si="5"/>
        <v>2</v>
      </c>
      <c r="H165" s="9" t="s">
        <v>11</v>
      </c>
      <c r="I165" s="12"/>
      <c r="J165" s="12"/>
      <c r="K165" s="12"/>
      <c r="L165" s="12">
        <v>1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</row>
    <row r="166" spans="1:141" s="45" customFormat="1" x14ac:dyDescent="0.25">
      <c r="A166" s="37"/>
      <c r="B166" s="9">
        <v>161</v>
      </c>
      <c r="C166" s="9" t="s">
        <v>177</v>
      </c>
      <c r="D166" s="10" t="s">
        <v>85</v>
      </c>
      <c r="E166" s="9">
        <v>4</v>
      </c>
      <c r="F166" s="9">
        <f t="shared" si="4"/>
        <v>0</v>
      </c>
      <c r="G166" s="31">
        <f t="shared" si="5"/>
        <v>4</v>
      </c>
      <c r="H166" s="9" t="s">
        <v>62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</row>
    <row r="167" spans="1:141" s="45" customFormat="1" x14ac:dyDescent="0.25">
      <c r="A167" s="11"/>
      <c r="B167" s="9">
        <v>162</v>
      </c>
      <c r="C167" s="9">
        <v>5</v>
      </c>
      <c r="D167" s="10" t="s">
        <v>227</v>
      </c>
      <c r="E167" s="9">
        <v>0</v>
      </c>
      <c r="F167" s="9">
        <f t="shared" si="4"/>
        <v>0</v>
      </c>
      <c r="G167" s="31">
        <f t="shared" si="5"/>
        <v>0</v>
      </c>
      <c r="H167" s="9" t="s">
        <v>127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</row>
    <row r="168" spans="1:141" s="45" customFormat="1" x14ac:dyDescent="0.25">
      <c r="A168" s="11"/>
      <c r="B168" s="9">
        <v>163</v>
      </c>
      <c r="C168" s="36">
        <v>5</v>
      </c>
      <c r="D168" s="35" t="s">
        <v>7500</v>
      </c>
      <c r="E168" s="36">
        <f>120</f>
        <v>120</v>
      </c>
      <c r="F168" s="9">
        <f t="shared" si="4"/>
        <v>110</v>
      </c>
      <c r="G168" s="31">
        <f t="shared" si="5"/>
        <v>10</v>
      </c>
      <c r="H168" s="36" t="s">
        <v>127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>
        <v>30</v>
      </c>
      <c r="Z168" s="12"/>
      <c r="AA168" s="12"/>
      <c r="AB168" s="12"/>
      <c r="AC168" s="12"/>
      <c r="AD168" s="12">
        <v>10</v>
      </c>
      <c r="AE168" s="12"/>
      <c r="AF168" s="12"/>
      <c r="AG168" s="12"/>
      <c r="AH168" s="12">
        <v>20</v>
      </c>
      <c r="AI168" s="12">
        <v>50</v>
      </c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</row>
    <row r="169" spans="1:141" s="45" customFormat="1" x14ac:dyDescent="0.25">
      <c r="A169" s="11"/>
      <c r="B169" s="9">
        <v>164</v>
      </c>
      <c r="C169" s="9">
        <v>5</v>
      </c>
      <c r="D169" s="10" t="s">
        <v>282</v>
      </c>
      <c r="E169" s="9">
        <f>47+200+100</f>
        <v>347</v>
      </c>
      <c r="F169" s="9">
        <f t="shared" si="4"/>
        <v>170</v>
      </c>
      <c r="G169" s="31">
        <f>E169-F169</f>
        <v>177</v>
      </c>
      <c r="H169" s="9" t="s">
        <v>127</v>
      </c>
      <c r="I169" s="12">
        <v>5</v>
      </c>
      <c r="J169" s="12"/>
      <c r="K169" s="12"/>
      <c r="L169" s="12"/>
      <c r="M169" s="12">
        <v>5</v>
      </c>
      <c r="N169" s="12"/>
      <c r="O169" s="12"/>
      <c r="P169" s="12"/>
      <c r="Q169" s="12">
        <v>10</v>
      </c>
      <c r="R169" s="12"/>
      <c r="S169" s="12">
        <v>5</v>
      </c>
      <c r="T169" s="12"/>
      <c r="U169" s="12">
        <v>15</v>
      </c>
      <c r="V169" s="12"/>
      <c r="W169" s="12">
        <v>5</v>
      </c>
      <c r="X169" s="12"/>
      <c r="Z169" s="12"/>
      <c r="AA169" s="12">
        <v>50</v>
      </c>
      <c r="AB169" s="12"/>
      <c r="AC169" s="12">
        <v>30</v>
      </c>
      <c r="AD169" s="12"/>
      <c r="AE169" s="12">
        <v>20</v>
      </c>
      <c r="AF169" s="12"/>
      <c r="AG169" s="12"/>
      <c r="AH169" s="12">
        <v>10</v>
      </c>
      <c r="AI169" s="12">
        <v>15</v>
      </c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</row>
    <row r="170" spans="1:141" s="45" customFormat="1" x14ac:dyDescent="0.25">
      <c r="A170" s="37"/>
      <c r="B170" s="9">
        <v>165</v>
      </c>
      <c r="C170" s="9" t="s">
        <v>179</v>
      </c>
      <c r="D170" s="10" t="s">
        <v>210</v>
      </c>
      <c r="E170" s="9">
        <f>0+200+200</f>
        <v>400</v>
      </c>
      <c r="F170" s="9">
        <f t="shared" si="4"/>
        <v>300</v>
      </c>
      <c r="G170" s="31">
        <f t="shared" si="5"/>
        <v>100</v>
      </c>
      <c r="H170" s="9" t="s">
        <v>127</v>
      </c>
      <c r="I170" s="12"/>
      <c r="J170" s="12"/>
      <c r="K170" s="12"/>
      <c r="L170" s="12">
        <v>200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>
        <v>50</v>
      </c>
      <c r="Z170" s="12"/>
      <c r="AA170" s="12"/>
      <c r="AB170" s="12"/>
      <c r="AC170" s="12"/>
      <c r="AD170" s="12">
        <v>50</v>
      </c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</row>
    <row r="171" spans="1:141" x14ac:dyDescent="0.25">
      <c r="B171" s="9">
        <v>166</v>
      </c>
      <c r="C171" s="9">
        <v>5</v>
      </c>
      <c r="D171" s="10" t="s">
        <v>252</v>
      </c>
      <c r="E171" s="9">
        <v>0</v>
      </c>
      <c r="F171" s="9">
        <f t="shared" si="4"/>
        <v>0</v>
      </c>
      <c r="G171" s="31">
        <f t="shared" si="5"/>
        <v>0</v>
      </c>
      <c r="H171" s="9" t="s">
        <v>127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</row>
    <row r="172" spans="1:141" x14ac:dyDescent="0.25">
      <c r="B172" s="9">
        <v>167</v>
      </c>
      <c r="C172" s="36">
        <v>5</v>
      </c>
      <c r="D172" s="35" t="s">
        <v>251</v>
      </c>
      <c r="E172" s="36">
        <f>20+200+200</f>
        <v>420</v>
      </c>
      <c r="F172" s="9">
        <f t="shared" si="4"/>
        <v>290</v>
      </c>
      <c r="G172" s="31">
        <f t="shared" si="5"/>
        <v>130</v>
      </c>
      <c r="H172" s="36" t="s">
        <v>127</v>
      </c>
      <c r="I172" s="12"/>
      <c r="J172" s="12"/>
      <c r="K172" s="12"/>
      <c r="L172" s="12"/>
      <c r="M172" s="12">
        <f>50</f>
        <v>50</v>
      </c>
      <c r="N172" s="12"/>
      <c r="O172" s="12"/>
      <c r="P172" s="12">
        <v>50</v>
      </c>
      <c r="Q172" s="12"/>
      <c r="R172" s="12">
        <v>50</v>
      </c>
      <c r="S172" s="12"/>
      <c r="T172" s="12"/>
      <c r="U172" s="12"/>
      <c r="V172" s="12"/>
      <c r="W172" s="12">
        <v>50</v>
      </c>
      <c r="X172" s="12"/>
      <c r="Y172" s="12"/>
      <c r="Z172" s="12"/>
      <c r="AA172" s="12"/>
      <c r="AB172" s="12"/>
      <c r="AC172" s="12">
        <v>15</v>
      </c>
      <c r="AD172" s="12"/>
      <c r="AE172" s="12"/>
      <c r="AF172" s="12">
        <v>25</v>
      </c>
      <c r="AG172" s="12"/>
      <c r="AH172" s="12"/>
      <c r="AI172" s="12">
        <v>25</v>
      </c>
      <c r="AJ172" s="12">
        <v>25</v>
      </c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</row>
    <row r="173" spans="1:141" x14ac:dyDescent="0.25">
      <c r="B173" s="9">
        <v>168</v>
      </c>
      <c r="C173" s="9">
        <v>5</v>
      </c>
      <c r="D173" s="10" t="s">
        <v>250</v>
      </c>
      <c r="E173" s="9">
        <f>0+300+200</f>
        <v>500</v>
      </c>
      <c r="F173" s="9">
        <f t="shared" si="4"/>
        <v>350</v>
      </c>
      <c r="G173" s="31">
        <f t="shared" si="5"/>
        <v>150</v>
      </c>
      <c r="H173" s="9" t="s">
        <v>127</v>
      </c>
      <c r="I173" s="12"/>
      <c r="J173" s="12"/>
      <c r="K173" s="12"/>
      <c r="L173" s="12">
        <v>50</v>
      </c>
      <c r="M173" s="12"/>
      <c r="N173" s="12"/>
      <c r="O173" s="12"/>
      <c r="P173" s="12"/>
      <c r="Q173" s="12"/>
      <c r="R173" s="12">
        <v>50</v>
      </c>
      <c r="S173" s="12"/>
      <c r="T173" s="12"/>
      <c r="U173" s="12"/>
      <c r="V173" s="12"/>
      <c r="W173" s="12"/>
      <c r="X173" s="12">
        <v>50</v>
      </c>
      <c r="Y173" s="12"/>
      <c r="Z173" s="12"/>
      <c r="AA173" s="12"/>
      <c r="AB173" s="12"/>
      <c r="AC173" s="12">
        <v>50</v>
      </c>
      <c r="AD173" s="12"/>
      <c r="AE173" s="12"/>
      <c r="AF173" s="12"/>
      <c r="AG173" s="12"/>
      <c r="AH173" s="12">
        <v>50</v>
      </c>
      <c r="AI173" s="12"/>
      <c r="AJ173" s="12">
        <v>100</v>
      </c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</row>
    <row r="174" spans="1:141" x14ac:dyDescent="0.25">
      <c r="B174" s="9">
        <v>169</v>
      </c>
      <c r="C174" s="9" t="s">
        <v>182</v>
      </c>
      <c r="D174" s="10" t="s">
        <v>221</v>
      </c>
      <c r="E174" s="9">
        <v>23</v>
      </c>
      <c r="F174" s="9">
        <f t="shared" si="4"/>
        <v>0</v>
      </c>
      <c r="G174" s="31">
        <f t="shared" si="5"/>
        <v>23</v>
      </c>
      <c r="H174" s="9" t="s">
        <v>103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</row>
    <row r="175" spans="1:141" x14ac:dyDescent="0.25">
      <c r="B175" s="9">
        <v>170</v>
      </c>
      <c r="C175" s="9" t="s">
        <v>179</v>
      </c>
      <c r="D175" s="10" t="s">
        <v>131</v>
      </c>
      <c r="E175" s="9">
        <v>140</v>
      </c>
      <c r="F175" s="9">
        <f t="shared" si="4"/>
        <v>0</v>
      </c>
      <c r="G175" s="31">
        <f t="shared" si="5"/>
        <v>140</v>
      </c>
      <c r="H175" s="9" t="s">
        <v>11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</row>
    <row r="176" spans="1:141" x14ac:dyDescent="0.25">
      <c r="B176" s="9">
        <v>171</v>
      </c>
      <c r="C176" s="9" t="s">
        <v>178</v>
      </c>
      <c r="D176" s="10" t="s">
        <v>132</v>
      </c>
      <c r="E176" s="9">
        <v>4</v>
      </c>
      <c r="F176" s="9">
        <f t="shared" si="4"/>
        <v>0</v>
      </c>
      <c r="G176" s="31">
        <f t="shared" si="5"/>
        <v>4</v>
      </c>
      <c r="H176" s="9" t="s">
        <v>11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</row>
    <row r="177" spans="2:135" x14ac:dyDescent="0.25">
      <c r="B177" s="9">
        <v>172</v>
      </c>
      <c r="C177" s="9" t="s">
        <v>178</v>
      </c>
      <c r="D177" s="10" t="s">
        <v>222</v>
      </c>
      <c r="E177" s="9">
        <v>1</v>
      </c>
      <c r="F177" s="9">
        <f t="shared" si="4"/>
        <v>0</v>
      </c>
      <c r="G177" s="31">
        <f t="shared" si="5"/>
        <v>1</v>
      </c>
      <c r="H177" s="9" t="s">
        <v>112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</row>
    <row r="178" spans="2:135" x14ac:dyDescent="0.25">
      <c r="B178" s="9">
        <v>173</v>
      </c>
      <c r="C178" s="9" t="s">
        <v>178</v>
      </c>
      <c r="D178" s="10" t="s">
        <v>133</v>
      </c>
      <c r="E178" s="9">
        <v>0</v>
      </c>
      <c r="F178" s="9">
        <f t="shared" si="4"/>
        <v>0</v>
      </c>
      <c r="G178" s="31">
        <f t="shared" si="5"/>
        <v>0</v>
      </c>
      <c r="H178" s="9" t="s">
        <v>103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</row>
    <row r="179" spans="2:135" x14ac:dyDescent="0.25">
      <c r="B179" s="9">
        <v>174</v>
      </c>
      <c r="C179" s="9" t="s">
        <v>7498</v>
      </c>
      <c r="D179" s="10" t="s">
        <v>244</v>
      </c>
      <c r="E179" s="9">
        <v>12</v>
      </c>
      <c r="F179" s="9">
        <f t="shared" si="4"/>
        <v>3</v>
      </c>
      <c r="G179" s="31">
        <f t="shared" si="5"/>
        <v>9</v>
      </c>
      <c r="H179" s="9" t="s">
        <v>11</v>
      </c>
      <c r="I179" s="12">
        <v>1</v>
      </c>
      <c r="J179" s="12"/>
      <c r="K179" s="12"/>
      <c r="L179" s="12"/>
      <c r="M179" s="12"/>
      <c r="N179" s="12"/>
      <c r="O179" s="12">
        <v>1</v>
      </c>
      <c r="P179" s="12"/>
      <c r="Q179" s="12"/>
      <c r="R179" s="12"/>
      <c r="S179" s="12"/>
      <c r="T179" s="12">
        <v>1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</row>
    <row r="180" spans="2:135" x14ac:dyDescent="0.25">
      <c r="B180" s="9">
        <v>175</v>
      </c>
      <c r="C180" s="9" t="s">
        <v>182</v>
      </c>
      <c r="D180" s="10" t="s">
        <v>276</v>
      </c>
      <c r="E180" s="9">
        <v>19</v>
      </c>
      <c r="F180" s="9">
        <f t="shared" si="4"/>
        <v>0</v>
      </c>
      <c r="G180" s="31">
        <f t="shared" si="5"/>
        <v>19</v>
      </c>
      <c r="H180" s="9" t="s">
        <v>11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</row>
    <row r="181" spans="2:135" x14ac:dyDescent="0.25">
      <c r="B181" s="9">
        <v>176</v>
      </c>
      <c r="C181" s="9" t="s">
        <v>182</v>
      </c>
      <c r="D181" s="10" t="s">
        <v>264</v>
      </c>
      <c r="E181" s="9">
        <v>0</v>
      </c>
      <c r="F181" s="9">
        <f t="shared" si="4"/>
        <v>0</v>
      </c>
      <c r="G181" s="31">
        <f t="shared" si="5"/>
        <v>0</v>
      </c>
      <c r="H181" s="9" t="s">
        <v>62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</row>
    <row r="182" spans="2:135" x14ac:dyDescent="0.25">
      <c r="B182" s="9">
        <v>177</v>
      </c>
      <c r="C182" s="9" t="s">
        <v>182</v>
      </c>
      <c r="D182" s="10" t="s">
        <v>265</v>
      </c>
      <c r="E182" s="9">
        <v>10</v>
      </c>
      <c r="F182" s="9">
        <f t="shared" si="4"/>
        <v>0</v>
      </c>
      <c r="G182" s="31">
        <f t="shared" si="5"/>
        <v>10</v>
      </c>
      <c r="H182" s="9" t="s">
        <v>62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</row>
    <row r="183" spans="2:135" x14ac:dyDescent="0.25">
      <c r="B183" s="9">
        <v>178</v>
      </c>
      <c r="C183" s="9" t="s">
        <v>182</v>
      </c>
      <c r="D183" s="10" t="s">
        <v>266</v>
      </c>
      <c r="E183" s="9">
        <v>0</v>
      </c>
      <c r="F183" s="9">
        <f t="shared" si="4"/>
        <v>0</v>
      </c>
      <c r="G183" s="31">
        <f t="shared" si="5"/>
        <v>0</v>
      </c>
      <c r="H183" s="9" t="s">
        <v>62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</row>
    <row r="184" spans="2:135" x14ac:dyDescent="0.25">
      <c r="B184" s="9">
        <v>179</v>
      </c>
      <c r="C184" s="9" t="s">
        <v>182</v>
      </c>
      <c r="D184" s="10" t="s">
        <v>267</v>
      </c>
      <c r="E184" s="9">
        <v>0</v>
      </c>
      <c r="F184" s="9">
        <f t="shared" si="4"/>
        <v>0</v>
      </c>
      <c r="G184" s="31">
        <f t="shared" si="5"/>
        <v>0</v>
      </c>
      <c r="H184" s="9" t="s">
        <v>62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</row>
    <row r="185" spans="2:135" x14ac:dyDescent="0.25">
      <c r="B185" s="9">
        <v>180</v>
      </c>
      <c r="C185" s="9" t="s">
        <v>182</v>
      </c>
      <c r="D185" s="10" t="s">
        <v>268</v>
      </c>
      <c r="E185" s="9">
        <v>0</v>
      </c>
      <c r="F185" s="9">
        <f t="shared" si="4"/>
        <v>0</v>
      </c>
      <c r="G185" s="31">
        <f t="shared" si="5"/>
        <v>0</v>
      </c>
      <c r="H185" s="9" t="s">
        <v>62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</row>
    <row r="186" spans="2:135" x14ac:dyDescent="0.25">
      <c r="B186" s="9">
        <v>181</v>
      </c>
      <c r="C186" s="9" t="s">
        <v>182</v>
      </c>
      <c r="D186" s="10" t="s">
        <v>269</v>
      </c>
      <c r="E186" s="9">
        <v>0</v>
      </c>
      <c r="F186" s="9">
        <f t="shared" si="4"/>
        <v>0</v>
      </c>
      <c r="G186" s="31">
        <f t="shared" si="5"/>
        <v>0</v>
      </c>
      <c r="H186" s="9" t="s">
        <v>62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</row>
    <row r="187" spans="2:135" x14ac:dyDescent="0.25">
      <c r="B187" s="9">
        <v>182</v>
      </c>
      <c r="C187" s="9" t="s">
        <v>182</v>
      </c>
      <c r="D187" s="10" t="s">
        <v>270</v>
      </c>
      <c r="E187" s="9">
        <v>0</v>
      </c>
      <c r="F187" s="9">
        <f t="shared" si="4"/>
        <v>0</v>
      </c>
      <c r="G187" s="31">
        <f t="shared" si="5"/>
        <v>0</v>
      </c>
      <c r="H187" s="9" t="s">
        <v>62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</row>
    <row r="188" spans="2:135" x14ac:dyDescent="0.25">
      <c r="B188" s="9">
        <v>183</v>
      </c>
      <c r="C188" s="9" t="s">
        <v>182</v>
      </c>
      <c r="D188" s="10" t="s">
        <v>271</v>
      </c>
      <c r="E188" s="9">
        <v>9</v>
      </c>
      <c r="F188" s="9">
        <f t="shared" si="4"/>
        <v>0</v>
      </c>
      <c r="G188" s="31">
        <f t="shared" si="5"/>
        <v>9</v>
      </c>
      <c r="H188" s="9" t="s">
        <v>62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</row>
    <row r="189" spans="2:135" x14ac:dyDescent="0.25">
      <c r="B189" s="9">
        <v>184</v>
      </c>
      <c r="C189" s="9">
        <v>4</v>
      </c>
      <c r="D189" s="10" t="s">
        <v>245</v>
      </c>
      <c r="E189" s="9">
        <f>2+12</f>
        <v>14</v>
      </c>
      <c r="F189" s="9">
        <f t="shared" si="4"/>
        <v>2</v>
      </c>
      <c r="G189" s="31">
        <f t="shared" si="5"/>
        <v>12</v>
      </c>
      <c r="H189" s="9" t="s">
        <v>11</v>
      </c>
      <c r="I189" s="12">
        <v>1</v>
      </c>
      <c r="J189" s="12"/>
      <c r="K189" s="12"/>
      <c r="L189" s="12"/>
      <c r="M189" s="12"/>
      <c r="N189" s="12"/>
      <c r="O189" s="12"/>
      <c r="P189" s="12"/>
      <c r="Q189" s="12"/>
      <c r="R189" s="12">
        <v>1</v>
      </c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</row>
    <row r="190" spans="2:135" x14ac:dyDescent="0.25">
      <c r="B190" s="9">
        <v>185</v>
      </c>
      <c r="C190" s="9" t="s">
        <v>186</v>
      </c>
      <c r="D190" s="10" t="s">
        <v>135</v>
      </c>
      <c r="E190" s="9">
        <v>28</v>
      </c>
      <c r="F190" s="9">
        <f t="shared" si="4"/>
        <v>0</v>
      </c>
      <c r="G190" s="31">
        <f t="shared" si="5"/>
        <v>28</v>
      </c>
      <c r="H190" s="9" t="s">
        <v>11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</row>
    <row r="191" spans="2:135" x14ac:dyDescent="0.25">
      <c r="B191" s="9">
        <v>186</v>
      </c>
      <c r="C191" s="9" t="s">
        <v>186</v>
      </c>
      <c r="D191" s="10" t="s">
        <v>137</v>
      </c>
      <c r="E191" s="9">
        <v>6</v>
      </c>
      <c r="F191" s="9">
        <f t="shared" si="4"/>
        <v>0</v>
      </c>
      <c r="G191" s="31">
        <f t="shared" si="5"/>
        <v>6</v>
      </c>
      <c r="H191" s="9" t="s">
        <v>127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</row>
    <row r="192" spans="2:135" x14ac:dyDescent="0.25">
      <c r="B192" s="9">
        <v>187</v>
      </c>
      <c r="C192" s="9">
        <v>6</v>
      </c>
      <c r="D192" s="10" t="s">
        <v>229</v>
      </c>
      <c r="E192" s="9">
        <v>35</v>
      </c>
      <c r="F192" s="9">
        <f t="shared" si="4"/>
        <v>25</v>
      </c>
      <c r="G192" s="31">
        <f t="shared" si="5"/>
        <v>10</v>
      </c>
      <c r="H192" s="9" t="s">
        <v>230</v>
      </c>
      <c r="I192" s="12"/>
      <c r="J192" s="12"/>
      <c r="K192" s="12"/>
      <c r="L192" s="12"/>
      <c r="M192" s="12">
        <v>5</v>
      </c>
      <c r="N192" s="12"/>
      <c r="O192" s="12"/>
      <c r="P192" s="12"/>
      <c r="Q192" s="12"/>
      <c r="R192" s="12"/>
      <c r="S192" s="12"/>
      <c r="T192" s="12"/>
      <c r="U192" s="12"/>
      <c r="V192" s="12">
        <v>5</v>
      </c>
      <c r="W192" s="12"/>
      <c r="X192" s="12"/>
      <c r="Y192" s="12"/>
      <c r="Z192" s="12"/>
      <c r="AA192" s="12">
        <v>5</v>
      </c>
      <c r="AB192" s="12"/>
      <c r="AC192" s="12"/>
      <c r="AD192" s="12">
        <v>5</v>
      </c>
      <c r="AE192" s="12"/>
      <c r="AF192" s="12">
        <v>5</v>
      </c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</row>
    <row r="193" spans="2:135" x14ac:dyDescent="0.25">
      <c r="B193" s="9">
        <v>188</v>
      </c>
      <c r="C193" s="9">
        <v>6</v>
      </c>
      <c r="D193" s="10" t="s">
        <v>228</v>
      </c>
      <c r="E193" s="9">
        <f>0+120</f>
        <v>120</v>
      </c>
      <c r="F193" s="9">
        <f t="shared" si="4"/>
        <v>120</v>
      </c>
      <c r="G193" s="31">
        <f t="shared" si="5"/>
        <v>0</v>
      </c>
      <c r="H193" s="9" t="s">
        <v>230</v>
      </c>
      <c r="I193" s="12">
        <v>10</v>
      </c>
      <c r="J193" s="12"/>
      <c r="K193" s="12"/>
      <c r="L193" s="12">
        <v>10</v>
      </c>
      <c r="M193" s="12">
        <v>10</v>
      </c>
      <c r="N193" s="12"/>
      <c r="O193" s="12">
        <v>10</v>
      </c>
      <c r="P193" s="12"/>
      <c r="Q193" s="12">
        <v>10</v>
      </c>
      <c r="R193" s="12"/>
      <c r="S193" s="12">
        <v>10</v>
      </c>
      <c r="T193" s="12"/>
      <c r="U193" s="12">
        <v>10</v>
      </c>
      <c r="V193" s="12"/>
      <c r="W193" s="12">
        <v>10</v>
      </c>
      <c r="X193" s="12"/>
      <c r="Y193" s="12">
        <v>10</v>
      </c>
      <c r="Z193" s="12"/>
      <c r="AA193" s="12">
        <v>10</v>
      </c>
      <c r="AB193" s="12"/>
      <c r="AC193" s="12">
        <v>10</v>
      </c>
      <c r="AD193" s="12">
        <v>10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</row>
    <row r="194" spans="2:135" x14ac:dyDescent="0.25">
      <c r="B194" s="9">
        <v>189</v>
      </c>
      <c r="C194" s="9">
        <v>6</v>
      </c>
      <c r="D194" s="10" t="s">
        <v>231</v>
      </c>
      <c r="E194" s="9">
        <v>322</v>
      </c>
      <c r="F194" s="9">
        <f t="shared" si="4"/>
        <v>200</v>
      </c>
      <c r="G194" s="31">
        <f t="shared" si="5"/>
        <v>122</v>
      </c>
      <c r="H194" s="9" t="s">
        <v>230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>
        <v>200</v>
      </c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</row>
    <row r="195" spans="2:135" x14ac:dyDescent="0.25">
      <c r="B195" s="9">
        <v>190</v>
      </c>
      <c r="C195" s="9">
        <v>6</v>
      </c>
      <c r="D195" s="10" t="s">
        <v>138</v>
      </c>
      <c r="E195" s="9">
        <v>0</v>
      </c>
      <c r="F195" s="9">
        <f t="shared" si="4"/>
        <v>0</v>
      </c>
      <c r="G195" s="31">
        <f t="shared" si="5"/>
        <v>0</v>
      </c>
      <c r="H195" s="9" t="s">
        <v>103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</row>
    <row r="196" spans="2:135" x14ac:dyDescent="0.25">
      <c r="B196" s="9">
        <v>191</v>
      </c>
      <c r="C196" s="9"/>
      <c r="D196" s="10" t="s">
        <v>139</v>
      </c>
      <c r="E196" s="9">
        <v>16</v>
      </c>
      <c r="F196" s="9">
        <f t="shared" si="4"/>
        <v>0</v>
      </c>
      <c r="G196" s="31">
        <f t="shared" si="5"/>
        <v>16</v>
      </c>
      <c r="H196" s="9" t="s">
        <v>136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</row>
    <row r="197" spans="2:135" x14ac:dyDescent="0.25">
      <c r="B197" s="9">
        <v>192</v>
      </c>
      <c r="C197" s="9" t="s">
        <v>180</v>
      </c>
      <c r="D197" s="10" t="s">
        <v>146</v>
      </c>
      <c r="E197" s="9">
        <v>325</v>
      </c>
      <c r="F197" s="9">
        <f t="shared" si="4"/>
        <v>0</v>
      </c>
      <c r="G197" s="31">
        <f t="shared" si="5"/>
        <v>325</v>
      </c>
      <c r="H197" s="9" t="s">
        <v>127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</row>
    <row r="198" spans="2:135" x14ac:dyDescent="0.25">
      <c r="B198" s="9">
        <v>193</v>
      </c>
      <c r="C198" s="9" t="s">
        <v>178</v>
      </c>
      <c r="D198" s="10" t="s">
        <v>147</v>
      </c>
      <c r="E198" s="9">
        <v>58</v>
      </c>
      <c r="F198" s="9">
        <f t="shared" ref="F198:F217" si="6">SUM(I198:CV198)</f>
        <v>0</v>
      </c>
      <c r="G198" s="31">
        <f t="shared" si="5"/>
        <v>58</v>
      </c>
      <c r="H198" s="9" t="s">
        <v>127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</row>
    <row r="199" spans="2:135" x14ac:dyDescent="0.25">
      <c r="B199" s="9">
        <v>194</v>
      </c>
      <c r="C199" s="9" t="s">
        <v>178</v>
      </c>
      <c r="D199" s="10" t="s">
        <v>148</v>
      </c>
      <c r="E199" s="9">
        <v>33</v>
      </c>
      <c r="F199" s="9">
        <f t="shared" si="6"/>
        <v>0</v>
      </c>
      <c r="G199" s="31">
        <f t="shared" ref="G199:G227" si="7">E199-F199</f>
        <v>33</v>
      </c>
      <c r="H199" s="9" t="s">
        <v>127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</row>
    <row r="200" spans="2:135" x14ac:dyDescent="0.25">
      <c r="B200" s="9">
        <v>195</v>
      </c>
      <c r="C200" s="9" t="s">
        <v>178</v>
      </c>
      <c r="D200" s="10" t="s">
        <v>149</v>
      </c>
      <c r="E200" s="9">
        <v>150</v>
      </c>
      <c r="F200" s="9">
        <f t="shared" si="6"/>
        <v>0</v>
      </c>
      <c r="G200" s="31">
        <f t="shared" si="7"/>
        <v>150</v>
      </c>
      <c r="H200" s="9" t="s">
        <v>127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</row>
    <row r="201" spans="2:135" x14ac:dyDescent="0.25">
      <c r="B201" s="9">
        <v>196</v>
      </c>
      <c r="C201" s="9" t="s">
        <v>182</v>
      </c>
      <c r="D201" s="10" t="s">
        <v>223</v>
      </c>
      <c r="E201" s="9">
        <v>370</v>
      </c>
      <c r="F201" s="9">
        <f t="shared" si="6"/>
        <v>0</v>
      </c>
      <c r="G201" s="31">
        <f t="shared" si="7"/>
        <v>370</v>
      </c>
      <c r="H201" s="9" t="s">
        <v>127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</row>
    <row r="202" spans="2:135" x14ac:dyDescent="0.25">
      <c r="B202" s="9">
        <v>197</v>
      </c>
      <c r="C202" s="9" t="s">
        <v>182</v>
      </c>
      <c r="D202" s="10" t="s">
        <v>224</v>
      </c>
      <c r="E202" s="9">
        <v>12</v>
      </c>
      <c r="F202" s="9">
        <f t="shared" si="6"/>
        <v>0</v>
      </c>
      <c r="G202" s="31">
        <f t="shared" si="7"/>
        <v>12</v>
      </c>
      <c r="H202" s="9" t="s">
        <v>127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</row>
    <row r="203" spans="2:135" x14ac:dyDescent="0.25">
      <c r="B203" s="9">
        <v>198</v>
      </c>
      <c r="C203" s="9" t="s">
        <v>182</v>
      </c>
      <c r="D203" s="10" t="s">
        <v>225</v>
      </c>
      <c r="E203" s="9">
        <v>11</v>
      </c>
      <c r="F203" s="9">
        <f t="shared" si="6"/>
        <v>0</v>
      </c>
      <c r="G203" s="31">
        <f t="shared" si="7"/>
        <v>11</v>
      </c>
      <c r="H203" s="9" t="s">
        <v>127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</row>
    <row r="204" spans="2:135" x14ac:dyDescent="0.25">
      <c r="B204" s="9">
        <v>199</v>
      </c>
      <c r="C204" s="9" t="s">
        <v>178</v>
      </c>
      <c r="D204" s="10" t="s">
        <v>241</v>
      </c>
      <c r="E204" s="9">
        <v>0</v>
      </c>
      <c r="F204" s="9">
        <f t="shared" si="6"/>
        <v>0</v>
      </c>
      <c r="G204" s="31">
        <f t="shared" si="7"/>
        <v>0</v>
      </c>
      <c r="H204" s="9" t="s">
        <v>108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</row>
    <row r="205" spans="2:135" x14ac:dyDescent="0.25">
      <c r="B205" s="9">
        <v>200</v>
      </c>
      <c r="C205" s="9" t="s">
        <v>178</v>
      </c>
      <c r="D205" s="10" t="s">
        <v>242</v>
      </c>
      <c r="E205" s="9">
        <v>0</v>
      </c>
      <c r="F205" s="9">
        <f t="shared" si="6"/>
        <v>0</v>
      </c>
      <c r="G205" s="31">
        <f t="shared" si="7"/>
        <v>0</v>
      </c>
      <c r="H205" s="9" t="s">
        <v>108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</row>
    <row r="206" spans="2:135" x14ac:dyDescent="0.25">
      <c r="B206" s="9">
        <v>201</v>
      </c>
      <c r="C206" s="9" t="s">
        <v>254</v>
      </c>
      <c r="D206" s="10" t="s">
        <v>164</v>
      </c>
      <c r="E206" s="9">
        <v>100</v>
      </c>
      <c r="F206" s="9">
        <f t="shared" si="6"/>
        <v>80</v>
      </c>
      <c r="G206" s="31">
        <f t="shared" si="7"/>
        <v>20</v>
      </c>
      <c r="H206" s="9" t="s">
        <v>108</v>
      </c>
      <c r="I206" s="12"/>
      <c r="J206" s="12">
        <v>5</v>
      </c>
      <c r="K206" s="12"/>
      <c r="L206" s="12"/>
      <c r="M206" s="12">
        <v>5</v>
      </c>
      <c r="N206" s="12"/>
      <c r="O206" s="12"/>
      <c r="P206" s="12"/>
      <c r="Q206" s="12"/>
      <c r="R206" s="12">
        <v>5</v>
      </c>
      <c r="S206" s="12"/>
      <c r="T206" s="12">
        <v>10</v>
      </c>
      <c r="U206" s="12"/>
      <c r="V206" s="12">
        <v>10</v>
      </c>
      <c r="W206" s="12"/>
      <c r="X206" s="12"/>
      <c r="Y206" s="12">
        <v>10</v>
      </c>
      <c r="Z206" s="12"/>
      <c r="AA206" s="12">
        <v>10</v>
      </c>
      <c r="AB206" s="12"/>
      <c r="AC206" s="12">
        <v>15</v>
      </c>
      <c r="AD206" s="12"/>
      <c r="AE206" s="12">
        <v>0</v>
      </c>
      <c r="AF206" s="12"/>
      <c r="AG206" s="12">
        <v>10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</row>
    <row r="207" spans="2:135" x14ac:dyDescent="0.25">
      <c r="B207" s="9">
        <v>202</v>
      </c>
      <c r="C207" s="9" t="s">
        <v>168</v>
      </c>
      <c r="D207" s="10" t="s">
        <v>142</v>
      </c>
      <c r="E207" s="9">
        <v>1</v>
      </c>
      <c r="F207" s="9">
        <f t="shared" si="6"/>
        <v>0</v>
      </c>
      <c r="G207" s="31">
        <f t="shared" si="7"/>
        <v>1</v>
      </c>
      <c r="H207" s="9" t="s">
        <v>129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</row>
    <row r="208" spans="2:135" x14ac:dyDescent="0.25">
      <c r="B208" s="9">
        <v>203</v>
      </c>
      <c r="C208" s="9" t="s">
        <v>168</v>
      </c>
      <c r="D208" s="10" t="s">
        <v>143</v>
      </c>
      <c r="E208" s="9">
        <v>1</v>
      </c>
      <c r="F208" s="9">
        <f t="shared" si="6"/>
        <v>0</v>
      </c>
      <c r="G208" s="31">
        <f t="shared" si="7"/>
        <v>1</v>
      </c>
      <c r="H208" s="9" t="s">
        <v>129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</row>
    <row r="209" spans="2:135" x14ac:dyDescent="0.25">
      <c r="B209" s="9">
        <v>204</v>
      </c>
      <c r="C209" s="9" t="s">
        <v>168</v>
      </c>
      <c r="D209" s="10" t="s">
        <v>144</v>
      </c>
      <c r="E209" s="9">
        <v>1</v>
      </c>
      <c r="F209" s="9">
        <f t="shared" si="6"/>
        <v>0</v>
      </c>
      <c r="G209" s="31">
        <f t="shared" si="7"/>
        <v>1</v>
      </c>
      <c r="H209" s="9" t="s">
        <v>129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</row>
    <row r="210" spans="2:135" x14ac:dyDescent="0.25">
      <c r="B210" s="9">
        <v>205</v>
      </c>
      <c r="C210" s="9" t="s">
        <v>168</v>
      </c>
      <c r="D210" s="10" t="s">
        <v>145</v>
      </c>
      <c r="E210" s="9">
        <v>1</v>
      </c>
      <c r="F210" s="9">
        <f t="shared" si="6"/>
        <v>0</v>
      </c>
      <c r="G210" s="31">
        <f t="shared" si="7"/>
        <v>1</v>
      </c>
      <c r="H210" s="9" t="s">
        <v>129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</row>
    <row r="211" spans="2:135" x14ac:dyDescent="0.25">
      <c r="B211" s="9">
        <v>206</v>
      </c>
      <c r="C211" s="9" t="s">
        <v>168</v>
      </c>
      <c r="D211" s="10" t="s">
        <v>130</v>
      </c>
      <c r="E211" s="9">
        <v>17</v>
      </c>
      <c r="F211" s="9">
        <f t="shared" si="6"/>
        <v>0</v>
      </c>
      <c r="G211" s="31">
        <f t="shared" si="7"/>
        <v>17</v>
      </c>
      <c r="H211" s="9" t="s">
        <v>129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</row>
    <row r="212" spans="2:135" x14ac:dyDescent="0.25">
      <c r="B212" s="9">
        <v>207</v>
      </c>
      <c r="C212" s="9" t="s">
        <v>168</v>
      </c>
      <c r="D212" s="10" t="s">
        <v>128</v>
      </c>
      <c r="E212" s="9">
        <v>0</v>
      </c>
      <c r="F212" s="9">
        <f t="shared" si="6"/>
        <v>0</v>
      </c>
      <c r="G212" s="31">
        <f t="shared" si="7"/>
        <v>0</v>
      </c>
      <c r="H212" s="9" t="s">
        <v>129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</row>
    <row r="213" spans="2:135" x14ac:dyDescent="0.25">
      <c r="B213" s="9">
        <v>208</v>
      </c>
      <c r="C213" s="9" t="s">
        <v>168</v>
      </c>
      <c r="D213" s="10" t="s">
        <v>161</v>
      </c>
      <c r="E213" s="9">
        <v>252</v>
      </c>
      <c r="F213" s="9">
        <f t="shared" si="6"/>
        <v>172</v>
      </c>
      <c r="G213" s="31">
        <f t="shared" si="7"/>
        <v>80</v>
      </c>
      <c r="H213" s="9" t="s">
        <v>129</v>
      </c>
      <c r="I213" s="12">
        <v>5</v>
      </c>
      <c r="J213" s="12">
        <v>7</v>
      </c>
      <c r="K213" s="12"/>
      <c r="L213" s="12">
        <v>15</v>
      </c>
      <c r="M213" s="12">
        <v>5</v>
      </c>
      <c r="N213" s="12">
        <v>10</v>
      </c>
      <c r="O213" s="12">
        <v>5</v>
      </c>
      <c r="P213" s="12">
        <v>10</v>
      </c>
      <c r="Q213" s="12"/>
      <c r="R213" s="12">
        <v>5</v>
      </c>
      <c r="S213" s="12">
        <v>5</v>
      </c>
      <c r="T213" s="12">
        <v>15</v>
      </c>
      <c r="U213" s="12">
        <v>5</v>
      </c>
      <c r="V213" s="12">
        <v>5</v>
      </c>
      <c r="W213" s="12"/>
      <c r="X213" s="12"/>
      <c r="Y213" s="12">
        <v>15</v>
      </c>
      <c r="Z213" s="12">
        <v>5</v>
      </c>
      <c r="AA213" s="12">
        <v>8</v>
      </c>
      <c r="AB213" s="12">
        <v>2</v>
      </c>
      <c r="AC213" s="12">
        <v>5</v>
      </c>
      <c r="AD213" s="12">
        <v>5</v>
      </c>
      <c r="AE213" s="12">
        <v>5</v>
      </c>
      <c r="AF213" s="12">
        <v>5</v>
      </c>
      <c r="AG213" s="12">
        <v>5</v>
      </c>
      <c r="AH213" s="12">
        <v>5</v>
      </c>
      <c r="AI213" s="12">
        <v>5</v>
      </c>
      <c r="AJ213" s="12">
        <v>5</v>
      </c>
      <c r="AK213" s="12">
        <v>5</v>
      </c>
      <c r="AL213" s="12">
        <v>5</v>
      </c>
      <c r="AM213" s="12"/>
      <c r="AN213" s="12"/>
      <c r="AO213" s="12"/>
      <c r="AP213" s="12"/>
      <c r="AQ213" s="12"/>
      <c r="AR213" s="12"/>
      <c r="AS213" s="12"/>
      <c r="AT213" s="12"/>
      <c r="AU213" s="12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</row>
    <row r="214" spans="2:135" x14ac:dyDescent="0.25">
      <c r="B214" s="9">
        <v>209</v>
      </c>
      <c r="C214" s="9" t="s">
        <v>168</v>
      </c>
      <c r="D214" s="10" t="s">
        <v>140</v>
      </c>
      <c r="E214" s="9">
        <f>0+3</f>
        <v>3</v>
      </c>
      <c r="F214" s="9">
        <f t="shared" si="6"/>
        <v>1</v>
      </c>
      <c r="G214" s="31">
        <f t="shared" si="7"/>
        <v>2</v>
      </c>
      <c r="H214" s="9" t="s">
        <v>129</v>
      </c>
      <c r="I214" s="12"/>
      <c r="J214" s="12"/>
      <c r="K214" s="12">
        <v>1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</row>
    <row r="215" spans="2:135" x14ac:dyDescent="0.25">
      <c r="B215" s="9">
        <v>210</v>
      </c>
      <c r="C215" s="9" t="s">
        <v>168</v>
      </c>
      <c r="D215" s="10" t="s">
        <v>134</v>
      </c>
      <c r="E215" s="9">
        <f>5+5</f>
        <v>10</v>
      </c>
      <c r="F215" s="9">
        <f t="shared" si="6"/>
        <v>5</v>
      </c>
      <c r="G215" s="31">
        <f t="shared" si="7"/>
        <v>5</v>
      </c>
      <c r="H215" s="9" t="s">
        <v>129</v>
      </c>
      <c r="I215" s="12"/>
      <c r="J215" s="12"/>
      <c r="K215" s="12">
        <v>1</v>
      </c>
      <c r="L215" s="12"/>
      <c r="M215" s="12"/>
      <c r="N215" s="12"/>
      <c r="O215" s="12"/>
      <c r="P215" s="12">
        <v>1</v>
      </c>
      <c r="Q215" s="12"/>
      <c r="R215" s="12"/>
      <c r="S215" s="12"/>
      <c r="T215" s="12">
        <v>1</v>
      </c>
      <c r="U215" s="12"/>
      <c r="V215" s="12"/>
      <c r="W215" s="12"/>
      <c r="X215" s="12"/>
      <c r="Y215" s="12"/>
      <c r="Z215" s="12">
        <v>1</v>
      </c>
      <c r="AA215" s="12"/>
      <c r="AB215" s="12"/>
      <c r="AC215" s="12">
        <v>1</v>
      </c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</row>
    <row r="216" spans="2:135" x14ac:dyDescent="0.25">
      <c r="B216" s="9">
        <v>211</v>
      </c>
      <c r="C216" s="9" t="s">
        <v>168</v>
      </c>
      <c r="D216" s="10" t="s">
        <v>141</v>
      </c>
      <c r="E216" s="9">
        <v>16</v>
      </c>
      <c r="F216" s="9">
        <f t="shared" si="6"/>
        <v>0</v>
      </c>
      <c r="G216" s="31">
        <f t="shared" si="7"/>
        <v>16</v>
      </c>
      <c r="H216" s="9" t="s">
        <v>129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</row>
    <row r="217" spans="2:135" x14ac:dyDescent="0.25">
      <c r="B217" s="9">
        <v>212</v>
      </c>
      <c r="C217" s="9" t="s">
        <v>246</v>
      </c>
      <c r="D217" s="10" t="s">
        <v>237</v>
      </c>
      <c r="E217" s="9">
        <v>5</v>
      </c>
      <c r="F217" s="9">
        <f t="shared" si="6"/>
        <v>2</v>
      </c>
      <c r="G217" s="31">
        <f t="shared" si="7"/>
        <v>3</v>
      </c>
      <c r="H217" s="9" t="s">
        <v>151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>
        <v>1</v>
      </c>
      <c r="AJ217" s="12"/>
      <c r="AK217" s="12">
        <v>1</v>
      </c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</row>
    <row r="218" spans="2:135" x14ac:dyDescent="0.25">
      <c r="B218" s="64" t="s">
        <v>160</v>
      </c>
      <c r="C218" s="65"/>
      <c r="D218" s="65"/>
      <c r="E218" s="29"/>
      <c r="F218" s="9">
        <f t="shared" ref="F218:F227" si="8">SUM(I218:CV218)</f>
        <v>0</v>
      </c>
      <c r="G218" s="31"/>
      <c r="H218" s="33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</row>
    <row r="219" spans="2:135" x14ac:dyDescent="0.25">
      <c r="B219" s="30">
        <v>1</v>
      </c>
      <c r="C219" s="9"/>
      <c r="D219" s="10" t="s">
        <v>152</v>
      </c>
      <c r="E219" s="9">
        <v>0</v>
      </c>
      <c r="F219" s="9">
        <f t="shared" si="8"/>
        <v>0</v>
      </c>
      <c r="G219" s="31">
        <f t="shared" si="7"/>
        <v>0</v>
      </c>
      <c r="H219" s="9" t="s">
        <v>11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</row>
    <row r="220" spans="2:135" x14ac:dyDescent="0.25">
      <c r="B220" s="30">
        <v>2</v>
      </c>
      <c r="C220" s="9"/>
      <c r="D220" s="10" t="s">
        <v>153</v>
      </c>
      <c r="E220" s="9">
        <v>0</v>
      </c>
      <c r="F220" s="9">
        <f t="shared" si="8"/>
        <v>0</v>
      </c>
      <c r="G220" s="31">
        <f t="shared" si="7"/>
        <v>0</v>
      </c>
      <c r="H220" s="9" t="s">
        <v>11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</row>
    <row r="221" spans="2:135" x14ac:dyDescent="0.25">
      <c r="B221" s="30">
        <v>3</v>
      </c>
      <c r="C221" s="9"/>
      <c r="D221" s="10" t="s">
        <v>238</v>
      </c>
      <c r="E221" s="9">
        <v>9</v>
      </c>
      <c r="F221" s="9">
        <f t="shared" si="8"/>
        <v>0</v>
      </c>
      <c r="G221" s="31">
        <f t="shared" si="7"/>
        <v>9</v>
      </c>
      <c r="H221" s="9" t="s">
        <v>11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</row>
    <row r="222" spans="2:135" x14ac:dyDescent="0.25">
      <c r="B222" s="30">
        <v>4</v>
      </c>
      <c r="C222" s="9"/>
      <c r="D222" s="10" t="s">
        <v>154</v>
      </c>
      <c r="E222" s="9">
        <v>16</v>
      </c>
      <c r="F222" s="9">
        <f t="shared" si="8"/>
        <v>0</v>
      </c>
      <c r="G222" s="31">
        <f t="shared" si="7"/>
        <v>16</v>
      </c>
      <c r="H222" s="9" t="s">
        <v>11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</row>
    <row r="223" spans="2:135" x14ac:dyDescent="0.25">
      <c r="B223" s="30">
        <v>5</v>
      </c>
      <c r="C223" s="9"/>
      <c r="D223" s="10" t="s">
        <v>155</v>
      </c>
      <c r="E223" s="9">
        <v>4</v>
      </c>
      <c r="F223" s="9">
        <f t="shared" si="8"/>
        <v>0</v>
      </c>
      <c r="G223" s="31">
        <f t="shared" si="7"/>
        <v>4</v>
      </c>
      <c r="H223" s="9" t="s">
        <v>11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</row>
    <row r="224" spans="2:135" x14ac:dyDescent="0.25">
      <c r="B224" s="30">
        <v>6</v>
      </c>
      <c r="C224" s="9"/>
      <c r="D224" s="10" t="s">
        <v>156</v>
      </c>
      <c r="E224" s="9">
        <v>1</v>
      </c>
      <c r="F224" s="9">
        <f t="shared" si="8"/>
        <v>0</v>
      </c>
      <c r="G224" s="31">
        <f t="shared" si="7"/>
        <v>1</v>
      </c>
      <c r="H224" s="9" t="s">
        <v>11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</row>
    <row r="225" spans="2:47" x14ac:dyDescent="0.25">
      <c r="B225" s="30">
        <v>7</v>
      </c>
      <c r="C225" s="9" t="s">
        <v>168</v>
      </c>
      <c r="D225" s="10" t="s">
        <v>209</v>
      </c>
      <c r="E225" s="9">
        <v>15</v>
      </c>
      <c r="F225" s="9">
        <f t="shared" si="8"/>
        <v>0</v>
      </c>
      <c r="G225" s="31">
        <f t="shared" si="7"/>
        <v>15</v>
      </c>
      <c r="H225" s="9" t="s">
        <v>11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</row>
    <row r="226" spans="2:47" x14ac:dyDescent="0.25">
      <c r="B226" s="30">
        <v>8</v>
      </c>
      <c r="C226" s="9" t="s">
        <v>182</v>
      </c>
      <c r="D226" s="10" t="s">
        <v>181</v>
      </c>
      <c r="E226" s="9">
        <v>4</v>
      </c>
      <c r="F226" s="9">
        <f t="shared" si="8"/>
        <v>0</v>
      </c>
      <c r="G226" s="31">
        <f t="shared" si="7"/>
        <v>4</v>
      </c>
      <c r="H226" s="9" t="s">
        <v>107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</row>
    <row r="227" spans="2:47" x14ac:dyDescent="0.25">
      <c r="B227" s="30">
        <v>9</v>
      </c>
      <c r="C227" s="9" t="s">
        <v>168</v>
      </c>
      <c r="D227" s="10" t="s">
        <v>239</v>
      </c>
      <c r="E227" s="9">
        <v>2</v>
      </c>
      <c r="F227" s="9">
        <f t="shared" si="8"/>
        <v>0</v>
      </c>
      <c r="G227" s="31">
        <f t="shared" si="7"/>
        <v>2</v>
      </c>
      <c r="H227" s="9" t="s">
        <v>11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</row>
    <row r="228" spans="2:47" x14ac:dyDescent="0.25">
      <c r="C228" s="11"/>
      <c r="D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</sheetData>
  <autoFilter ref="B3:H227" xr:uid="{00000000-0001-0000-0000-000000000000}"/>
  <mergeCells count="14">
    <mergeCell ref="AG3:AK4"/>
    <mergeCell ref="W3:AA4"/>
    <mergeCell ref="AB3:AF4"/>
    <mergeCell ref="S3:V4"/>
    <mergeCell ref="B218:D218"/>
    <mergeCell ref="B3:B5"/>
    <mergeCell ref="C3:C5"/>
    <mergeCell ref="D3:D5"/>
    <mergeCell ref="E3:E5"/>
    <mergeCell ref="G3:G5"/>
    <mergeCell ref="H3:H5"/>
    <mergeCell ref="I3:N4"/>
    <mergeCell ref="F3:F5"/>
    <mergeCell ref="O3:R4"/>
  </mergeCells>
  <pageMargins left="0.7" right="0.7" top="0.75" bottom="0.75" header="0.3" footer="0.3"/>
  <pageSetup paperSize="9" scale="17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66D5-AB23-4E9B-A4D5-21BAAAC492CE}">
  <sheetPr>
    <tabColor rgb="FFFF0000"/>
    <pageSetUpPr fitToPage="1"/>
  </sheetPr>
  <dimension ref="B2:AV2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6" sqref="K6:R6"/>
    </sheetView>
  </sheetViews>
  <sheetFormatPr defaultColWidth="9.140625" defaultRowHeight="15" x14ac:dyDescent="0.25"/>
  <cols>
    <col min="1" max="1" width="5.7109375" style="5" customWidth="1"/>
    <col min="2" max="2" width="6.42578125" style="5" customWidth="1"/>
    <col min="3" max="3" width="10.140625" style="5" bestFit="1" customWidth="1"/>
    <col min="4" max="4" width="42.7109375" style="5" customWidth="1"/>
    <col min="5" max="5" width="6.5703125" style="5" bestFit="1" customWidth="1"/>
    <col min="6" max="6" width="5.140625" style="5" bestFit="1" customWidth="1"/>
    <col min="7" max="7" width="16.5703125" style="5" bestFit="1" customWidth="1"/>
    <col min="8" max="8" width="16.7109375" style="5" customWidth="1"/>
    <col min="9" max="9" width="14.42578125" style="5" bestFit="1" customWidth="1"/>
    <col min="10" max="10" width="12.85546875" style="5" bestFit="1" customWidth="1"/>
    <col min="11" max="126" width="4.140625" style="5" customWidth="1"/>
    <col min="127" max="138" width="9.140625" style="5" customWidth="1"/>
    <col min="139" max="139" width="8.5703125" style="5" customWidth="1"/>
    <col min="140" max="141" width="9.140625" style="5"/>
    <col min="142" max="142" width="12.140625" style="5" customWidth="1"/>
    <col min="143" max="143" width="9.140625" style="5"/>
    <col min="144" max="144" width="12.85546875" style="5" customWidth="1"/>
    <col min="145" max="156" width="9.140625" style="5"/>
    <col min="157" max="157" width="11.7109375" style="5" customWidth="1"/>
    <col min="158" max="16384" width="9.140625" style="5"/>
  </cols>
  <sheetData>
    <row r="2" spans="2:48" s="7" customFormat="1" x14ac:dyDescent="0.25"/>
    <row r="3" spans="2:48" x14ac:dyDescent="0.25">
      <c r="B3" s="64" t="s">
        <v>4</v>
      </c>
      <c r="C3" s="64" t="s">
        <v>5</v>
      </c>
      <c r="D3" s="64" t="s">
        <v>6</v>
      </c>
      <c r="E3" s="83" t="s">
        <v>216</v>
      </c>
      <c r="F3" s="80" t="s">
        <v>163</v>
      </c>
      <c r="G3" s="80" t="s">
        <v>7504</v>
      </c>
      <c r="H3" s="46"/>
      <c r="I3" s="76" t="s">
        <v>219</v>
      </c>
      <c r="J3" s="64" t="s">
        <v>7</v>
      </c>
      <c r="K3" s="79" t="s">
        <v>232</v>
      </c>
      <c r="L3" s="79"/>
      <c r="M3" s="79"/>
      <c r="N3" s="79"/>
      <c r="O3" s="79"/>
      <c r="P3" s="79"/>
      <c r="Q3" s="79"/>
      <c r="R3" s="79"/>
      <c r="S3" s="69" t="s">
        <v>236</v>
      </c>
      <c r="T3" s="70"/>
      <c r="U3" s="86"/>
      <c r="V3" s="69" t="s">
        <v>7505</v>
      </c>
      <c r="W3" s="70"/>
      <c r="X3" s="86"/>
      <c r="Y3" s="69" t="s">
        <v>7506</v>
      </c>
      <c r="Z3" s="70"/>
      <c r="AA3" s="70"/>
      <c r="AB3" s="86"/>
      <c r="AC3" s="79" t="s">
        <v>7507</v>
      </c>
      <c r="AD3" s="79"/>
      <c r="AE3" s="79"/>
      <c r="AF3" s="79"/>
      <c r="AG3" s="79"/>
      <c r="AH3" s="79"/>
      <c r="AI3" s="69" t="s">
        <v>7508</v>
      </c>
      <c r="AJ3" s="70"/>
      <c r="AK3" s="70"/>
      <c r="AL3" s="70"/>
      <c r="AM3" s="70"/>
      <c r="AN3" s="70"/>
      <c r="AO3" s="70"/>
      <c r="AP3" s="70"/>
      <c r="AQ3" s="53"/>
      <c r="AR3" s="53"/>
      <c r="AS3" s="53"/>
      <c r="AT3" s="53"/>
      <c r="AU3" s="53"/>
      <c r="AV3" s="54"/>
    </row>
    <row r="4" spans="2:48" x14ac:dyDescent="0.25">
      <c r="B4" s="64"/>
      <c r="C4" s="64"/>
      <c r="D4" s="64"/>
      <c r="E4" s="84"/>
      <c r="F4" s="81"/>
      <c r="G4" s="81"/>
      <c r="H4" s="47" t="s">
        <v>7503</v>
      </c>
      <c r="I4" s="77"/>
      <c r="J4" s="64"/>
      <c r="K4" s="79"/>
      <c r="L4" s="79"/>
      <c r="M4" s="79"/>
      <c r="N4" s="79"/>
      <c r="O4" s="79"/>
      <c r="P4" s="79"/>
      <c r="Q4" s="79"/>
      <c r="R4" s="79"/>
      <c r="S4" s="71"/>
      <c r="T4" s="72"/>
      <c r="U4" s="87"/>
      <c r="V4" s="71"/>
      <c r="W4" s="72"/>
      <c r="X4" s="87"/>
      <c r="Y4" s="71"/>
      <c r="Z4" s="72"/>
      <c r="AA4" s="72"/>
      <c r="AB4" s="87"/>
      <c r="AC4" s="79"/>
      <c r="AD4" s="79"/>
      <c r="AE4" s="79"/>
      <c r="AF4" s="79"/>
      <c r="AG4" s="79"/>
      <c r="AH4" s="79"/>
      <c r="AI4" s="71"/>
      <c r="AJ4" s="72"/>
      <c r="AK4" s="72"/>
      <c r="AL4" s="72"/>
      <c r="AM4" s="72"/>
      <c r="AN4" s="72"/>
      <c r="AO4" s="72"/>
      <c r="AP4" s="72"/>
      <c r="AQ4" s="55"/>
      <c r="AR4" s="55"/>
      <c r="AS4" s="55"/>
      <c r="AT4" s="55"/>
      <c r="AU4" s="55"/>
      <c r="AV4" s="56"/>
    </row>
    <row r="5" spans="2:48" x14ac:dyDescent="0.25">
      <c r="B5" s="64"/>
      <c r="C5" s="64"/>
      <c r="D5" s="64"/>
      <c r="E5" s="85"/>
      <c r="F5" s="82"/>
      <c r="G5" s="82"/>
      <c r="H5" s="48"/>
      <c r="I5" s="78"/>
      <c r="J5" s="64"/>
      <c r="K5" s="20">
        <v>6</v>
      </c>
      <c r="L5" s="20">
        <v>7</v>
      </c>
      <c r="M5" s="20">
        <v>9</v>
      </c>
      <c r="N5" s="20">
        <v>13</v>
      </c>
      <c r="O5" s="20">
        <v>15</v>
      </c>
      <c r="P5" s="20">
        <v>17</v>
      </c>
      <c r="Q5" s="20">
        <v>23</v>
      </c>
      <c r="R5" s="20">
        <v>27</v>
      </c>
      <c r="S5" s="20">
        <v>3</v>
      </c>
      <c r="T5" s="20">
        <v>14</v>
      </c>
      <c r="U5" s="20">
        <v>27</v>
      </c>
      <c r="V5" s="20">
        <v>4</v>
      </c>
      <c r="W5" s="20">
        <v>11</v>
      </c>
      <c r="X5" s="20">
        <v>18</v>
      </c>
      <c r="Y5" s="20">
        <v>8</v>
      </c>
      <c r="Z5" s="20">
        <v>14</v>
      </c>
      <c r="AA5" s="20">
        <v>24</v>
      </c>
      <c r="AB5" s="20">
        <v>29</v>
      </c>
      <c r="AC5" s="20">
        <v>7</v>
      </c>
      <c r="AD5" s="20">
        <v>15</v>
      </c>
      <c r="AE5" s="20">
        <v>16</v>
      </c>
      <c r="AF5" s="20">
        <v>23</v>
      </c>
      <c r="AG5" s="20">
        <v>26</v>
      </c>
      <c r="AH5" s="20">
        <v>30</v>
      </c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spans="2:48" ht="15.75" thickBot="1" x14ac:dyDescent="0.3">
      <c r="B6" s="26">
        <v>1</v>
      </c>
      <c r="C6" s="26" t="s">
        <v>168</v>
      </c>
      <c r="D6" s="25" t="s">
        <v>211</v>
      </c>
      <c r="E6" s="8">
        <v>3269</v>
      </c>
      <c r="F6" s="26">
        <v>48</v>
      </c>
      <c r="G6" s="26">
        <v>264</v>
      </c>
      <c r="H6" s="26">
        <f>SUM(K6:AV6)</f>
        <v>192</v>
      </c>
      <c r="I6" s="28">
        <f>F6+G6-H6</f>
        <v>120</v>
      </c>
      <c r="J6" s="26" t="s">
        <v>71</v>
      </c>
      <c r="K6" s="6">
        <v>3</v>
      </c>
      <c r="L6" s="6">
        <v>5</v>
      </c>
      <c r="M6" s="6">
        <v>6</v>
      </c>
      <c r="N6" s="6">
        <v>5</v>
      </c>
      <c r="O6" s="6">
        <v>6</v>
      </c>
      <c r="P6" s="6">
        <v>9</v>
      </c>
      <c r="Q6" s="6">
        <v>7</v>
      </c>
      <c r="R6" s="6">
        <v>9</v>
      </c>
      <c r="S6" s="6">
        <v>12</v>
      </c>
      <c r="T6" s="6">
        <v>13</v>
      </c>
      <c r="U6" s="6">
        <v>16</v>
      </c>
      <c r="V6" s="6">
        <v>5</v>
      </c>
      <c r="W6" s="6">
        <v>6</v>
      </c>
      <c r="X6" s="6">
        <v>4</v>
      </c>
      <c r="Y6" s="6">
        <v>10</v>
      </c>
      <c r="Z6" s="6">
        <v>15</v>
      </c>
      <c r="AA6" s="6">
        <v>12</v>
      </c>
      <c r="AB6" s="6">
        <v>15</v>
      </c>
      <c r="AC6" s="6">
        <v>5</v>
      </c>
      <c r="AD6" s="6">
        <v>11</v>
      </c>
      <c r="AE6" s="6">
        <v>3</v>
      </c>
      <c r="AF6" s="6">
        <v>5</v>
      </c>
      <c r="AG6" s="6">
        <v>4</v>
      </c>
      <c r="AH6" s="6">
        <v>6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2:48" ht="15.75" thickBot="1" x14ac:dyDescent="0.3">
      <c r="B7" s="88" t="s">
        <v>212</v>
      </c>
      <c r="C7" s="89"/>
      <c r="D7" s="89"/>
      <c r="E7" s="89"/>
      <c r="F7" s="89"/>
      <c r="G7" s="89"/>
      <c r="H7" s="89"/>
      <c r="I7" s="89"/>
      <c r="J7" s="9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2:48" x14ac:dyDescent="0.25">
      <c r="B8" s="15">
        <v>1</v>
      </c>
      <c r="C8" s="15" t="s">
        <v>168</v>
      </c>
      <c r="D8" s="27" t="s">
        <v>248</v>
      </c>
      <c r="E8" s="15"/>
      <c r="F8" s="15">
        <v>38</v>
      </c>
      <c r="G8" s="15">
        <v>108</v>
      </c>
      <c r="H8" s="26">
        <f>SUM(K8:AV8)</f>
        <v>50</v>
      </c>
      <c r="I8" s="28">
        <f>F8+G8-H8</f>
        <v>96</v>
      </c>
      <c r="J8" s="15" t="s">
        <v>71</v>
      </c>
      <c r="K8" s="6"/>
      <c r="L8" s="6"/>
      <c r="M8" s="6"/>
      <c r="N8" s="6">
        <v>4</v>
      </c>
      <c r="O8" s="6">
        <v>6</v>
      </c>
      <c r="P8" s="6"/>
      <c r="Q8" s="6">
        <v>2</v>
      </c>
      <c r="R8" s="6"/>
      <c r="S8" s="6">
        <v>3</v>
      </c>
      <c r="T8" s="6">
        <v>7</v>
      </c>
      <c r="U8" s="6">
        <v>3</v>
      </c>
      <c r="V8" s="6"/>
      <c r="W8" s="6"/>
      <c r="X8" s="6"/>
      <c r="Y8" s="6">
        <v>2</v>
      </c>
      <c r="Z8" s="6">
        <v>2</v>
      </c>
      <c r="AA8" s="6">
        <v>3</v>
      </c>
      <c r="AB8" s="6">
        <v>8</v>
      </c>
      <c r="AC8" s="6">
        <v>1</v>
      </c>
      <c r="AD8" s="6">
        <v>1</v>
      </c>
      <c r="AE8" s="6"/>
      <c r="AF8" s="6">
        <v>3</v>
      </c>
      <c r="AG8" s="6">
        <v>2</v>
      </c>
      <c r="AH8" s="6">
        <v>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2:48" x14ac:dyDescent="0.25">
      <c r="B9" s="15">
        <v>2</v>
      </c>
      <c r="C9" s="15" t="s">
        <v>168</v>
      </c>
      <c r="D9" s="27" t="s">
        <v>213</v>
      </c>
      <c r="E9" s="15">
        <v>1434</v>
      </c>
      <c r="F9" s="15">
        <v>18</v>
      </c>
      <c r="G9" s="15">
        <v>56</v>
      </c>
      <c r="H9" s="26">
        <f>SUM(K9:AV9)</f>
        <v>42</v>
      </c>
      <c r="I9" s="28">
        <f>F9+G9-H9</f>
        <v>32</v>
      </c>
      <c r="J9" s="15" t="s">
        <v>71</v>
      </c>
      <c r="K9" s="6">
        <v>2</v>
      </c>
      <c r="L9" s="6">
        <v>2</v>
      </c>
      <c r="M9" s="6">
        <v>1</v>
      </c>
      <c r="N9" s="6">
        <v>1</v>
      </c>
      <c r="O9" s="6">
        <v>1</v>
      </c>
      <c r="P9" s="6"/>
      <c r="Q9" s="6">
        <v>2</v>
      </c>
      <c r="R9" s="6"/>
      <c r="S9" s="6">
        <v>3</v>
      </c>
      <c r="T9" s="6">
        <v>5</v>
      </c>
      <c r="U9" s="6">
        <v>3</v>
      </c>
      <c r="V9" s="6">
        <v>3</v>
      </c>
      <c r="W9" s="6"/>
      <c r="X9" s="6">
        <v>2</v>
      </c>
      <c r="Y9" s="6"/>
      <c r="Z9" s="6">
        <v>4</v>
      </c>
      <c r="AA9" s="6"/>
      <c r="AB9" s="6">
        <v>6</v>
      </c>
      <c r="AC9" s="6">
        <v>1</v>
      </c>
      <c r="AD9" s="6">
        <v>3</v>
      </c>
      <c r="AE9" s="6"/>
      <c r="AF9" s="6">
        <v>1</v>
      </c>
      <c r="AG9" s="6">
        <v>1</v>
      </c>
      <c r="AH9" s="6">
        <v>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2:48" x14ac:dyDescent="0.25">
      <c r="B10" s="15">
        <v>3</v>
      </c>
      <c r="C10" s="15" t="s">
        <v>168</v>
      </c>
      <c r="D10" s="27" t="s">
        <v>214</v>
      </c>
      <c r="E10" s="9">
        <v>1447</v>
      </c>
      <c r="F10" s="15">
        <v>0</v>
      </c>
      <c r="G10" s="15">
        <f>7+7+7</f>
        <v>21</v>
      </c>
      <c r="H10" s="26">
        <f>SUM(K10:AV10)</f>
        <v>19</v>
      </c>
      <c r="I10" s="28">
        <f>F10+G10-H10</f>
        <v>2</v>
      </c>
      <c r="J10" s="15" t="s">
        <v>170</v>
      </c>
      <c r="K10" s="6"/>
      <c r="L10" s="6"/>
      <c r="M10" s="6"/>
      <c r="N10" s="6"/>
      <c r="O10" s="6"/>
      <c r="P10" s="6"/>
      <c r="Q10" s="6">
        <v>7</v>
      </c>
      <c r="R10" s="6"/>
      <c r="S10" s="6">
        <v>1</v>
      </c>
      <c r="T10" s="6"/>
      <c r="U10" s="6"/>
      <c r="V10" s="6">
        <v>1</v>
      </c>
      <c r="W10" s="6"/>
      <c r="X10" s="6"/>
      <c r="Y10" s="6"/>
      <c r="Z10" s="6">
        <v>4</v>
      </c>
      <c r="AA10" s="6"/>
      <c r="AB10" s="6">
        <v>3</v>
      </c>
      <c r="AC10" s="6"/>
      <c r="AD10" s="6">
        <v>1</v>
      </c>
      <c r="AE10" s="6">
        <v>1</v>
      </c>
      <c r="AF10" s="6">
        <v>1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2:48" x14ac:dyDescent="0.25">
      <c r="B11" s="15">
        <v>4</v>
      </c>
      <c r="C11" s="15" t="s">
        <v>168</v>
      </c>
      <c r="D11" s="27" t="s">
        <v>249</v>
      </c>
      <c r="E11" s="15">
        <v>1428</v>
      </c>
      <c r="F11" s="15">
        <v>30</v>
      </c>
      <c r="G11" s="15">
        <f>24+24+24</f>
        <v>72</v>
      </c>
      <c r="H11" s="26">
        <f>SUM(K11:AV11)</f>
        <v>70</v>
      </c>
      <c r="I11" s="28">
        <f>F11+G11-H11</f>
        <v>32</v>
      </c>
      <c r="J11" s="15" t="s">
        <v>217</v>
      </c>
      <c r="K11" s="6"/>
      <c r="L11" s="6">
        <v>2</v>
      </c>
      <c r="M11" s="6">
        <v>1</v>
      </c>
      <c r="N11" s="6">
        <v>3</v>
      </c>
      <c r="O11" s="6"/>
      <c r="P11" s="6"/>
      <c r="Q11" s="6">
        <v>4</v>
      </c>
      <c r="R11" s="6"/>
      <c r="S11" s="6">
        <v>3</v>
      </c>
      <c r="T11" s="6">
        <v>5</v>
      </c>
      <c r="U11" s="6">
        <v>6</v>
      </c>
      <c r="V11" s="6">
        <v>4</v>
      </c>
      <c r="W11" s="6">
        <v>2</v>
      </c>
      <c r="X11" s="6">
        <v>2</v>
      </c>
      <c r="Y11" s="6">
        <v>5</v>
      </c>
      <c r="Z11" s="6">
        <v>5</v>
      </c>
      <c r="AA11" s="6">
        <v>1</v>
      </c>
      <c r="AB11" s="6">
        <v>11</v>
      </c>
      <c r="AC11" s="6">
        <v>1</v>
      </c>
      <c r="AD11" s="6">
        <v>2</v>
      </c>
      <c r="AE11" s="6">
        <v>1</v>
      </c>
      <c r="AF11" s="6">
        <v>6</v>
      </c>
      <c r="AG11" s="6">
        <v>5</v>
      </c>
      <c r="AH11" s="6">
        <v>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2:48" ht="15.75" thickBot="1" x14ac:dyDescent="0.3">
      <c r="B12" s="15">
        <v>5</v>
      </c>
      <c r="C12" s="26" t="s">
        <v>168</v>
      </c>
      <c r="D12" s="25" t="s">
        <v>169</v>
      </c>
      <c r="E12" s="9">
        <v>5068</v>
      </c>
      <c r="F12" s="26">
        <v>0</v>
      </c>
      <c r="G12" s="26"/>
      <c r="H12" s="26">
        <f>SUM(K12:AV12)</f>
        <v>0</v>
      </c>
      <c r="I12" s="28">
        <f>F12+G12-H12</f>
        <v>0</v>
      </c>
      <c r="J12" s="26" t="s">
        <v>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2:48" ht="15.75" thickBot="1" x14ac:dyDescent="0.3">
      <c r="B13" s="73" t="s">
        <v>215</v>
      </c>
      <c r="C13" s="74"/>
      <c r="D13" s="74"/>
      <c r="E13" s="74"/>
      <c r="F13" s="74"/>
      <c r="G13" s="74"/>
      <c r="H13" s="74"/>
      <c r="I13" s="74"/>
      <c r="J13" s="7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2:48" x14ac:dyDescent="0.25">
      <c r="B14" s="14">
        <v>1</v>
      </c>
      <c r="C14" s="21">
        <v>3</v>
      </c>
      <c r="D14" s="22" t="s">
        <v>0</v>
      </c>
      <c r="E14" s="14"/>
      <c r="F14" s="21">
        <v>6</v>
      </c>
      <c r="G14" s="21"/>
      <c r="H14" s="26"/>
      <c r="I14" s="28">
        <f t="shared" ref="I14:I23" si="0">F14+G14-H14</f>
        <v>6</v>
      </c>
      <c r="J14" s="21" t="s">
        <v>187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2:48" x14ac:dyDescent="0.25">
      <c r="B15" s="6">
        <v>2</v>
      </c>
      <c r="C15" s="1">
        <v>1</v>
      </c>
      <c r="D15" s="2" t="s">
        <v>3</v>
      </c>
      <c r="E15" s="6"/>
      <c r="F15" s="1">
        <v>102</v>
      </c>
      <c r="G15" s="1"/>
      <c r="H15" s="26"/>
      <c r="I15" s="28">
        <f t="shared" si="0"/>
        <v>102</v>
      </c>
      <c r="J15" s="1" t="s">
        <v>11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2:48" x14ac:dyDescent="0.25">
      <c r="B16" s="6">
        <v>3</v>
      </c>
      <c r="C16" s="1">
        <v>3</v>
      </c>
      <c r="D16" s="2" t="s">
        <v>1</v>
      </c>
      <c r="E16" s="6"/>
      <c r="F16" s="1">
        <v>0</v>
      </c>
      <c r="G16" s="1">
        <v>40</v>
      </c>
      <c r="H16" s="26">
        <v>21</v>
      </c>
      <c r="I16" s="28">
        <f t="shared" si="0"/>
        <v>19</v>
      </c>
      <c r="J16" s="1" t="s">
        <v>187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2:48" x14ac:dyDescent="0.25">
      <c r="B17" s="6">
        <v>4</v>
      </c>
      <c r="C17" s="1">
        <v>1</v>
      </c>
      <c r="D17" s="2" t="s">
        <v>2</v>
      </c>
      <c r="E17" s="6">
        <v>13145</v>
      </c>
      <c r="F17" s="1">
        <v>49</v>
      </c>
      <c r="G17" s="1"/>
      <c r="H17" s="26"/>
      <c r="I17" s="28">
        <f t="shared" si="0"/>
        <v>49</v>
      </c>
      <c r="J17" s="1" t="s">
        <v>187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2:48" x14ac:dyDescent="0.25">
      <c r="B18" s="6">
        <v>5</v>
      </c>
      <c r="C18" s="4">
        <v>1</v>
      </c>
      <c r="D18" s="18" t="s">
        <v>281</v>
      </c>
      <c r="E18" s="6"/>
      <c r="F18" s="4">
        <v>102</v>
      </c>
      <c r="G18" s="4"/>
      <c r="H18" s="26"/>
      <c r="I18" s="28">
        <f t="shared" si="0"/>
        <v>102</v>
      </c>
      <c r="J18" s="4" t="s">
        <v>11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2:48" x14ac:dyDescent="0.25">
      <c r="B19" s="6">
        <v>6</v>
      </c>
      <c r="C19" s="6" t="s">
        <v>7499</v>
      </c>
      <c r="D19" s="32" t="s">
        <v>259</v>
      </c>
      <c r="E19" s="6"/>
      <c r="F19" s="6">
        <v>0</v>
      </c>
      <c r="G19" s="6"/>
      <c r="H19" s="26"/>
      <c r="I19" s="28">
        <f t="shared" si="0"/>
        <v>0</v>
      </c>
      <c r="J19" s="6" t="s">
        <v>11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2:48" x14ac:dyDescent="0.25">
      <c r="B20" s="6">
        <v>7</v>
      </c>
      <c r="C20" s="6">
        <v>1</v>
      </c>
      <c r="D20" s="32" t="s">
        <v>277</v>
      </c>
      <c r="E20" s="6"/>
      <c r="F20" s="6">
        <v>12</v>
      </c>
      <c r="G20" s="6"/>
      <c r="H20" s="26"/>
      <c r="I20" s="28">
        <f t="shared" si="0"/>
        <v>12</v>
      </c>
      <c r="J20" s="6" t="s">
        <v>11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2:48" x14ac:dyDescent="0.25">
      <c r="B21" s="6">
        <v>7</v>
      </c>
      <c r="C21" s="6">
        <v>1</v>
      </c>
      <c r="D21" s="32" t="s">
        <v>278</v>
      </c>
      <c r="E21" s="6"/>
      <c r="F21" s="6">
        <v>12</v>
      </c>
      <c r="G21" s="6"/>
      <c r="H21" s="26"/>
      <c r="I21" s="28">
        <f t="shared" si="0"/>
        <v>12</v>
      </c>
      <c r="J21" s="6" t="s">
        <v>11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2:48" x14ac:dyDescent="0.25">
      <c r="B22" s="6">
        <v>7</v>
      </c>
      <c r="C22" s="6">
        <v>1</v>
      </c>
      <c r="D22" s="32" t="s">
        <v>279</v>
      </c>
      <c r="E22" s="6"/>
      <c r="F22" s="6">
        <v>12</v>
      </c>
      <c r="G22" s="6"/>
      <c r="H22" s="26"/>
      <c r="I22" s="28">
        <f t="shared" si="0"/>
        <v>12</v>
      </c>
      <c r="J22" s="6" t="s">
        <v>11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2:48" x14ac:dyDescent="0.25">
      <c r="B23" s="6">
        <v>7</v>
      </c>
      <c r="C23" s="6">
        <v>1</v>
      </c>
      <c r="D23" s="32" t="s">
        <v>280</v>
      </c>
      <c r="E23" s="6"/>
      <c r="F23" s="6">
        <v>2</v>
      </c>
      <c r="G23" s="6"/>
      <c r="H23" s="15"/>
      <c r="I23" s="28">
        <f t="shared" si="0"/>
        <v>2</v>
      </c>
      <c r="J23" s="6" t="s">
        <v>11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</sheetData>
  <autoFilter ref="B3:J5" xr:uid="{00000000-0001-0000-0100-000000000000}"/>
  <mergeCells count="16">
    <mergeCell ref="AI3:AP4"/>
    <mergeCell ref="B13:J13"/>
    <mergeCell ref="I3:I5"/>
    <mergeCell ref="J3:J5"/>
    <mergeCell ref="K3:R4"/>
    <mergeCell ref="G3:G5"/>
    <mergeCell ref="B3:B5"/>
    <mergeCell ref="C3:C5"/>
    <mergeCell ref="D3:D5"/>
    <mergeCell ref="E3:E5"/>
    <mergeCell ref="F3:F5"/>
    <mergeCell ref="S3:U4"/>
    <mergeCell ref="V3:X4"/>
    <mergeCell ref="Y3:AB4"/>
    <mergeCell ref="B7:J7"/>
    <mergeCell ref="AC3:AH4"/>
  </mergeCells>
  <pageMargins left="0.7" right="0.7" top="0.75" bottom="0.75" header="0.3" footer="0.3"/>
  <pageSetup scale="1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2E2B-D947-4DDC-9F85-5F349B2FB890}">
  <dimension ref="A1:E7126"/>
  <sheetViews>
    <sheetView topLeftCell="A86" workbookViewId="0">
      <selection activeCell="A92" sqref="A92:E92"/>
    </sheetView>
  </sheetViews>
  <sheetFormatPr defaultRowHeight="15" x14ac:dyDescent="0.25"/>
  <cols>
    <col min="1" max="1" width="8.42578125" style="41" bestFit="1" customWidth="1"/>
    <col min="2" max="2" width="47.7109375" style="40" bestFit="1" customWidth="1"/>
    <col min="3" max="3" width="13.28515625" style="41" bestFit="1" customWidth="1"/>
    <col min="4" max="4" width="14.42578125" style="41" bestFit="1" customWidth="1"/>
    <col min="5" max="5" width="9.28515625" style="41" bestFit="1" customWidth="1"/>
    <col min="6" max="16384" width="9.140625" style="40"/>
  </cols>
  <sheetData>
    <row r="1" spans="1:5" x14ac:dyDescent="0.25">
      <c r="A1" s="38" t="s">
        <v>283</v>
      </c>
      <c r="B1" s="39" t="s">
        <v>284</v>
      </c>
      <c r="C1" s="38" t="s">
        <v>285</v>
      </c>
      <c r="D1" s="38" t="s">
        <v>286</v>
      </c>
      <c r="E1" s="38" t="s">
        <v>287</v>
      </c>
    </row>
    <row r="2" spans="1:5" x14ac:dyDescent="0.25">
      <c r="A2" s="41">
        <v>1</v>
      </c>
      <c r="B2" s="42" t="s">
        <v>288</v>
      </c>
      <c r="C2" s="43" t="s">
        <v>289</v>
      </c>
      <c r="D2" s="43" t="s">
        <v>290</v>
      </c>
      <c r="E2" s="43" t="s">
        <v>230</v>
      </c>
    </row>
    <row r="3" spans="1:5" x14ac:dyDescent="0.25">
      <c r="A3" s="41">
        <v>2</v>
      </c>
      <c r="B3" s="42" t="s">
        <v>291</v>
      </c>
      <c r="C3" s="43" t="s">
        <v>289</v>
      </c>
      <c r="D3" s="43" t="s">
        <v>290</v>
      </c>
      <c r="E3" s="43" t="s">
        <v>230</v>
      </c>
    </row>
    <row r="4" spans="1:5" x14ac:dyDescent="0.25">
      <c r="A4" s="41">
        <v>3</v>
      </c>
      <c r="B4" s="42" t="s">
        <v>292</v>
      </c>
      <c r="C4" s="43" t="s">
        <v>289</v>
      </c>
      <c r="D4" s="43" t="s">
        <v>290</v>
      </c>
      <c r="E4" s="43" t="s">
        <v>230</v>
      </c>
    </row>
    <row r="5" spans="1:5" x14ac:dyDescent="0.25">
      <c r="A5" s="41">
        <v>4</v>
      </c>
      <c r="B5" s="42" t="s">
        <v>293</v>
      </c>
      <c r="C5" s="43" t="s">
        <v>289</v>
      </c>
      <c r="D5" s="43" t="s">
        <v>290</v>
      </c>
      <c r="E5" s="43" t="s">
        <v>230</v>
      </c>
    </row>
    <row r="6" spans="1:5" x14ac:dyDescent="0.25">
      <c r="A6" s="41">
        <v>5</v>
      </c>
      <c r="B6" s="42" t="s">
        <v>294</v>
      </c>
      <c r="C6" s="43" t="s">
        <v>289</v>
      </c>
      <c r="D6" s="43" t="s">
        <v>290</v>
      </c>
      <c r="E6" s="43" t="s">
        <v>230</v>
      </c>
    </row>
    <row r="7" spans="1:5" x14ac:dyDescent="0.25">
      <c r="A7" s="41">
        <v>6</v>
      </c>
      <c r="B7" s="42" t="s">
        <v>295</v>
      </c>
      <c r="C7" s="43" t="s">
        <v>289</v>
      </c>
      <c r="D7" s="43" t="s">
        <v>290</v>
      </c>
      <c r="E7" s="43" t="s">
        <v>230</v>
      </c>
    </row>
    <row r="8" spans="1:5" x14ac:dyDescent="0.25">
      <c r="A8" s="41">
        <v>7</v>
      </c>
      <c r="B8" s="42" t="s">
        <v>296</v>
      </c>
      <c r="C8" s="43" t="s">
        <v>289</v>
      </c>
      <c r="D8" s="43" t="s">
        <v>290</v>
      </c>
      <c r="E8" s="43" t="s">
        <v>230</v>
      </c>
    </row>
    <row r="9" spans="1:5" x14ac:dyDescent="0.25">
      <c r="A9" s="41">
        <v>8</v>
      </c>
      <c r="B9" s="42" t="s">
        <v>297</v>
      </c>
      <c r="C9" s="43" t="s">
        <v>289</v>
      </c>
      <c r="D9" s="43" t="s">
        <v>290</v>
      </c>
      <c r="E9" s="43" t="s">
        <v>230</v>
      </c>
    </row>
    <row r="10" spans="1:5" x14ac:dyDescent="0.25">
      <c r="A10" s="41">
        <v>9</v>
      </c>
      <c r="B10" s="42" t="s">
        <v>298</v>
      </c>
      <c r="C10" s="43" t="s">
        <v>289</v>
      </c>
      <c r="D10" s="43" t="s">
        <v>290</v>
      </c>
      <c r="E10" s="43" t="s">
        <v>230</v>
      </c>
    </row>
    <row r="11" spans="1:5" x14ac:dyDescent="0.25">
      <c r="A11" s="41">
        <v>10</v>
      </c>
      <c r="B11" s="42" t="s">
        <v>299</v>
      </c>
      <c r="C11" s="43" t="s">
        <v>289</v>
      </c>
      <c r="D11" s="43" t="s">
        <v>300</v>
      </c>
      <c r="E11" s="43" t="s">
        <v>230</v>
      </c>
    </row>
    <row r="12" spans="1:5" x14ac:dyDescent="0.25">
      <c r="A12" s="41">
        <v>14</v>
      </c>
      <c r="B12" s="42" t="s">
        <v>301</v>
      </c>
      <c r="C12" s="43" t="s">
        <v>289</v>
      </c>
      <c r="D12" s="43" t="s">
        <v>290</v>
      </c>
      <c r="E12" s="43" t="s">
        <v>230</v>
      </c>
    </row>
    <row r="13" spans="1:5" x14ac:dyDescent="0.25">
      <c r="A13" s="41">
        <v>15</v>
      </c>
      <c r="B13" s="42" t="s">
        <v>302</v>
      </c>
      <c r="C13" s="43" t="s">
        <v>289</v>
      </c>
      <c r="D13" s="43" t="s">
        <v>290</v>
      </c>
      <c r="E13" s="43" t="s">
        <v>230</v>
      </c>
    </row>
    <row r="14" spans="1:5" x14ac:dyDescent="0.25">
      <c r="A14" s="41">
        <v>16</v>
      </c>
      <c r="B14" s="42" t="s">
        <v>303</v>
      </c>
      <c r="C14" s="43" t="s">
        <v>289</v>
      </c>
      <c r="D14" s="43" t="s">
        <v>290</v>
      </c>
      <c r="E14" s="43" t="s">
        <v>230</v>
      </c>
    </row>
    <row r="15" spans="1:5" x14ac:dyDescent="0.25">
      <c r="A15" s="41">
        <v>17</v>
      </c>
      <c r="B15" s="42" t="s">
        <v>304</v>
      </c>
      <c r="C15" s="43" t="s">
        <v>289</v>
      </c>
      <c r="D15" s="43" t="s">
        <v>290</v>
      </c>
      <c r="E15" s="43" t="s">
        <v>230</v>
      </c>
    </row>
    <row r="16" spans="1:5" x14ac:dyDescent="0.25">
      <c r="A16" s="41">
        <v>26</v>
      </c>
      <c r="B16" s="42" t="s">
        <v>305</v>
      </c>
      <c r="C16" s="43" t="s">
        <v>289</v>
      </c>
      <c r="D16" s="43" t="s">
        <v>290</v>
      </c>
      <c r="E16" s="43" t="s">
        <v>230</v>
      </c>
    </row>
    <row r="17" spans="1:5" x14ac:dyDescent="0.25">
      <c r="A17" s="41">
        <v>27</v>
      </c>
      <c r="B17" s="42" t="s">
        <v>306</v>
      </c>
      <c r="C17" s="43" t="s">
        <v>289</v>
      </c>
      <c r="D17" s="43" t="s">
        <v>290</v>
      </c>
      <c r="E17" s="43" t="s">
        <v>230</v>
      </c>
    </row>
    <row r="18" spans="1:5" x14ac:dyDescent="0.25">
      <c r="A18" s="41">
        <v>28</v>
      </c>
      <c r="B18" s="42" t="s">
        <v>307</v>
      </c>
      <c r="C18" s="43" t="s">
        <v>289</v>
      </c>
      <c r="D18" s="43" t="s">
        <v>290</v>
      </c>
      <c r="E18" s="43" t="s">
        <v>230</v>
      </c>
    </row>
    <row r="19" spans="1:5" x14ac:dyDescent="0.25">
      <c r="A19" s="41">
        <v>29</v>
      </c>
      <c r="B19" s="42" t="s">
        <v>308</v>
      </c>
      <c r="C19" s="43" t="s">
        <v>289</v>
      </c>
      <c r="D19" s="43" t="s">
        <v>290</v>
      </c>
      <c r="E19" s="43" t="s">
        <v>230</v>
      </c>
    </row>
    <row r="20" spans="1:5" x14ac:dyDescent="0.25">
      <c r="A20" s="41">
        <v>31</v>
      </c>
      <c r="B20" s="42" t="s">
        <v>309</v>
      </c>
      <c r="C20" s="43" t="s">
        <v>289</v>
      </c>
      <c r="D20" s="43" t="s">
        <v>290</v>
      </c>
      <c r="E20" s="43" t="s">
        <v>230</v>
      </c>
    </row>
    <row r="21" spans="1:5" x14ac:dyDescent="0.25">
      <c r="A21" s="41">
        <v>33</v>
      </c>
      <c r="B21" s="42" t="s">
        <v>310</v>
      </c>
      <c r="C21" s="43" t="s">
        <v>289</v>
      </c>
      <c r="D21" s="43" t="s">
        <v>290</v>
      </c>
      <c r="E21" s="43" t="s">
        <v>230</v>
      </c>
    </row>
    <row r="22" spans="1:5" x14ac:dyDescent="0.25">
      <c r="A22" s="41">
        <v>37</v>
      </c>
      <c r="B22" s="42" t="s">
        <v>311</v>
      </c>
      <c r="C22" s="43" t="s">
        <v>289</v>
      </c>
      <c r="D22" s="43" t="s">
        <v>290</v>
      </c>
      <c r="E22" s="43" t="s">
        <v>230</v>
      </c>
    </row>
    <row r="23" spans="1:5" x14ac:dyDescent="0.25">
      <c r="A23" s="41">
        <v>38</v>
      </c>
      <c r="B23" s="42" t="s">
        <v>312</v>
      </c>
      <c r="C23" s="43" t="s">
        <v>289</v>
      </c>
      <c r="D23" s="43" t="s">
        <v>290</v>
      </c>
      <c r="E23" s="43" t="s">
        <v>230</v>
      </c>
    </row>
    <row r="24" spans="1:5" x14ac:dyDescent="0.25">
      <c r="A24" s="41">
        <v>40</v>
      </c>
      <c r="B24" s="42" t="s">
        <v>313</v>
      </c>
      <c r="C24" s="43" t="s">
        <v>289</v>
      </c>
      <c r="D24" s="43" t="s">
        <v>314</v>
      </c>
      <c r="E24" s="43" t="s">
        <v>230</v>
      </c>
    </row>
    <row r="25" spans="1:5" x14ac:dyDescent="0.25">
      <c r="A25" s="41">
        <v>42</v>
      </c>
      <c r="B25" s="42" t="s">
        <v>315</v>
      </c>
      <c r="C25" s="43" t="s">
        <v>289</v>
      </c>
      <c r="D25" s="43" t="s">
        <v>316</v>
      </c>
      <c r="E25" s="43" t="s">
        <v>230</v>
      </c>
    </row>
    <row r="26" spans="1:5" x14ac:dyDescent="0.25">
      <c r="A26" s="41">
        <v>43</v>
      </c>
      <c r="B26" s="42" t="s">
        <v>317</v>
      </c>
      <c r="C26" s="43" t="s">
        <v>289</v>
      </c>
      <c r="D26" s="43" t="s">
        <v>290</v>
      </c>
      <c r="E26" s="43" t="s">
        <v>230</v>
      </c>
    </row>
    <row r="27" spans="1:5" x14ac:dyDescent="0.25">
      <c r="A27" s="41">
        <v>45</v>
      </c>
      <c r="B27" s="42" t="s">
        <v>318</v>
      </c>
      <c r="C27" s="43" t="s">
        <v>289</v>
      </c>
      <c r="D27" s="43" t="s">
        <v>316</v>
      </c>
      <c r="E27" s="43" t="s">
        <v>230</v>
      </c>
    </row>
    <row r="28" spans="1:5" x14ac:dyDescent="0.25">
      <c r="A28" s="41">
        <v>62</v>
      </c>
      <c r="B28" s="42" t="s">
        <v>319</v>
      </c>
      <c r="C28" s="43" t="s">
        <v>289</v>
      </c>
      <c r="D28" s="43" t="s">
        <v>314</v>
      </c>
      <c r="E28" s="43" t="s">
        <v>230</v>
      </c>
    </row>
    <row r="29" spans="1:5" x14ac:dyDescent="0.25">
      <c r="A29" s="41">
        <v>63</v>
      </c>
      <c r="B29" s="42" t="s">
        <v>320</v>
      </c>
      <c r="C29" s="43" t="s">
        <v>289</v>
      </c>
      <c r="D29" s="43" t="s">
        <v>290</v>
      </c>
      <c r="E29" s="43" t="s">
        <v>230</v>
      </c>
    </row>
    <row r="30" spans="1:5" x14ac:dyDescent="0.25">
      <c r="A30" s="41">
        <v>64</v>
      </c>
      <c r="B30" s="42" t="s">
        <v>321</v>
      </c>
      <c r="C30" s="43" t="s">
        <v>289</v>
      </c>
      <c r="D30" s="43" t="s">
        <v>290</v>
      </c>
      <c r="E30" s="43" t="s">
        <v>230</v>
      </c>
    </row>
    <row r="31" spans="1:5" x14ac:dyDescent="0.25">
      <c r="A31" s="41">
        <v>65</v>
      </c>
      <c r="B31" s="42" t="s">
        <v>322</v>
      </c>
      <c r="C31" s="43" t="s">
        <v>289</v>
      </c>
      <c r="D31" s="43" t="s">
        <v>290</v>
      </c>
      <c r="E31" s="43" t="s">
        <v>230</v>
      </c>
    </row>
    <row r="32" spans="1:5" x14ac:dyDescent="0.25">
      <c r="A32" s="41">
        <v>66</v>
      </c>
      <c r="B32" s="42" t="s">
        <v>323</v>
      </c>
      <c r="C32" s="43" t="s">
        <v>289</v>
      </c>
      <c r="D32" s="43" t="s">
        <v>290</v>
      </c>
      <c r="E32" s="43" t="s">
        <v>230</v>
      </c>
    </row>
    <row r="33" spans="1:5" x14ac:dyDescent="0.25">
      <c r="A33" s="41">
        <v>89</v>
      </c>
      <c r="B33" s="42" t="s">
        <v>324</v>
      </c>
      <c r="C33" s="43" t="s">
        <v>289</v>
      </c>
      <c r="D33" s="43" t="s">
        <v>290</v>
      </c>
      <c r="E33" s="43" t="s">
        <v>230</v>
      </c>
    </row>
    <row r="34" spans="1:5" x14ac:dyDescent="0.25">
      <c r="A34" s="41">
        <v>90</v>
      </c>
      <c r="B34" s="42" t="s">
        <v>325</v>
      </c>
      <c r="C34" s="43" t="s">
        <v>289</v>
      </c>
      <c r="D34" s="43" t="s">
        <v>290</v>
      </c>
      <c r="E34" s="43" t="s">
        <v>230</v>
      </c>
    </row>
    <row r="35" spans="1:5" x14ac:dyDescent="0.25">
      <c r="A35" s="41">
        <v>100</v>
      </c>
      <c r="B35" s="42" t="s">
        <v>326</v>
      </c>
      <c r="C35" s="43" t="s">
        <v>289</v>
      </c>
      <c r="D35" s="43" t="s">
        <v>327</v>
      </c>
      <c r="E35" s="43" t="s">
        <v>230</v>
      </c>
    </row>
    <row r="36" spans="1:5" x14ac:dyDescent="0.25">
      <c r="A36" s="41">
        <v>101</v>
      </c>
      <c r="B36" s="42" t="s">
        <v>328</v>
      </c>
      <c r="C36" s="43" t="s">
        <v>289</v>
      </c>
      <c r="D36" s="43" t="s">
        <v>329</v>
      </c>
      <c r="E36" s="43" t="s">
        <v>230</v>
      </c>
    </row>
    <row r="37" spans="1:5" x14ac:dyDescent="0.25">
      <c r="A37" s="41">
        <v>102</v>
      </c>
      <c r="B37" s="42" t="s">
        <v>330</v>
      </c>
      <c r="C37" s="43" t="s">
        <v>289</v>
      </c>
      <c r="D37" s="43" t="s">
        <v>329</v>
      </c>
      <c r="E37" s="43" t="s">
        <v>230</v>
      </c>
    </row>
    <row r="38" spans="1:5" x14ac:dyDescent="0.25">
      <c r="A38" s="41">
        <v>103</v>
      </c>
      <c r="B38" s="42" t="s">
        <v>331</v>
      </c>
      <c r="C38" s="43" t="s">
        <v>289</v>
      </c>
      <c r="D38" s="43" t="s">
        <v>329</v>
      </c>
      <c r="E38" s="43" t="s">
        <v>230</v>
      </c>
    </row>
    <row r="39" spans="1:5" x14ac:dyDescent="0.25">
      <c r="A39" s="41">
        <v>105</v>
      </c>
      <c r="B39" s="42" t="s">
        <v>332</v>
      </c>
      <c r="C39" s="43" t="s">
        <v>289</v>
      </c>
      <c r="D39" s="43" t="s">
        <v>333</v>
      </c>
      <c r="E39" s="43" t="s">
        <v>230</v>
      </c>
    </row>
    <row r="40" spans="1:5" x14ac:dyDescent="0.25">
      <c r="A40" s="41">
        <v>107</v>
      </c>
      <c r="B40" s="42" t="s">
        <v>334</v>
      </c>
      <c r="C40" s="43" t="s">
        <v>289</v>
      </c>
      <c r="D40" s="43" t="s">
        <v>335</v>
      </c>
      <c r="E40" s="43" t="s">
        <v>336</v>
      </c>
    </row>
    <row r="41" spans="1:5" x14ac:dyDescent="0.25">
      <c r="A41" s="41">
        <v>108</v>
      </c>
      <c r="B41" s="42" t="s">
        <v>337</v>
      </c>
      <c r="C41" s="43" t="s">
        <v>289</v>
      </c>
      <c r="D41" s="43" t="s">
        <v>335</v>
      </c>
      <c r="E41" s="43" t="s">
        <v>336</v>
      </c>
    </row>
    <row r="42" spans="1:5" x14ac:dyDescent="0.25">
      <c r="A42" s="41">
        <v>110</v>
      </c>
      <c r="B42" s="42" t="s">
        <v>338</v>
      </c>
      <c r="C42" s="43" t="s">
        <v>289</v>
      </c>
      <c r="D42" s="43" t="s">
        <v>290</v>
      </c>
      <c r="E42" s="43" t="s">
        <v>230</v>
      </c>
    </row>
    <row r="43" spans="1:5" x14ac:dyDescent="0.25">
      <c r="A43" s="41">
        <v>111</v>
      </c>
      <c r="B43" s="42" t="s">
        <v>339</v>
      </c>
      <c r="C43" s="43" t="s">
        <v>289</v>
      </c>
      <c r="D43" s="43" t="s">
        <v>290</v>
      </c>
      <c r="E43" s="43" t="s">
        <v>230</v>
      </c>
    </row>
    <row r="44" spans="1:5" x14ac:dyDescent="0.25">
      <c r="A44" s="41">
        <v>114</v>
      </c>
      <c r="B44" s="42" t="s">
        <v>340</v>
      </c>
      <c r="C44" s="43" t="s">
        <v>289</v>
      </c>
      <c r="D44" s="43" t="s">
        <v>290</v>
      </c>
      <c r="E44" s="43" t="s">
        <v>230</v>
      </c>
    </row>
    <row r="45" spans="1:5" x14ac:dyDescent="0.25">
      <c r="A45" s="41">
        <v>115</v>
      </c>
      <c r="B45" s="42" t="s">
        <v>341</v>
      </c>
      <c r="C45" s="43" t="s">
        <v>289</v>
      </c>
      <c r="D45" s="43" t="s">
        <v>290</v>
      </c>
      <c r="E45" s="43" t="s">
        <v>230</v>
      </c>
    </row>
    <row r="46" spans="1:5" x14ac:dyDescent="0.25">
      <c r="A46" s="41">
        <v>116</v>
      </c>
      <c r="B46" s="42" t="s">
        <v>342</v>
      </c>
      <c r="C46" s="43" t="s">
        <v>289</v>
      </c>
      <c r="D46" s="43" t="s">
        <v>290</v>
      </c>
      <c r="E46" s="43" t="s">
        <v>230</v>
      </c>
    </row>
    <row r="47" spans="1:5" x14ac:dyDescent="0.25">
      <c r="A47" s="41">
        <v>117</v>
      </c>
      <c r="B47" s="42" t="s">
        <v>343</v>
      </c>
      <c r="C47" s="43" t="s">
        <v>289</v>
      </c>
      <c r="D47" s="43" t="s">
        <v>290</v>
      </c>
      <c r="E47" s="43" t="s">
        <v>230</v>
      </c>
    </row>
    <row r="48" spans="1:5" x14ac:dyDescent="0.25">
      <c r="A48" s="41">
        <v>119</v>
      </c>
      <c r="B48" s="42" t="s">
        <v>344</v>
      </c>
      <c r="C48" s="43" t="s">
        <v>289</v>
      </c>
      <c r="D48" s="43" t="s">
        <v>290</v>
      </c>
      <c r="E48" s="43" t="s">
        <v>230</v>
      </c>
    </row>
    <row r="49" spans="1:5" x14ac:dyDescent="0.25">
      <c r="A49" s="41">
        <v>120</v>
      </c>
      <c r="B49" s="42" t="s">
        <v>345</v>
      </c>
      <c r="C49" s="43" t="s">
        <v>289</v>
      </c>
      <c r="D49" s="43" t="s">
        <v>290</v>
      </c>
      <c r="E49" s="43" t="s">
        <v>230</v>
      </c>
    </row>
    <row r="50" spans="1:5" x14ac:dyDescent="0.25">
      <c r="A50" s="41">
        <v>121</v>
      </c>
      <c r="B50" s="42" t="s">
        <v>346</v>
      </c>
      <c r="C50" s="43" t="s">
        <v>289</v>
      </c>
      <c r="D50" s="43" t="s">
        <v>290</v>
      </c>
      <c r="E50" s="43" t="s">
        <v>230</v>
      </c>
    </row>
    <row r="51" spans="1:5" x14ac:dyDescent="0.25">
      <c r="A51" s="41">
        <v>123</v>
      </c>
      <c r="B51" s="42" t="s">
        <v>347</v>
      </c>
      <c r="C51" s="43" t="s">
        <v>289</v>
      </c>
      <c r="D51" s="43" t="s">
        <v>290</v>
      </c>
      <c r="E51" s="43" t="s">
        <v>230</v>
      </c>
    </row>
    <row r="52" spans="1:5" x14ac:dyDescent="0.25">
      <c r="A52" s="41">
        <v>127</v>
      </c>
      <c r="B52" s="42" t="s">
        <v>348</v>
      </c>
      <c r="C52" s="43" t="s">
        <v>289</v>
      </c>
      <c r="D52" s="43" t="s">
        <v>335</v>
      </c>
      <c r="E52" s="43" t="s">
        <v>230</v>
      </c>
    </row>
    <row r="53" spans="1:5" x14ac:dyDescent="0.25">
      <c r="A53" s="41">
        <v>129</v>
      </c>
      <c r="B53" s="42" t="s">
        <v>349</v>
      </c>
      <c r="C53" s="43" t="s">
        <v>289</v>
      </c>
      <c r="D53" s="43" t="s">
        <v>327</v>
      </c>
      <c r="E53" s="43" t="s">
        <v>230</v>
      </c>
    </row>
    <row r="54" spans="1:5" x14ac:dyDescent="0.25">
      <c r="A54" s="41">
        <v>130</v>
      </c>
      <c r="B54" s="42" t="s">
        <v>350</v>
      </c>
      <c r="C54" s="43" t="s">
        <v>289</v>
      </c>
      <c r="D54" s="43" t="s">
        <v>327</v>
      </c>
      <c r="E54" s="43" t="s">
        <v>230</v>
      </c>
    </row>
    <row r="55" spans="1:5" x14ac:dyDescent="0.25">
      <c r="A55" s="41">
        <v>132</v>
      </c>
      <c r="B55" s="42" t="s">
        <v>351</v>
      </c>
      <c r="C55" s="43" t="s">
        <v>289</v>
      </c>
      <c r="D55" s="43" t="s">
        <v>290</v>
      </c>
      <c r="E55" s="43" t="s">
        <v>230</v>
      </c>
    </row>
    <row r="56" spans="1:5" x14ac:dyDescent="0.25">
      <c r="A56" s="41">
        <v>133</v>
      </c>
      <c r="B56" s="42" t="s">
        <v>352</v>
      </c>
      <c r="C56" s="43" t="s">
        <v>289</v>
      </c>
      <c r="D56" s="43" t="s">
        <v>327</v>
      </c>
      <c r="E56" s="43" t="s">
        <v>230</v>
      </c>
    </row>
    <row r="57" spans="1:5" x14ac:dyDescent="0.25">
      <c r="A57" s="41">
        <v>135</v>
      </c>
      <c r="B57" s="42" t="s">
        <v>353</v>
      </c>
      <c r="C57" s="43" t="s">
        <v>289</v>
      </c>
      <c r="D57" s="43" t="s">
        <v>316</v>
      </c>
      <c r="E57" s="43" t="s">
        <v>354</v>
      </c>
    </row>
    <row r="58" spans="1:5" x14ac:dyDescent="0.25">
      <c r="A58" s="41">
        <v>138</v>
      </c>
      <c r="B58" s="42" t="s">
        <v>355</v>
      </c>
      <c r="C58" s="43" t="s">
        <v>289</v>
      </c>
      <c r="D58" s="43" t="s">
        <v>290</v>
      </c>
      <c r="E58" s="43" t="s">
        <v>230</v>
      </c>
    </row>
    <row r="59" spans="1:5" x14ac:dyDescent="0.25">
      <c r="A59" s="41">
        <v>141</v>
      </c>
      <c r="B59" s="42" t="s">
        <v>356</v>
      </c>
      <c r="C59" s="43" t="s">
        <v>289</v>
      </c>
      <c r="D59" s="43" t="s">
        <v>290</v>
      </c>
      <c r="E59" s="43" t="s">
        <v>230</v>
      </c>
    </row>
    <row r="60" spans="1:5" x14ac:dyDescent="0.25">
      <c r="A60" s="41">
        <v>143</v>
      </c>
      <c r="B60" s="42" t="s">
        <v>357</v>
      </c>
      <c r="C60" s="43" t="s">
        <v>289</v>
      </c>
      <c r="D60" s="43" t="s">
        <v>290</v>
      </c>
      <c r="E60" s="43" t="s">
        <v>230</v>
      </c>
    </row>
    <row r="61" spans="1:5" x14ac:dyDescent="0.25">
      <c r="A61" s="41">
        <v>144</v>
      </c>
      <c r="B61" s="42" t="s">
        <v>358</v>
      </c>
      <c r="C61" s="43" t="s">
        <v>289</v>
      </c>
      <c r="D61" s="43" t="s">
        <v>290</v>
      </c>
      <c r="E61" s="43" t="s">
        <v>230</v>
      </c>
    </row>
    <row r="62" spans="1:5" x14ac:dyDescent="0.25">
      <c r="A62" s="41">
        <v>146</v>
      </c>
      <c r="B62" s="42" t="s">
        <v>359</v>
      </c>
      <c r="C62" s="43" t="s">
        <v>289</v>
      </c>
      <c r="D62" s="43" t="s">
        <v>290</v>
      </c>
      <c r="E62" s="43" t="s">
        <v>230</v>
      </c>
    </row>
    <row r="63" spans="1:5" x14ac:dyDescent="0.25">
      <c r="A63" s="41">
        <v>147</v>
      </c>
      <c r="B63" s="42" t="s">
        <v>360</v>
      </c>
      <c r="C63" s="43" t="s">
        <v>289</v>
      </c>
      <c r="D63" s="43" t="s">
        <v>290</v>
      </c>
      <c r="E63" s="43" t="s">
        <v>230</v>
      </c>
    </row>
    <row r="64" spans="1:5" x14ac:dyDescent="0.25">
      <c r="A64" s="41">
        <v>148</v>
      </c>
      <c r="B64" s="42" t="s">
        <v>361</v>
      </c>
      <c r="C64" s="43" t="s">
        <v>289</v>
      </c>
      <c r="D64" s="43" t="s">
        <v>290</v>
      </c>
      <c r="E64" s="43" t="s">
        <v>230</v>
      </c>
    </row>
    <row r="65" spans="1:5" x14ac:dyDescent="0.25">
      <c r="A65" s="41">
        <v>158</v>
      </c>
      <c r="B65" s="42" t="s">
        <v>362</v>
      </c>
      <c r="C65" s="43" t="s">
        <v>289</v>
      </c>
      <c r="D65" s="43" t="s">
        <v>327</v>
      </c>
      <c r="E65" s="43" t="s">
        <v>230</v>
      </c>
    </row>
    <row r="66" spans="1:5" x14ac:dyDescent="0.25">
      <c r="A66" s="41">
        <v>159</v>
      </c>
      <c r="B66" s="42" t="s">
        <v>363</v>
      </c>
      <c r="C66" s="43" t="s">
        <v>289</v>
      </c>
      <c r="D66" s="43" t="s">
        <v>290</v>
      </c>
      <c r="E66" s="43" t="s">
        <v>230</v>
      </c>
    </row>
    <row r="67" spans="1:5" x14ac:dyDescent="0.25">
      <c r="A67" s="41">
        <v>165</v>
      </c>
      <c r="B67" s="42" t="s">
        <v>364</v>
      </c>
      <c r="C67" s="43" t="s">
        <v>289</v>
      </c>
      <c r="D67" s="43" t="s">
        <v>333</v>
      </c>
      <c r="E67" s="43" t="s">
        <v>230</v>
      </c>
    </row>
    <row r="68" spans="1:5" x14ac:dyDescent="0.25">
      <c r="A68" s="41">
        <v>166</v>
      </c>
      <c r="B68" s="42" t="s">
        <v>365</v>
      </c>
      <c r="C68" s="43" t="s">
        <v>289</v>
      </c>
      <c r="D68" s="43" t="s">
        <v>366</v>
      </c>
      <c r="E68" s="43" t="s">
        <v>230</v>
      </c>
    </row>
    <row r="69" spans="1:5" x14ac:dyDescent="0.25">
      <c r="A69" s="41">
        <v>167</v>
      </c>
      <c r="B69" s="42" t="s">
        <v>367</v>
      </c>
      <c r="C69" s="43" t="s">
        <v>289</v>
      </c>
      <c r="D69" s="43" t="s">
        <v>333</v>
      </c>
      <c r="E69" s="43" t="s">
        <v>230</v>
      </c>
    </row>
    <row r="70" spans="1:5" x14ac:dyDescent="0.25">
      <c r="A70" s="41">
        <v>168</v>
      </c>
      <c r="B70" s="42" t="s">
        <v>368</v>
      </c>
      <c r="C70" s="43" t="s">
        <v>289</v>
      </c>
      <c r="D70" s="43" t="s">
        <v>333</v>
      </c>
      <c r="E70" s="43" t="s">
        <v>230</v>
      </c>
    </row>
    <row r="71" spans="1:5" x14ac:dyDescent="0.25">
      <c r="A71" s="41">
        <v>169</v>
      </c>
      <c r="B71" s="42" t="s">
        <v>369</v>
      </c>
      <c r="C71" s="43" t="s">
        <v>289</v>
      </c>
      <c r="D71" s="43" t="s">
        <v>366</v>
      </c>
      <c r="E71" s="43" t="s">
        <v>230</v>
      </c>
    </row>
    <row r="72" spans="1:5" x14ac:dyDescent="0.25">
      <c r="A72" s="41">
        <v>170</v>
      </c>
      <c r="B72" s="42" t="s">
        <v>370</v>
      </c>
      <c r="C72" s="43" t="s">
        <v>289</v>
      </c>
      <c r="D72" s="43" t="s">
        <v>366</v>
      </c>
      <c r="E72" s="43" t="s">
        <v>230</v>
      </c>
    </row>
    <row r="73" spans="1:5" x14ac:dyDescent="0.25">
      <c r="A73" s="41">
        <v>171</v>
      </c>
      <c r="B73" s="42" t="s">
        <v>371</v>
      </c>
      <c r="C73" s="43" t="s">
        <v>289</v>
      </c>
      <c r="D73" s="43" t="s">
        <v>366</v>
      </c>
      <c r="E73" s="43" t="s">
        <v>230</v>
      </c>
    </row>
    <row r="74" spans="1:5" x14ac:dyDescent="0.25">
      <c r="A74" s="41">
        <v>172</v>
      </c>
      <c r="B74" s="42" t="s">
        <v>372</v>
      </c>
      <c r="C74" s="43" t="s">
        <v>289</v>
      </c>
      <c r="D74" s="43" t="s">
        <v>366</v>
      </c>
      <c r="E74" s="43" t="s">
        <v>373</v>
      </c>
    </row>
    <row r="75" spans="1:5" x14ac:dyDescent="0.25">
      <c r="A75" s="41">
        <v>176</v>
      </c>
      <c r="B75" s="42" t="s">
        <v>374</v>
      </c>
      <c r="C75" s="43" t="s">
        <v>289</v>
      </c>
      <c r="D75" s="43" t="s">
        <v>375</v>
      </c>
      <c r="E75" s="43" t="s">
        <v>230</v>
      </c>
    </row>
    <row r="76" spans="1:5" x14ac:dyDescent="0.25">
      <c r="A76" s="41">
        <v>179</v>
      </c>
      <c r="B76" s="42" t="s">
        <v>376</v>
      </c>
      <c r="C76" s="43" t="s">
        <v>289</v>
      </c>
      <c r="D76" s="43" t="s">
        <v>290</v>
      </c>
      <c r="E76" s="43" t="s">
        <v>230</v>
      </c>
    </row>
    <row r="77" spans="1:5" x14ac:dyDescent="0.25">
      <c r="A77" s="41">
        <v>180</v>
      </c>
      <c r="B77" s="42" t="s">
        <v>377</v>
      </c>
      <c r="C77" s="43" t="s">
        <v>289</v>
      </c>
      <c r="D77" s="43" t="s">
        <v>375</v>
      </c>
      <c r="E77" s="43" t="s">
        <v>230</v>
      </c>
    </row>
    <row r="78" spans="1:5" x14ac:dyDescent="0.25">
      <c r="A78" s="41">
        <v>183</v>
      </c>
      <c r="B78" s="42" t="s">
        <v>378</v>
      </c>
      <c r="C78" s="43" t="s">
        <v>289</v>
      </c>
      <c r="D78" s="43" t="s">
        <v>375</v>
      </c>
      <c r="E78" s="43" t="s">
        <v>230</v>
      </c>
    </row>
    <row r="79" spans="1:5" x14ac:dyDescent="0.25">
      <c r="A79" s="41">
        <v>184</v>
      </c>
      <c r="B79" s="42" t="s">
        <v>379</v>
      </c>
      <c r="C79" s="43" t="s">
        <v>289</v>
      </c>
      <c r="D79" s="43" t="s">
        <v>375</v>
      </c>
      <c r="E79" s="43" t="s">
        <v>230</v>
      </c>
    </row>
    <row r="80" spans="1:5" x14ac:dyDescent="0.25">
      <c r="A80" s="41">
        <v>185</v>
      </c>
      <c r="B80" s="42" t="s">
        <v>380</v>
      </c>
      <c r="C80" s="43" t="s">
        <v>289</v>
      </c>
      <c r="D80" s="43" t="s">
        <v>375</v>
      </c>
      <c r="E80" s="43" t="s">
        <v>230</v>
      </c>
    </row>
    <row r="81" spans="1:5" x14ac:dyDescent="0.25">
      <c r="A81" s="41">
        <v>188</v>
      </c>
      <c r="B81" s="42" t="s">
        <v>381</v>
      </c>
      <c r="C81" s="43" t="s">
        <v>289</v>
      </c>
      <c r="D81" s="43" t="s">
        <v>375</v>
      </c>
      <c r="E81" s="43" t="s">
        <v>230</v>
      </c>
    </row>
    <row r="82" spans="1:5" x14ac:dyDescent="0.25">
      <c r="A82" s="41">
        <v>189</v>
      </c>
      <c r="B82" s="42" t="s">
        <v>382</v>
      </c>
      <c r="C82" s="43" t="s">
        <v>289</v>
      </c>
      <c r="D82" s="43" t="s">
        <v>375</v>
      </c>
      <c r="E82" s="43" t="s">
        <v>230</v>
      </c>
    </row>
    <row r="83" spans="1:5" x14ac:dyDescent="0.25">
      <c r="A83" s="41">
        <v>193</v>
      </c>
      <c r="B83" s="42" t="s">
        <v>383</v>
      </c>
      <c r="C83" s="43" t="s">
        <v>289</v>
      </c>
      <c r="D83" s="43" t="s">
        <v>375</v>
      </c>
      <c r="E83" s="43" t="s">
        <v>230</v>
      </c>
    </row>
    <row r="84" spans="1:5" x14ac:dyDescent="0.25">
      <c r="A84" s="41">
        <v>195</v>
      </c>
      <c r="B84" s="42" t="s">
        <v>384</v>
      </c>
      <c r="C84" s="43" t="s">
        <v>289</v>
      </c>
      <c r="D84" s="43" t="s">
        <v>375</v>
      </c>
      <c r="E84" s="43" t="s">
        <v>385</v>
      </c>
    </row>
    <row r="85" spans="1:5" x14ac:dyDescent="0.25">
      <c r="A85" s="41">
        <v>196</v>
      </c>
      <c r="B85" s="42" t="s">
        <v>386</v>
      </c>
      <c r="C85" s="43" t="s">
        <v>289</v>
      </c>
      <c r="D85" s="43" t="s">
        <v>375</v>
      </c>
      <c r="E85" s="43" t="s">
        <v>230</v>
      </c>
    </row>
    <row r="86" spans="1:5" x14ac:dyDescent="0.25">
      <c r="A86" s="41">
        <v>197</v>
      </c>
      <c r="B86" s="42" t="s">
        <v>387</v>
      </c>
      <c r="C86" s="43" t="s">
        <v>289</v>
      </c>
      <c r="D86" s="43" t="s">
        <v>375</v>
      </c>
      <c r="E86" s="43" t="s">
        <v>230</v>
      </c>
    </row>
    <row r="87" spans="1:5" x14ac:dyDescent="0.25">
      <c r="A87" s="41">
        <v>198</v>
      </c>
      <c r="B87" s="42" t="s">
        <v>388</v>
      </c>
      <c r="C87" s="43" t="s">
        <v>289</v>
      </c>
      <c r="D87" s="43" t="s">
        <v>314</v>
      </c>
      <c r="E87" s="43" t="s">
        <v>230</v>
      </c>
    </row>
    <row r="88" spans="1:5" x14ac:dyDescent="0.25">
      <c r="A88" s="41">
        <v>199</v>
      </c>
      <c r="B88" s="42" t="s">
        <v>389</v>
      </c>
      <c r="C88" s="43" t="s">
        <v>289</v>
      </c>
      <c r="D88" s="43" t="s">
        <v>375</v>
      </c>
      <c r="E88" s="43" t="s">
        <v>230</v>
      </c>
    </row>
    <row r="89" spans="1:5" x14ac:dyDescent="0.25">
      <c r="A89" s="41">
        <v>200</v>
      </c>
      <c r="B89" s="42" t="s">
        <v>390</v>
      </c>
      <c r="C89" s="43" t="s">
        <v>289</v>
      </c>
      <c r="D89" s="43" t="s">
        <v>375</v>
      </c>
      <c r="E89" s="43" t="s">
        <v>230</v>
      </c>
    </row>
    <row r="90" spans="1:5" x14ac:dyDescent="0.25">
      <c r="A90" s="41">
        <v>201</v>
      </c>
      <c r="B90" s="42" t="s">
        <v>391</v>
      </c>
      <c r="C90" s="43" t="s">
        <v>289</v>
      </c>
      <c r="D90" s="43" t="s">
        <v>314</v>
      </c>
      <c r="E90" s="43" t="s">
        <v>230</v>
      </c>
    </row>
    <row r="91" spans="1:5" x14ac:dyDescent="0.25">
      <c r="A91" s="41">
        <v>203</v>
      </c>
      <c r="B91" s="42" t="s">
        <v>392</v>
      </c>
      <c r="C91" s="43" t="s">
        <v>289</v>
      </c>
      <c r="D91" s="43" t="s">
        <v>375</v>
      </c>
      <c r="E91" s="43" t="s">
        <v>385</v>
      </c>
    </row>
    <row r="92" spans="1:5" x14ac:dyDescent="0.25">
      <c r="A92" s="41">
        <v>204</v>
      </c>
      <c r="B92" s="42" t="s">
        <v>393</v>
      </c>
      <c r="C92" s="43" t="s">
        <v>289</v>
      </c>
      <c r="D92" s="43" t="s">
        <v>375</v>
      </c>
      <c r="E92" s="43" t="s">
        <v>385</v>
      </c>
    </row>
    <row r="93" spans="1:5" x14ac:dyDescent="0.25">
      <c r="A93" s="41">
        <v>222</v>
      </c>
      <c r="B93" s="42" t="s">
        <v>394</v>
      </c>
      <c r="C93" s="43" t="s">
        <v>289</v>
      </c>
      <c r="D93" s="43" t="s">
        <v>375</v>
      </c>
      <c r="E93" s="43" t="s">
        <v>230</v>
      </c>
    </row>
    <row r="94" spans="1:5" x14ac:dyDescent="0.25">
      <c r="A94" s="41">
        <v>223</v>
      </c>
      <c r="B94" s="42" t="s">
        <v>395</v>
      </c>
      <c r="C94" s="43" t="s">
        <v>289</v>
      </c>
      <c r="D94" s="43" t="s">
        <v>375</v>
      </c>
      <c r="E94" s="43" t="s">
        <v>230</v>
      </c>
    </row>
    <row r="95" spans="1:5" x14ac:dyDescent="0.25">
      <c r="A95" s="41">
        <v>224</v>
      </c>
      <c r="B95" s="42" t="s">
        <v>396</v>
      </c>
      <c r="C95" s="43" t="s">
        <v>289</v>
      </c>
      <c r="D95" s="43" t="s">
        <v>375</v>
      </c>
      <c r="E95" s="43" t="s">
        <v>230</v>
      </c>
    </row>
    <row r="96" spans="1:5" x14ac:dyDescent="0.25">
      <c r="A96" s="41">
        <v>226</v>
      </c>
      <c r="B96" s="42" t="s">
        <v>397</v>
      </c>
      <c r="C96" s="43" t="s">
        <v>289</v>
      </c>
      <c r="D96" s="43" t="s">
        <v>375</v>
      </c>
      <c r="E96" s="43" t="s">
        <v>230</v>
      </c>
    </row>
    <row r="97" spans="1:5" x14ac:dyDescent="0.25">
      <c r="A97" s="41">
        <v>228</v>
      </c>
      <c r="B97" s="42" t="s">
        <v>398</v>
      </c>
      <c r="C97" s="43" t="s">
        <v>289</v>
      </c>
      <c r="D97" s="43" t="s">
        <v>375</v>
      </c>
      <c r="E97" s="43" t="s">
        <v>230</v>
      </c>
    </row>
    <row r="98" spans="1:5" x14ac:dyDescent="0.25">
      <c r="A98" s="41">
        <v>229</v>
      </c>
      <c r="B98" s="42" t="s">
        <v>399</v>
      </c>
      <c r="C98" s="43" t="s">
        <v>289</v>
      </c>
      <c r="D98" s="43" t="s">
        <v>375</v>
      </c>
      <c r="E98" s="43" t="s">
        <v>230</v>
      </c>
    </row>
    <row r="99" spans="1:5" x14ac:dyDescent="0.25">
      <c r="A99" s="41">
        <v>230</v>
      </c>
      <c r="B99" s="42" t="s">
        <v>400</v>
      </c>
      <c r="C99" s="43" t="s">
        <v>289</v>
      </c>
      <c r="D99" s="43" t="s">
        <v>375</v>
      </c>
      <c r="E99" s="43" t="s">
        <v>230</v>
      </c>
    </row>
    <row r="100" spans="1:5" x14ac:dyDescent="0.25">
      <c r="A100" s="41">
        <v>233</v>
      </c>
      <c r="B100" s="42" t="s">
        <v>401</v>
      </c>
      <c r="C100" s="43" t="s">
        <v>289</v>
      </c>
      <c r="D100" s="43" t="s">
        <v>375</v>
      </c>
      <c r="E100" s="43" t="s">
        <v>170</v>
      </c>
    </row>
    <row r="101" spans="1:5" x14ac:dyDescent="0.25">
      <c r="A101" s="41">
        <v>235</v>
      </c>
      <c r="B101" s="42" t="s">
        <v>402</v>
      </c>
      <c r="C101" s="43" t="s">
        <v>289</v>
      </c>
      <c r="D101" s="43" t="s">
        <v>375</v>
      </c>
      <c r="E101" s="43" t="s">
        <v>230</v>
      </c>
    </row>
    <row r="102" spans="1:5" x14ac:dyDescent="0.25">
      <c r="A102" s="41">
        <v>241</v>
      </c>
      <c r="B102" s="42" t="s">
        <v>403</v>
      </c>
      <c r="C102" s="43" t="s">
        <v>289</v>
      </c>
      <c r="D102" s="43" t="s">
        <v>314</v>
      </c>
      <c r="E102" s="43" t="s">
        <v>404</v>
      </c>
    </row>
    <row r="103" spans="1:5" x14ac:dyDescent="0.25">
      <c r="A103" s="41">
        <v>243</v>
      </c>
      <c r="B103" s="42" t="s">
        <v>405</v>
      </c>
      <c r="C103" s="43" t="s">
        <v>289</v>
      </c>
      <c r="D103" s="43" t="s">
        <v>314</v>
      </c>
      <c r="E103" s="43" t="s">
        <v>336</v>
      </c>
    </row>
    <row r="104" spans="1:5" x14ac:dyDescent="0.25">
      <c r="A104" s="41">
        <v>244</v>
      </c>
      <c r="B104" s="42" t="s">
        <v>406</v>
      </c>
      <c r="C104" s="43" t="s">
        <v>289</v>
      </c>
      <c r="D104" s="43" t="s">
        <v>314</v>
      </c>
      <c r="E104" s="43" t="s">
        <v>230</v>
      </c>
    </row>
    <row r="105" spans="1:5" x14ac:dyDescent="0.25">
      <c r="A105" s="41">
        <v>245</v>
      </c>
      <c r="B105" s="42" t="s">
        <v>407</v>
      </c>
      <c r="C105" s="43" t="s">
        <v>289</v>
      </c>
      <c r="D105" s="43" t="s">
        <v>314</v>
      </c>
      <c r="E105" s="43" t="s">
        <v>230</v>
      </c>
    </row>
    <row r="106" spans="1:5" x14ac:dyDescent="0.25">
      <c r="A106" s="41">
        <v>246</v>
      </c>
      <c r="B106" s="42" t="s">
        <v>408</v>
      </c>
      <c r="C106" s="43" t="s">
        <v>289</v>
      </c>
      <c r="D106" s="43" t="s">
        <v>314</v>
      </c>
      <c r="E106" s="43" t="s">
        <v>230</v>
      </c>
    </row>
    <row r="107" spans="1:5" x14ac:dyDescent="0.25">
      <c r="A107" s="41">
        <v>247</v>
      </c>
      <c r="B107" s="42" t="s">
        <v>409</v>
      </c>
      <c r="C107" s="43" t="s">
        <v>289</v>
      </c>
      <c r="D107" s="43" t="s">
        <v>410</v>
      </c>
      <c r="E107" s="43" t="s">
        <v>230</v>
      </c>
    </row>
    <row r="108" spans="1:5" x14ac:dyDescent="0.25">
      <c r="A108" s="41">
        <v>248</v>
      </c>
      <c r="B108" s="42" t="s">
        <v>411</v>
      </c>
      <c r="C108" s="43" t="s">
        <v>289</v>
      </c>
      <c r="D108" s="43" t="s">
        <v>410</v>
      </c>
      <c r="E108" s="43" t="s">
        <v>230</v>
      </c>
    </row>
    <row r="109" spans="1:5" x14ac:dyDescent="0.25">
      <c r="A109" s="41">
        <v>249</v>
      </c>
      <c r="B109" s="42" t="s">
        <v>412</v>
      </c>
      <c r="C109" s="43" t="s">
        <v>289</v>
      </c>
      <c r="D109" s="43" t="s">
        <v>314</v>
      </c>
      <c r="E109" s="43" t="s">
        <v>230</v>
      </c>
    </row>
    <row r="110" spans="1:5" x14ac:dyDescent="0.25">
      <c r="A110" s="41">
        <v>250</v>
      </c>
      <c r="B110" s="42" t="s">
        <v>413</v>
      </c>
      <c r="C110" s="43" t="s">
        <v>289</v>
      </c>
      <c r="D110" s="43" t="s">
        <v>314</v>
      </c>
      <c r="E110" s="43" t="s">
        <v>230</v>
      </c>
    </row>
    <row r="111" spans="1:5" x14ac:dyDescent="0.25">
      <c r="A111" s="41">
        <v>251</v>
      </c>
      <c r="B111" s="42" t="s">
        <v>414</v>
      </c>
      <c r="C111" s="43" t="s">
        <v>289</v>
      </c>
      <c r="D111" s="43" t="s">
        <v>314</v>
      </c>
      <c r="E111" s="43" t="s">
        <v>230</v>
      </c>
    </row>
    <row r="112" spans="1:5" x14ac:dyDescent="0.25">
      <c r="A112" s="41">
        <v>252</v>
      </c>
      <c r="B112" s="42" t="s">
        <v>415</v>
      </c>
      <c r="C112" s="43" t="s">
        <v>289</v>
      </c>
      <c r="D112" s="43" t="s">
        <v>375</v>
      </c>
      <c r="E112" s="43" t="s">
        <v>230</v>
      </c>
    </row>
    <row r="113" spans="1:5" x14ac:dyDescent="0.25">
      <c r="A113" s="41">
        <v>253</v>
      </c>
      <c r="B113" s="42" t="s">
        <v>416</v>
      </c>
      <c r="C113" s="43" t="s">
        <v>289</v>
      </c>
      <c r="D113" s="43" t="s">
        <v>314</v>
      </c>
      <c r="E113" s="43" t="s">
        <v>230</v>
      </c>
    </row>
    <row r="114" spans="1:5" x14ac:dyDescent="0.25">
      <c r="A114" s="41">
        <v>254</v>
      </c>
      <c r="B114" s="42" t="s">
        <v>417</v>
      </c>
      <c r="C114" s="43" t="s">
        <v>289</v>
      </c>
      <c r="D114" s="43" t="s">
        <v>314</v>
      </c>
      <c r="E114" s="43" t="s">
        <v>230</v>
      </c>
    </row>
    <row r="115" spans="1:5" x14ac:dyDescent="0.25">
      <c r="A115" s="41">
        <v>255</v>
      </c>
      <c r="B115" s="42" t="s">
        <v>418</v>
      </c>
      <c r="C115" s="43" t="s">
        <v>289</v>
      </c>
      <c r="D115" s="43" t="s">
        <v>314</v>
      </c>
      <c r="E115" s="43" t="s">
        <v>230</v>
      </c>
    </row>
    <row r="116" spans="1:5" x14ac:dyDescent="0.25">
      <c r="A116" s="41">
        <v>256</v>
      </c>
      <c r="B116" s="42" t="s">
        <v>419</v>
      </c>
      <c r="C116" s="43" t="s">
        <v>289</v>
      </c>
      <c r="D116" s="43" t="s">
        <v>314</v>
      </c>
      <c r="E116" s="43" t="s">
        <v>230</v>
      </c>
    </row>
    <row r="117" spans="1:5" x14ac:dyDescent="0.25">
      <c r="A117" s="41">
        <v>257</v>
      </c>
      <c r="B117" s="42" t="s">
        <v>420</v>
      </c>
      <c r="C117" s="43" t="s">
        <v>289</v>
      </c>
      <c r="D117" s="43" t="s">
        <v>314</v>
      </c>
      <c r="E117" s="43" t="s">
        <v>230</v>
      </c>
    </row>
    <row r="118" spans="1:5" x14ac:dyDescent="0.25">
      <c r="A118" s="41">
        <v>258</v>
      </c>
      <c r="B118" s="42" t="s">
        <v>421</v>
      </c>
      <c r="C118" s="43" t="s">
        <v>289</v>
      </c>
      <c r="D118" s="43" t="s">
        <v>375</v>
      </c>
      <c r="E118" s="43" t="s">
        <v>230</v>
      </c>
    </row>
    <row r="119" spans="1:5" x14ac:dyDescent="0.25">
      <c r="A119" s="41">
        <v>259</v>
      </c>
      <c r="B119" s="42" t="s">
        <v>422</v>
      </c>
      <c r="C119" s="43" t="s">
        <v>289</v>
      </c>
      <c r="D119" s="43" t="s">
        <v>375</v>
      </c>
      <c r="E119" s="43" t="s">
        <v>230</v>
      </c>
    </row>
    <row r="120" spans="1:5" x14ac:dyDescent="0.25">
      <c r="A120" s="41">
        <v>260</v>
      </c>
      <c r="B120" s="42" t="s">
        <v>423</v>
      </c>
      <c r="C120" s="43" t="s">
        <v>289</v>
      </c>
      <c r="D120" s="43" t="s">
        <v>375</v>
      </c>
      <c r="E120" s="43" t="s">
        <v>230</v>
      </c>
    </row>
    <row r="121" spans="1:5" x14ac:dyDescent="0.25">
      <c r="A121" s="41">
        <v>261</v>
      </c>
      <c r="B121" s="42" t="s">
        <v>424</v>
      </c>
      <c r="C121" s="43" t="s">
        <v>289</v>
      </c>
      <c r="D121" s="43" t="s">
        <v>375</v>
      </c>
      <c r="E121" s="43" t="s">
        <v>230</v>
      </c>
    </row>
    <row r="122" spans="1:5" x14ac:dyDescent="0.25">
      <c r="A122" s="41">
        <v>262</v>
      </c>
      <c r="B122" s="42" t="s">
        <v>425</v>
      </c>
      <c r="C122" s="43" t="s">
        <v>289</v>
      </c>
      <c r="D122" s="43" t="s">
        <v>375</v>
      </c>
      <c r="E122" s="43" t="s">
        <v>230</v>
      </c>
    </row>
    <row r="123" spans="1:5" x14ac:dyDescent="0.25">
      <c r="A123" s="41">
        <v>263</v>
      </c>
      <c r="B123" s="42" t="s">
        <v>426</v>
      </c>
      <c r="C123" s="43" t="s">
        <v>289</v>
      </c>
      <c r="D123" s="43" t="s">
        <v>314</v>
      </c>
      <c r="E123" s="43" t="s">
        <v>230</v>
      </c>
    </row>
    <row r="124" spans="1:5" x14ac:dyDescent="0.25">
      <c r="A124" s="41">
        <v>264</v>
      </c>
      <c r="B124" s="42" t="s">
        <v>427</v>
      </c>
      <c r="C124" s="43" t="s">
        <v>289</v>
      </c>
      <c r="D124" s="43" t="s">
        <v>333</v>
      </c>
      <c r="E124" s="43" t="s">
        <v>230</v>
      </c>
    </row>
    <row r="125" spans="1:5" x14ac:dyDescent="0.25">
      <c r="A125" s="41">
        <v>265</v>
      </c>
      <c r="B125" s="42" t="s">
        <v>428</v>
      </c>
      <c r="C125" s="43" t="s">
        <v>289</v>
      </c>
      <c r="D125" s="43" t="s">
        <v>333</v>
      </c>
      <c r="E125" s="43" t="s">
        <v>230</v>
      </c>
    </row>
    <row r="126" spans="1:5" x14ac:dyDescent="0.25">
      <c r="A126" s="41">
        <v>266</v>
      </c>
      <c r="B126" s="42" t="s">
        <v>429</v>
      </c>
      <c r="C126" s="43" t="s">
        <v>289</v>
      </c>
      <c r="D126" s="43" t="s">
        <v>314</v>
      </c>
      <c r="E126" s="43" t="s">
        <v>373</v>
      </c>
    </row>
    <row r="127" spans="1:5" x14ac:dyDescent="0.25">
      <c r="A127" s="41">
        <v>268</v>
      </c>
      <c r="B127" s="42" t="s">
        <v>430</v>
      </c>
      <c r="C127" s="43" t="s">
        <v>289</v>
      </c>
      <c r="D127" s="43" t="s">
        <v>375</v>
      </c>
      <c r="E127" s="43" t="s">
        <v>373</v>
      </c>
    </row>
    <row r="128" spans="1:5" x14ac:dyDescent="0.25">
      <c r="A128" s="41">
        <v>273</v>
      </c>
      <c r="B128" s="42" t="s">
        <v>431</v>
      </c>
      <c r="C128" s="43" t="s">
        <v>289</v>
      </c>
      <c r="D128" s="43" t="s">
        <v>316</v>
      </c>
      <c r="E128" s="43" t="s">
        <v>354</v>
      </c>
    </row>
    <row r="129" spans="1:5" x14ac:dyDescent="0.25">
      <c r="A129" s="41">
        <v>276</v>
      </c>
      <c r="B129" s="42" t="s">
        <v>432</v>
      </c>
      <c r="C129" s="43" t="s">
        <v>289</v>
      </c>
      <c r="D129" s="43" t="s">
        <v>433</v>
      </c>
      <c r="E129" s="43" t="s">
        <v>230</v>
      </c>
    </row>
    <row r="130" spans="1:5" x14ac:dyDescent="0.25">
      <c r="A130" s="41">
        <v>277</v>
      </c>
      <c r="B130" s="42" t="s">
        <v>434</v>
      </c>
      <c r="C130" s="43" t="s">
        <v>289</v>
      </c>
      <c r="D130" s="43" t="s">
        <v>435</v>
      </c>
      <c r="E130" s="43" t="s">
        <v>436</v>
      </c>
    </row>
    <row r="131" spans="1:5" x14ac:dyDescent="0.25">
      <c r="A131" s="41">
        <v>281</v>
      </c>
      <c r="B131" s="42" t="s">
        <v>437</v>
      </c>
      <c r="C131" s="43" t="s">
        <v>289</v>
      </c>
      <c r="D131" s="43" t="s">
        <v>438</v>
      </c>
      <c r="E131" s="43" t="s">
        <v>230</v>
      </c>
    </row>
    <row r="132" spans="1:5" x14ac:dyDescent="0.25">
      <c r="A132" s="41">
        <v>282</v>
      </c>
      <c r="B132" s="42" t="s">
        <v>439</v>
      </c>
      <c r="C132" s="43" t="s">
        <v>289</v>
      </c>
      <c r="D132" s="43" t="s">
        <v>440</v>
      </c>
      <c r="E132" s="43" t="s">
        <v>336</v>
      </c>
    </row>
    <row r="133" spans="1:5" x14ac:dyDescent="0.25">
      <c r="A133" s="41">
        <v>294</v>
      </c>
      <c r="B133" s="42" t="s">
        <v>441</v>
      </c>
      <c r="C133" s="43" t="s">
        <v>289</v>
      </c>
      <c r="D133" s="43" t="s">
        <v>442</v>
      </c>
      <c r="E133" s="43" t="s">
        <v>230</v>
      </c>
    </row>
    <row r="134" spans="1:5" x14ac:dyDescent="0.25">
      <c r="A134" s="41">
        <v>297</v>
      </c>
      <c r="B134" s="42" t="s">
        <v>443</v>
      </c>
      <c r="C134" s="43" t="s">
        <v>289</v>
      </c>
      <c r="D134" s="43" t="s">
        <v>316</v>
      </c>
      <c r="E134" s="43" t="s">
        <v>230</v>
      </c>
    </row>
    <row r="135" spans="1:5" x14ac:dyDescent="0.25">
      <c r="A135" s="41">
        <v>299</v>
      </c>
      <c r="B135" s="42" t="s">
        <v>444</v>
      </c>
      <c r="C135" s="43" t="s">
        <v>289</v>
      </c>
      <c r="D135" s="43" t="s">
        <v>314</v>
      </c>
      <c r="E135" s="43" t="s">
        <v>404</v>
      </c>
    </row>
    <row r="136" spans="1:5" x14ac:dyDescent="0.25">
      <c r="A136" s="41">
        <v>302</v>
      </c>
      <c r="B136" s="42" t="s">
        <v>445</v>
      </c>
      <c r="C136" s="43" t="s">
        <v>289</v>
      </c>
      <c r="D136" s="43" t="s">
        <v>290</v>
      </c>
      <c r="E136" s="43" t="s">
        <v>230</v>
      </c>
    </row>
    <row r="137" spans="1:5" x14ac:dyDescent="0.25">
      <c r="A137" s="41">
        <v>303</v>
      </c>
      <c r="B137" s="42" t="s">
        <v>446</v>
      </c>
      <c r="C137" s="43" t="s">
        <v>289</v>
      </c>
      <c r="D137" s="43" t="s">
        <v>327</v>
      </c>
      <c r="E137" s="43" t="s">
        <v>336</v>
      </c>
    </row>
    <row r="138" spans="1:5" x14ac:dyDescent="0.25">
      <c r="A138" s="41">
        <v>306</v>
      </c>
      <c r="B138" s="42" t="s">
        <v>447</v>
      </c>
      <c r="C138" s="43" t="s">
        <v>289</v>
      </c>
      <c r="D138" s="43" t="s">
        <v>290</v>
      </c>
      <c r="E138" s="43" t="s">
        <v>230</v>
      </c>
    </row>
    <row r="139" spans="1:5" x14ac:dyDescent="0.25">
      <c r="A139" s="41">
        <v>307</v>
      </c>
      <c r="B139" s="42" t="s">
        <v>448</v>
      </c>
      <c r="C139" s="43" t="s">
        <v>289</v>
      </c>
      <c r="D139" s="43" t="s">
        <v>290</v>
      </c>
      <c r="E139" s="43" t="s">
        <v>230</v>
      </c>
    </row>
    <row r="140" spans="1:5" x14ac:dyDescent="0.25">
      <c r="A140" s="41">
        <v>308</v>
      </c>
      <c r="B140" s="42" t="s">
        <v>449</v>
      </c>
      <c r="C140" s="43" t="s">
        <v>289</v>
      </c>
      <c r="D140" s="43" t="s">
        <v>290</v>
      </c>
      <c r="E140" s="43" t="s">
        <v>230</v>
      </c>
    </row>
    <row r="141" spans="1:5" x14ac:dyDescent="0.25">
      <c r="A141" s="41">
        <v>309</v>
      </c>
      <c r="B141" s="42" t="s">
        <v>450</v>
      </c>
      <c r="C141" s="43" t="s">
        <v>289</v>
      </c>
      <c r="D141" s="43" t="s">
        <v>290</v>
      </c>
      <c r="E141" s="43" t="s">
        <v>230</v>
      </c>
    </row>
    <row r="142" spans="1:5" x14ac:dyDescent="0.25">
      <c r="A142" s="41">
        <v>396</v>
      </c>
      <c r="B142" s="42" t="s">
        <v>451</v>
      </c>
      <c r="C142" s="43" t="s">
        <v>289</v>
      </c>
      <c r="D142" s="43" t="s">
        <v>327</v>
      </c>
      <c r="E142" s="43" t="s">
        <v>230</v>
      </c>
    </row>
    <row r="143" spans="1:5" x14ac:dyDescent="0.25">
      <c r="A143" s="41">
        <v>403</v>
      </c>
      <c r="B143" s="42" t="s">
        <v>452</v>
      </c>
      <c r="C143" s="43" t="s">
        <v>289</v>
      </c>
      <c r="D143" s="43" t="s">
        <v>453</v>
      </c>
      <c r="E143" s="43" t="s">
        <v>454</v>
      </c>
    </row>
    <row r="144" spans="1:5" x14ac:dyDescent="0.25">
      <c r="A144" s="41">
        <v>412</v>
      </c>
      <c r="B144" s="42" t="s">
        <v>455</v>
      </c>
      <c r="C144" s="43" t="s">
        <v>289</v>
      </c>
      <c r="D144" s="43" t="s">
        <v>433</v>
      </c>
      <c r="E144" s="43" t="s">
        <v>454</v>
      </c>
    </row>
    <row r="145" spans="1:5" x14ac:dyDescent="0.25">
      <c r="A145" s="41">
        <v>413</v>
      </c>
      <c r="B145" s="42" t="s">
        <v>456</v>
      </c>
      <c r="C145" s="43" t="s">
        <v>289</v>
      </c>
      <c r="D145" s="43" t="s">
        <v>433</v>
      </c>
      <c r="E145" s="43" t="s">
        <v>454</v>
      </c>
    </row>
    <row r="146" spans="1:5" x14ac:dyDescent="0.25">
      <c r="A146" s="41">
        <v>415</v>
      </c>
      <c r="B146" s="42" t="s">
        <v>457</v>
      </c>
      <c r="C146" s="43" t="s">
        <v>289</v>
      </c>
      <c r="D146" s="43" t="s">
        <v>433</v>
      </c>
      <c r="E146" s="43" t="s">
        <v>454</v>
      </c>
    </row>
    <row r="147" spans="1:5" x14ac:dyDescent="0.25">
      <c r="A147" s="41">
        <v>416</v>
      </c>
      <c r="B147" s="42" t="s">
        <v>458</v>
      </c>
      <c r="C147" s="43" t="s">
        <v>289</v>
      </c>
      <c r="D147" s="43" t="s">
        <v>433</v>
      </c>
      <c r="E147" s="43" t="s">
        <v>454</v>
      </c>
    </row>
    <row r="148" spans="1:5" x14ac:dyDescent="0.25">
      <c r="A148" s="41">
        <v>417</v>
      </c>
      <c r="B148" s="42" t="s">
        <v>459</v>
      </c>
      <c r="C148" s="43" t="s">
        <v>289</v>
      </c>
      <c r="D148" s="43" t="s">
        <v>433</v>
      </c>
      <c r="E148" s="43" t="s">
        <v>454</v>
      </c>
    </row>
    <row r="149" spans="1:5" x14ac:dyDescent="0.25">
      <c r="A149" s="41">
        <v>418</v>
      </c>
      <c r="B149" s="42" t="s">
        <v>460</v>
      </c>
      <c r="C149" s="43" t="s">
        <v>289</v>
      </c>
      <c r="D149" s="43" t="s">
        <v>461</v>
      </c>
      <c r="E149" s="43" t="s">
        <v>454</v>
      </c>
    </row>
    <row r="150" spans="1:5" x14ac:dyDescent="0.25">
      <c r="A150" s="41">
        <v>419</v>
      </c>
      <c r="B150" s="42" t="s">
        <v>462</v>
      </c>
      <c r="C150" s="43" t="s">
        <v>289</v>
      </c>
      <c r="D150" s="43" t="s">
        <v>410</v>
      </c>
      <c r="E150" s="43" t="s">
        <v>230</v>
      </c>
    </row>
    <row r="151" spans="1:5" x14ac:dyDescent="0.25">
      <c r="A151" s="41">
        <v>422</v>
      </c>
      <c r="B151" s="42" t="s">
        <v>463</v>
      </c>
      <c r="C151" s="43" t="s">
        <v>289</v>
      </c>
      <c r="D151" s="43" t="s">
        <v>327</v>
      </c>
      <c r="E151" s="43" t="s">
        <v>464</v>
      </c>
    </row>
    <row r="152" spans="1:5" x14ac:dyDescent="0.25">
      <c r="A152" s="41">
        <v>427</v>
      </c>
      <c r="B152" s="42" t="s">
        <v>465</v>
      </c>
      <c r="C152" s="43" t="s">
        <v>289</v>
      </c>
      <c r="D152" s="43" t="s">
        <v>466</v>
      </c>
      <c r="E152" s="43" t="s">
        <v>230</v>
      </c>
    </row>
    <row r="153" spans="1:5" x14ac:dyDescent="0.25">
      <c r="A153" s="41">
        <v>429</v>
      </c>
      <c r="B153" s="42" t="s">
        <v>467</v>
      </c>
      <c r="C153" s="43" t="s">
        <v>289</v>
      </c>
      <c r="D153" s="43" t="s">
        <v>468</v>
      </c>
      <c r="E153" s="43" t="s">
        <v>454</v>
      </c>
    </row>
    <row r="154" spans="1:5" x14ac:dyDescent="0.25">
      <c r="A154" s="41">
        <v>433</v>
      </c>
      <c r="B154" s="42" t="s">
        <v>469</v>
      </c>
      <c r="C154" s="43" t="s">
        <v>289</v>
      </c>
      <c r="D154" s="43" t="s">
        <v>327</v>
      </c>
      <c r="E154" s="43" t="s">
        <v>470</v>
      </c>
    </row>
    <row r="155" spans="1:5" x14ac:dyDescent="0.25">
      <c r="A155" s="41">
        <v>435</v>
      </c>
      <c r="B155" s="42" t="s">
        <v>471</v>
      </c>
      <c r="C155" s="43" t="s">
        <v>289</v>
      </c>
      <c r="D155" s="43" t="s">
        <v>329</v>
      </c>
      <c r="E155" s="43" t="s">
        <v>472</v>
      </c>
    </row>
    <row r="156" spans="1:5" x14ac:dyDescent="0.25">
      <c r="A156" s="41">
        <v>436</v>
      </c>
      <c r="B156" s="42" t="s">
        <v>473</v>
      </c>
      <c r="C156" s="43" t="s">
        <v>289</v>
      </c>
      <c r="D156" s="43" t="s">
        <v>474</v>
      </c>
      <c r="E156" s="43" t="s">
        <v>472</v>
      </c>
    </row>
    <row r="157" spans="1:5" x14ac:dyDescent="0.25">
      <c r="A157" s="41">
        <v>437</v>
      </c>
      <c r="B157" s="42" t="s">
        <v>475</v>
      </c>
      <c r="C157" s="43" t="s">
        <v>289</v>
      </c>
      <c r="D157" s="43" t="s">
        <v>474</v>
      </c>
      <c r="E157" s="43" t="s">
        <v>472</v>
      </c>
    </row>
    <row r="158" spans="1:5" x14ac:dyDescent="0.25">
      <c r="A158" s="41">
        <v>438</v>
      </c>
      <c r="B158" s="42" t="s">
        <v>476</v>
      </c>
      <c r="C158" s="43" t="s">
        <v>289</v>
      </c>
      <c r="D158" s="43" t="s">
        <v>477</v>
      </c>
      <c r="E158" s="43" t="s">
        <v>230</v>
      </c>
    </row>
    <row r="159" spans="1:5" x14ac:dyDescent="0.25">
      <c r="A159" s="41">
        <v>439</v>
      </c>
      <c r="B159" s="42" t="s">
        <v>478</v>
      </c>
      <c r="C159" s="43" t="s">
        <v>289</v>
      </c>
      <c r="D159" s="43" t="s">
        <v>474</v>
      </c>
      <c r="E159" s="43" t="s">
        <v>472</v>
      </c>
    </row>
    <row r="160" spans="1:5" x14ac:dyDescent="0.25">
      <c r="A160" s="41">
        <v>440</v>
      </c>
      <c r="B160" s="42" t="s">
        <v>479</v>
      </c>
      <c r="C160" s="43" t="s">
        <v>289</v>
      </c>
      <c r="D160" s="43" t="s">
        <v>329</v>
      </c>
      <c r="E160" s="43" t="s">
        <v>373</v>
      </c>
    </row>
    <row r="161" spans="1:5" x14ac:dyDescent="0.25">
      <c r="A161" s="41">
        <v>441</v>
      </c>
      <c r="B161" s="42" t="s">
        <v>480</v>
      </c>
      <c r="C161" s="43" t="s">
        <v>289</v>
      </c>
      <c r="D161" s="43" t="s">
        <v>329</v>
      </c>
      <c r="E161" s="43" t="s">
        <v>373</v>
      </c>
    </row>
    <row r="162" spans="1:5" x14ac:dyDescent="0.25">
      <c r="A162" s="41">
        <v>444</v>
      </c>
      <c r="B162" s="42" t="s">
        <v>481</v>
      </c>
      <c r="C162" s="43" t="s">
        <v>289</v>
      </c>
      <c r="D162" s="43" t="s">
        <v>482</v>
      </c>
      <c r="E162" s="43" t="s">
        <v>483</v>
      </c>
    </row>
    <row r="163" spans="1:5" x14ac:dyDescent="0.25">
      <c r="A163" s="41">
        <v>445</v>
      </c>
      <c r="B163" s="42" t="s">
        <v>484</v>
      </c>
      <c r="C163" s="43" t="s">
        <v>289</v>
      </c>
      <c r="D163" s="43" t="s">
        <v>482</v>
      </c>
      <c r="E163" s="43" t="s">
        <v>472</v>
      </c>
    </row>
    <row r="164" spans="1:5" x14ac:dyDescent="0.25">
      <c r="A164" s="41">
        <v>446</v>
      </c>
      <c r="B164" s="42" t="s">
        <v>485</v>
      </c>
      <c r="C164" s="43" t="s">
        <v>289</v>
      </c>
      <c r="D164" s="43" t="s">
        <v>442</v>
      </c>
      <c r="E164" s="43" t="s">
        <v>230</v>
      </c>
    </row>
    <row r="165" spans="1:5" x14ac:dyDescent="0.25">
      <c r="A165" s="41">
        <v>447</v>
      </c>
      <c r="B165" s="42" t="s">
        <v>486</v>
      </c>
      <c r="C165" s="43" t="s">
        <v>289</v>
      </c>
      <c r="D165" s="43" t="s">
        <v>487</v>
      </c>
      <c r="E165" s="43" t="s">
        <v>230</v>
      </c>
    </row>
    <row r="166" spans="1:5" x14ac:dyDescent="0.25">
      <c r="A166" s="41">
        <v>448</v>
      </c>
      <c r="B166" s="42" t="s">
        <v>488</v>
      </c>
      <c r="C166" s="43" t="s">
        <v>289</v>
      </c>
      <c r="D166" s="43" t="s">
        <v>474</v>
      </c>
      <c r="E166" s="43" t="s">
        <v>230</v>
      </c>
    </row>
    <row r="167" spans="1:5" x14ac:dyDescent="0.25">
      <c r="A167" s="41">
        <v>449</v>
      </c>
      <c r="B167" s="42" t="s">
        <v>489</v>
      </c>
      <c r="C167" s="43" t="s">
        <v>289</v>
      </c>
      <c r="D167" s="43" t="s">
        <v>474</v>
      </c>
      <c r="E167" s="43" t="s">
        <v>230</v>
      </c>
    </row>
    <row r="168" spans="1:5" x14ac:dyDescent="0.25">
      <c r="A168" s="41">
        <v>451</v>
      </c>
      <c r="B168" s="42" t="s">
        <v>490</v>
      </c>
      <c r="C168" s="43" t="s">
        <v>289</v>
      </c>
      <c r="D168" s="43" t="s">
        <v>474</v>
      </c>
      <c r="E168" s="43" t="s">
        <v>230</v>
      </c>
    </row>
    <row r="169" spans="1:5" x14ac:dyDescent="0.25">
      <c r="A169" s="41">
        <v>452</v>
      </c>
      <c r="B169" s="42" t="s">
        <v>491</v>
      </c>
      <c r="C169" s="43" t="s">
        <v>289</v>
      </c>
      <c r="D169" s="43" t="s">
        <v>474</v>
      </c>
      <c r="E169" s="43" t="s">
        <v>230</v>
      </c>
    </row>
    <row r="170" spans="1:5" x14ac:dyDescent="0.25">
      <c r="A170" s="41">
        <v>462</v>
      </c>
      <c r="B170" s="42" t="s">
        <v>492</v>
      </c>
      <c r="C170" s="43" t="s">
        <v>289</v>
      </c>
      <c r="D170" s="43" t="s">
        <v>482</v>
      </c>
      <c r="E170" s="43" t="s">
        <v>472</v>
      </c>
    </row>
    <row r="171" spans="1:5" x14ac:dyDescent="0.25">
      <c r="A171" s="41">
        <v>467</v>
      </c>
      <c r="B171" s="42" t="s">
        <v>493</v>
      </c>
      <c r="C171" s="43" t="s">
        <v>289</v>
      </c>
      <c r="D171" s="43" t="s">
        <v>494</v>
      </c>
      <c r="E171" s="43" t="s">
        <v>336</v>
      </c>
    </row>
    <row r="172" spans="1:5" x14ac:dyDescent="0.25">
      <c r="A172" s="41">
        <v>468</v>
      </c>
      <c r="B172" s="42" t="s">
        <v>495</v>
      </c>
      <c r="C172" s="43" t="s">
        <v>289</v>
      </c>
      <c r="D172" s="43" t="s">
        <v>494</v>
      </c>
      <c r="E172" s="43" t="s">
        <v>336</v>
      </c>
    </row>
    <row r="173" spans="1:5" x14ac:dyDescent="0.25">
      <c r="A173" s="41">
        <v>469</v>
      </c>
      <c r="B173" s="42" t="s">
        <v>496</v>
      </c>
      <c r="C173" s="43" t="s">
        <v>289</v>
      </c>
      <c r="D173" s="43" t="s">
        <v>494</v>
      </c>
      <c r="E173" s="43" t="s">
        <v>336</v>
      </c>
    </row>
    <row r="174" spans="1:5" x14ac:dyDescent="0.25">
      <c r="A174" s="41">
        <v>470</v>
      </c>
      <c r="B174" s="42" t="s">
        <v>497</v>
      </c>
      <c r="C174" s="43" t="s">
        <v>289</v>
      </c>
      <c r="D174" s="43" t="s">
        <v>494</v>
      </c>
      <c r="E174" s="43" t="s">
        <v>336</v>
      </c>
    </row>
    <row r="175" spans="1:5" x14ac:dyDescent="0.25">
      <c r="A175" s="41">
        <v>471</v>
      </c>
      <c r="B175" s="42" t="s">
        <v>498</v>
      </c>
      <c r="C175" s="43" t="s">
        <v>289</v>
      </c>
      <c r="D175" s="43" t="s">
        <v>499</v>
      </c>
      <c r="E175" s="43" t="s">
        <v>472</v>
      </c>
    </row>
    <row r="176" spans="1:5" x14ac:dyDescent="0.25">
      <c r="A176" s="41">
        <v>472</v>
      </c>
      <c r="B176" s="42" t="s">
        <v>500</v>
      </c>
      <c r="C176" s="43" t="s">
        <v>289</v>
      </c>
      <c r="D176" s="43" t="s">
        <v>494</v>
      </c>
      <c r="E176" s="43" t="s">
        <v>230</v>
      </c>
    </row>
    <row r="177" spans="1:5" x14ac:dyDescent="0.25">
      <c r="A177" s="41">
        <v>473</v>
      </c>
      <c r="B177" s="42" t="s">
        <v>501</v>
      </c>
      <c r="C177" s="43" t="s">
        <v>289</v>
      </c>
      <c r="D177" s="43" t="s">
        <v>499</v>
      </c>
      <c r="E177" s="43" t="s">
        <v>472</v>
      </c>
    </row>
    <row r="178" spans="1:5" x14ac:dyDescent="0.25">
      <c r="A178" s="41">
        <v>474</v>
      </c>
      <c r="B178" s="42" t="s">
        <v>502</v>
      </c>
      <c r="C178" s="43" t="s">
        <v>289</v>
      </c>
      <c r="D178" s="43" t="s">
        <v>499</v>
      </c>
      <c r="E178" s="43" t="s">
        <v>472</v>
      </c>
    </row>
    <row r="179" spans="1:5" x14ac:dyDescent="0.25">
      <c r="A179" s="41">
        <v>475</v>
      </c>
      <c r="B179" s="42" t="s">
        <v>503</v>
      </c>
      <c r="C179" s="43" t="s">
        <v>289</v>
      </c>
      <c r="D179" s="43" t="s">
        <v>499</v>
      </c>
      <c r="E179" s="43" t="s">
        <v>472</v>
      </c>
    </row>
    <row r="180" spans="1:5" x14ac:dyDescent="0.25">
      <c r="A180" s="41">
        <v>476</v>
      </c>
      <c r="B180" s="42" t="s">
        <v>504</v>
      </c>
      <c r="C180" s="43" t="s">
        <v>289</v>
      </c>
      <c r="D180" s="43" t="s">
        <v>499</v>
      </c>
      <c r="E180" s="43" t="s">
        <v>472</v>
      </c>
    </row>
    <row r="181" spans="1:5" x14ac:dyDescent="0.25">
      <c r="A181" s="41">
        <v>477</v>
      </c>
      <c r="B181" s="42" t="s">
        <v>505</v>
      </c>
      <c r="C181" s="43" t="s">
        <v>289</v>
      </c>
      <c r="D181" s="43" t="s">
        <v>474</v>
      </c>
      <c r="E181" s="43" t="s">
        <v>230</v>
      </c>
    </row>
    <row r="182" spans="1:5" x14ac:dyDescent="0.25">
      <c r="A182" s="41">
        <v>478</v>
      </c>
      <c r="B182" s="42" t="s">
        <v>506</v>
      </c>
      <c r="C182" s="43" t="s">
        <v>289</v>
      </c>
      <c r="D182" s="43" t="s">
        <v>474</v>
      </c>
      <c r="E182" s="43" t="s">
        <v>230</v>
      </c>
    </row>
    <row r="183" spans="1:5" x14ac:dyDescent="0.25">
      <c r="A183" s="41">
        <v>479</v>
      </c>
      <c r="B183" s="42" t="s">
        <v>507</v>
      </c>
      <c r="C183" s="43" t="s">
        <v>289</v>
      </c>
      <c r="D183" s="43" t="s">
        <v>474</v>
      </c>
      <c r="E183" s="43" t="s">
        <v>230</v>
      </c>
    </row>
    <row r="184" spans="1:5" x14ac:dyDescent="0.25">
      <c r="A184" s="41">
        <v>483</v>
      </c>
      <c r="B184" s="42" t="s">
        <v>508</v>
      </c>
      <c r="C184" s="43" t="s">
        <v>289</v>
      </c>
      <c r="D184" s="43" t="s">
        <v>509</v>
      </c>
      <c r="E184" s="43" t="s">
        <v>230</v>
      </c>
    </row>
    <row r="185" spans="1:5" x14ac:dyDescent="0.25">
      <c r="A185" s="41">
        <v>489</v>
      </c>
      <c r="B185" s="42" t="s">
        <v>510</v>
      </c>
      <c r="C185" s="43" t="s">
        <v>289</v>
      </c>
      <c r="D185" s="43" t="s">
        <v>509</v>
      </c>
      <c r="E185" s="43" t="s">
        <v>454</v>
      </c>
    </row>
    <row r="186" spans="1:5" x14ac:dyDescent="0.25">
      <c r="A186" s="41">
        <v>490</v>
      </c>
      <c r="B186" s="42" t="s">
        <v>511</v>
      </c>
      <c r="C186" s="43" t="s">
        <v>289</v>
      </c>
      <c r="D186" s="43" t="s">
        <v>509</v>
      </c>
      <c r="E186" s="43" t="s">
        <v>454</v>
      </c>
    </row>
    <row r="187" spans="1:5" x14ac:dyDescent="0.25">
      <c r="A187" s="41">
        <v>493</v>
      </c>
      <c r="B187" s="42" t="s">
        <v>512</v>
      </c>
      <c r="C187" s="43" t="s">
        <v>289</v>
      </c>
      <c r="D187" s="43" t="s">
        <v>509</v>
      </c>
      <c r="E187" s="43" t="s">
        <v>454</v>
      </c>
    </row>
    <row r="188" spans="1:5" x14ac:dyDescent="0.25">
      <c r="A188" s="41">
        <v>494</v>
      </c>
      <c r="B188" s="42" t="s">
        <v>513</v>
      </c>
      <c r="C188" s="43" t="s">
        <v>289</v>
      </c>
      <c r="D188" s="43" t="s">
        <v>509</v>
      </c>
      <c r="E188" s="43" t="s">
        <v>454</v>
      </c>
    </row>
    <row r="189" spans="1:5" x14ac:dyDescent="0.25">
      <c r="A189" s="41">
        <v>495</v>
      </c>
      <c r="B189" s="42" t="s">
        <v>514</v>
      </c>
      <c r="C189" s="43" t="s">
        <v>289</v>
      </c>
      <c r="D189" s="43" t="s">
        <v>509</v>
      </c>
      <c r="E189" s="43" t="s">
        <v>230</v>
      </c>
    </row>
    <row r="190" spans="1:5" x14ac:dyDescent="0.25">
      <c r="A190" s="41">
        <v>496</v>
      </c>
      <c r="B190" s="42" t="s">
        <v>515</v>
      </c>
      <c r="C190" s="43" t="s">
        <v>289</v>
      </c>
      <c r="D190" s="43" t="s">
        <v>509</v>
      </c>
      <c r="E190" s="43" t="s">
        <v>230</v>
      </c>
    </row>
    <row r="191" spans="1:5" x14ac:dyDescent="0.25">
      <c r="A191" s="41">
        <v>497</v>
      </c>
      <c r="B191" s="42" t="s">
        <v>516</v>
      </c>
      <c r="C191" s="43" t="s">
        <v>289</v>
      </c>
      <c r="D191" s="43" t="s">
        <v>509</v>
      </c>
      <c r="E191" s="43" t="s">
        <v>230</v>
      </c>
    </row>
    <row r="192" spans="1:5" x14ac:dyDescent="0.25">
      <c r="A192" s="41">
        <v>498</v>
      </c>
      <c r="B192" s="42" t="s">
        <v>517</v>
      </c>
      <c r="C192" s="43" t="s">
        <v>289</v>
      </c>
      <c r="D192" s="43" t="s">
        <v>509</v>
      </c>
      <c r="E192" s="43" t="s">
        <v>230</v>
      </c>
    </row>
    <row r="193" spans="1:5" x14ac:dyDescent="0.25">
      <c r="A193" s="41">
        <v>500</v>
      </c>
      <c r="B193" s="42" t="s">
        <v>518</v>
      </c>
      <c r="C193" s="43" t="s">
        <v>289</v>
      </c>
      <c r="D193" s="43" t="s">
        <v>333</v>
      </c>
      <c r="E193" s="43" t="s">
        <v>385</v>
      </c>
    </row>
    <row r="194" spans="1:5" x14ac:dyDescent="0.25">
      <c r="A194" s="41">
        <v>501</v>
      </c>
      <c r="B194" s="42" t="s">
        <v>519</v>
      </c>
      <c r="C194" s="43" t="s">
        <v>289</v>
      </c>
      <c r="D194" s="43" t="s">
        <v>333</v>
      </c>
      <c r="E194" s="43" t="s">
        <v>385</v>
      </c>
    </row>
    <row r="195" spans="1:5" x14ac:dyDescent="0.25">
      <c r="A195" s="41">
        <v>505</v>
      </c>
      <c r="B195" s="42" t="s">
        <v>520</v>
      </c>
      <c r="C195" s="43" t="s">
        <v>289</v>
      </c>
      <c r="D195" s="43" t="s">
        <v>333</v>
      </c>
      <c r="E195" s="43" t="s">
        <v>385</v>
      </c>
    </row>
    <row r="196" spans="1:5" x14ac:dyDescent="0.25">
      <c r="A196" s="41">
        <v>507</v>
      </c>
      <c r="B196" s="42" t="s">
        <v>521</v>
      </c>
      <c r="C196" s="43" t="s">
        <v>289</v>
      </c>
      <c r="D196" s="43" t="s">
        <v>333</v>
      </c>
      <c r="E196" s="43" t="s">
        <v>385</v>
      </c>
    </row>
    <row r="197" spans="1:5" x14ac:dyDescent="0.25">
      <c r="A197" s="41">
        <v>509</v>
      </c>
      <c r="B197" s="42" t="s">
        <v>522</v>
      </c>
      <c r="C197" s="43" t="s">
        <v>289</v>
      </c>
      <c r="D197" s="43" t="s">
        <v>523</v>
      </c>
      <c r="E197" s="43" t="s">
        <v>230</v>
      </c>
    </row>
    <row r="198" spans="1:5" x14ac:dyDescent="0.25">
      <c r="A198" s="41">
        <v>510</v>
      </c>
      <c r="B198" s="42" t="s">
        <v>524</v>
      </c>
      <c r="C198" s="43" t="s">
        <v>289</v>
      </c>
      <c r="D198" s="43" t="s">
        <v>333</v>
      </c>
      <c r="E198" s="43" t="s">
        <v>385</v>
      </c>
    </row>
    <row r="199" spans="1:5" x14ac:dyDescent="0.25">
      <c r="A199" s="41">
        <v>513</v>
      </c>
      <c r="B199" s="42" t="s">
        <v>525</v>
      </c>
      <c r="C199" s="43" t="s">
        <v>289</v>
      </c>
      <c r="D199" s="43" t="s">
        <v>333</v>
      </c>
      <c r="E199" s="43" t="s">
        <v>385</v>
      </c>
    </row>
    <row r="200" spans="1:5" x14ac:dyDescent="0.25">
      <c r="A200" s="41">
        <v>515</v>
      </c>
      <c r="B200" s="42" t="s">
        <v>526</v>
      </c>
      <c r="C200" s="43" t="s">
        <v>289</v>
      </c>
      <c r="D200" s="43" t="s">
        <v>333</v>
      </c>
      <c r="E200" s="43" t="s">
        <v>230</v>
      </c>
    </row>
    <row r="201" spans="1:5" x14ac:dyDescent="0.25">
      <c r="A201" s="41">
        <v>516</v>
      </c>
      <c r="B201" s="42" t="s">
        <v>527</v>
      </c>
      <c r="C201" s="43" t="s">
        <v>289</v>
      </c>
      <c r="D201" s="43" t="s">
        <v>333</v>
      </c>
      <c r="E201" s="43" t="s">
        <v>230</v>
      </c>
    </row>
    <row r="202" spans="1:5" x14ac:dyDescent="0.25">
      <c r="A202" s="41">
        <v>519</v>
      </c>
      <c r="B202" s="42" t="s">
        <v>528</v>
      </c>
      <c r="C202" s="43" t="s">
        <v>289</v>
      </c>
      <c r="D202" s="43" t="s">
        <v>333</v>
      </c>
      <c r="E202" s="43" t="s">
        <v>230</v>
      </c>
    </row>
    <row r="203" spans="1:5" x14ac:dyDescent="0.25">
      <c r="A203" s="41">
        <v>520</v>
      </c>
      <c r="B203" s="42" t="s">
        <v>529</v>
      </c>
      <c r="C203" s="43" t="s">
        <v>289</v>
      </c>
      <c r="D203" s="43" t="s">
        <v>333</v>
      </c>
      <c r="E203" s="43" t="s">
        <v>230</v>
      </c>
    </row>
    <row r="204" spans="1:5" x14ac:dyDescent="0.25">
      <c r="A204" s="41">
        <v>524</v>
      </c>
      <c r="B204" s="42" t="s">
        <v>530</v>
      </c>
      <c r="C204" s="43" t="s">
        <v>289</v>
      </c>
      <c r="D204" s="43" t="s">
        <v>474</v>
      </c>
      <c r="E204" s="43" t="s">
        <v>531</v>
      </c>
    </row>
    <row r="205" spans="1:5" x14ac:dyDescent="0.25">
      <c r="A205" s="41">
        <v>525</v>
      </c>
      <c r="B205" s="42" t="s">
        <v>532</v>
      </c>
      <c r="C205" s="43" t="s">
        <v>289</v>
      </c>
      <c r="D205" s="43" t="s">
        <v>333</v>
      </c>
      <c r="E205" s="43" t="s">
        <v>230</v>
      </c>
    </row>
    <row r="206" spans="1:5" x14ac:dyDescent="0.25">
      <c r="A206" s="41">
        <v>526</v>
      </c>
      <c r="B206" s="42" t="s">
        <v>533</v>
      </c>
      <c r="C206" s="43" t="s">
        <v>289</v>
      </c>
      <c r="D206" s="43" t="s">
        <v>333</v>
      </c>
      <c r="E206" s="43" t="s">
        <v>230</v>
      </c>
    </row>
    <row r="207" spans="1:5" x14ac:dyDescent="0.25">
      <c r="A207" s="41">
        <v>527</v>
      </c>
      <c r="B207" s="42" t="s">
        <v>534</v>
      </c>
      <c r="C207" s="43" t="s">
        <v>289</v>
      </c>
      <c r="D207" s="43" t="s">
        <v>333</v>
      </c>
      <c r="E207" s="43" t="s">
        <v>230</v>
      </c>
    </row>
    <row r="208" spans="1:5" x14ac:dyDescent="0.25">
      <c r="A208" s="41">
        <v>528</v>
      </c>
      <c r="B208" s="42" t="s">
        <v>535</v>
      </c>
      <c r="C208" s="43" t="s">
        <v>289</v>
      </c>
      <c r="D208" s="43" t="s">
        <v>327</v>
      </c>
      <c r="E208" s="43" t="s">
        <v>230</v>
      </c>
    </row>
    <row r="209" spans="1:5" x14ac:dyDescent="0.25">
      <c r="A209" s="41">
        <v>530</v>
      </c>
      <c r="B209" s="42" t="s">
        <v>536</v>
      </c>
      <c r="C209" s="43" t="s">
        <v>289</v>
      </c>
      <c r="D209" s="43" t="s">
        <v>333</v>
      </c>
      <c r="E209" s="43" t="s">
        <v>230</v>
      </c>
    </row>
    <row r="210" spans="1:5" x14ac:dyDescent="0.25">
      <c r="A210" s="41">
        <v>533</v>
      </c>
      <c r="B210" s="42" t="s">
        <v>537</v>
      </c>
      <c r="C210" s="43" t="s">
        <v>289</v>
      </c>
      <c r="D210" s="43" t="s">
        <v>333</v>
      </c>
      <c r="E210" s="43" t="s">
        <v>230</v>
      </c>
    </row>
    <row r="211" spans="1:5" x14ac:dyDescent="0.25">
      <c r="A211" s="41">
        <v>534</v>
      </c>
      <c r="B211" s="42" t="s">
        <v>538</v>
      </c>
      <c r="C211" s="43" t="s">
        <v>289</v>
      </c>
      <c r="D211" s="43" t="s">
        <v>333</v>
      </c>
      <c r="E211" s="43" t="s">
        <v>230</v>
      </c>
    </row>
    <row r="212" spans="1:5" x14ac:dyDescent="0.25">
      <c r="A212" s="41">
        <v>535</v>
      </c>
      <c r="B212" s="42" t="s">
        <v>539</v>
      </c>
      <c r="C212" s="43" t="s">
        <v>289</v>
      </c>
      <c r="D212" s="43" t="s">
        <v>333</v>
      </c>
      <c r="E212" s="43" t="s">
        <v>230</v>
      </c>
    </row>
    <row r="213" spans="1:5" x14ac:dyDescent="0.25">
      <c r="A213" s="41">
        <v>536</v>
      </c>
      <c r="B213" s="42" t="s">
        <v>540</v>
      </c>
      <c r="C213" s="43" t="s">
        <v>289</v>
      </c>
      <c r="D213" s="43" t="s">
        <v>316</v>
      </c>
      <c r="E213" s="43" t="s">
        <v>230</v>
      </c>
    </row>
    <row r="214" spans="1:5" x14ac:dyDescent="0.25">
      <c r="A214" s="41">
        <v>538</v>
      </c>
      <c r="B214" s="42" t="s">
        <v>541</v>
      </c>
      <c r="C214" s="43" t="s">
        <v>289</v>
      </c>
      <c r="D214" s="43" t="s">
        <v>333</v>
      </c>
      <c r="E214" s="43" t="s">
        <v>230</v>
      </c>
    </row>
    <row r="215" spans="1:5" x14ac:dyDescent="0.25">
      <c r="A215" s="41">
        <v>539</v>
      </c>
      <c r="B215" s="42" t="s">
        <v>542</v>
      </c>
      <c r="C215" s="43" t="s">
        <v>289</v>
      </c>
      <c r="D215" s="43" t="s">
        <v>333</v>
      </c>
      <c r="E215" s="43" t="s">
        <v>230</v>
      </c>
    </row>
    <row r="216" spans="1:5" x14ac:dyDescent="0.25">
      <c r="A216" s="41">
        <v>541</v>
      </c>
      <c r="B216" s="42" t="s">
        <v>543</v>
      </c>
      <c r="C216" s="43" t="s">
        <v>289</v>
      </c>
      <c r="D216" s="43" t="s">
        <v>316</v>
      </c>
      <c r="E216" s="43" t="s">
        <v>217</v>
      </c>
    </row>
    <row r="217" spans="1:5" x14ac:dyDescent="0.25">
      <c r="A217" s="41">
        <v>543</v>
      </c>
      <c r="B217" s="42" t="s">
        <v>544</v>
      </c>
      <c r="C217" s="43" t="s">
        <v>289</v>
      </c>
      <c r="D217" s="43" t="s">
        <v>333</v>
      </c>
      <c r="E217" s="43" t="s">
        <v>230</v>
      </c>
    </row>
    <row r="218" spans="1:5" x14ac:dyDescent="0.25">
      <c r="A218" s="41">
        <v>544</v>
      </c>
      <c r="B218" s="42" t="s">
        <v>545</v>
      </c>
      <c r="C218" s="43" t="s">
        <v>289</v>
      </c>
      <c r="D218" s="43" t="s">
        <v>474</v>
      </c>
      <c r="E218" s="43" t="s">
        <v>230</v>
      </c>
    </row>
    <row r="219" spans="1:5" x14ac:dyDescent="0.25">
      <c r="A219" s="41">
        <v>545</v>
      </c>
      <c r="B219" s="42" t="s">
        <v>546</v>
      </c>
      <c r="C219" s="43" t="s">
        <v>289</v>
      </c>
      <c r="D219" s="43" t="s">
        <v>333</v>
      </c>
      <c r="E219" s="43" t="s">
        <v>230</v>
      </c>
    </row>
    <row r="220" spans="1:5" x14ac:dyDescent="0.25">
      <c r="A220" s="41">
        <v>546</v>
      </c>
      <c r="B220" s="42" t="s">
        <v>547</v>
      </c>
      <c r="C220" s="43" t="s">
        <v>289</v>
      </c>
      <c r="D220" s="43" t="s">
        <v>333</v>
      </c>
      <c r="E220" s="43" t="s">
        <v>230</v>
      </c>
    </row>
    <row r="221" spans="1:5" x14ac:dyDescent="0.25">
      <c r="A221" s="41">
        <v>547</v>
      </c>
      <c r="B221" s="42" t="s">
        <v>548</v>
      </c>
      <c r="C221" s="43" t="s">
        <v>289</v>
      </c>
      <c r="D221" s="43" t="s">
        <v>333</v>
      </c>
      <c r="E221" s="43" t="s">
        <v>230</v>
      </c>
    </row>
    <row r="222" spans="1:5" x14ac:dyDescent="0.25">
      <c r="A222" s="41">
        <v>549</v>
      </c>
      <c r="B222" s="42" t="s">
        <v>549</v>
      </c>
      <c r="C222" s="43" t="s">
        <v>289</v>
      </c>
      <c r="D222" s="43" t="s">
        <v>333</v>
      </c>
      <c r="E222" s="43" t="s">
        <v>230</v>
      </c>
    </row>
    <row r="223" spans="1:5" x14ac:dyDescent="0.25">
      <c r="A223" s="41">
        <v>550</v>
      </c>
      <c r="B223" s="42" t="s">
        <v>550</v>
      </c>
      <c r="C223" s="43" t="s">
        <v>289</v>
      </c>
      <c r="D223" s="43" t="s">
        <v>333</v>
      </c>
      <c r="E223" s="43" t="s">
        <v>230</v>
      </c>
    </row>
    <row r="224" spans="1:5" x14ac:dyDescent="0.25">
      <c r="A224" s="41">
        <v>551</v>
      </c>
      <c r="B224" s="42" t="s">
        <v>551</v>
      </c>
      <c r="C224" s="43" t="s">
        <v>289</v>
      </c>
      <c r="D224" s="43" t="s">
        <v>333</v>
      </c>
      <c r="E224" s="43" t="s">
        <v>230</v>
      </c>
    </row>
    <row r="225" spans="1:5" x14ac:dyDescent="0.25">
      <c r="A225" s="41">
        <v>552</v>
      </c>
      <c r="B225" s="42" t="s">
        <v>552</v>
      </c>
      <c r="C225" s="43" t="s">
        <v>289</v>
      </c>
      <c r="D225" s="43" t="s">
        <v>333</v>
      </c>
      <c r="E225" s="43" t="s">
        <v>230</v>
      </c>
    </row>
    <row r="226" spans="1:5" x14ac:dyDescent="0.25">
      <c r="A226" s="41">
        <v>553</v>
      </c>
      <c r="B226" s="42" t="s">
        <v>553</v>
      </c>
      <c r="C226" s="43" t="s">
        <v>289</v>
      </c>
      <c r="D226" s="43" t="s">
        <v>333</v>
      </c>
      <c r="E226" s="43" t="s">
        <v>230</v>
      </c>
    </row>
    <row r="227" spans="1:5" x14ac:dyDescent="0.25">
      <c r="A227" s="41">
        <v>554</v>
      </c>
      <c r="B227" s="42" t="s">
        <v>554</v>
      </c>
      <c r="C227" s="43" t="s">
        <v>289</v>
      </c>
      <c r="D227" s="43" t="s">
        <v>333</v>
      </c>
      <c r="E227" s="43" t="s">
        <v>230</v>
      </c>
    </row>
    <row r="228" spans="1:5" x14ac:dyDescent="0.25">
      <c r="A228" s="41">
        <v>555</v>
      </c>
      <c r="B228" s="42" t="s">
        <v>555</v>
      </c>
      <c r="C228" s="43" t="s">
        <v>289</v>
      </c>
      <c r="D228" s="43" t="s">
        <v>333</v>
      </c>
      <c r="E228" s="43" t="s">
        <v>230</v>
      </c>
    </row>
    <row r="229" spans="1:5" x14ac:dyDescent="0.25">
      <c r="A229" s="41">
        <v>562</v>
      </c>
      <c r="B229" s="42" t="s">
        <v>556</v>
      </c>
      <c r="C229" s="43" t="s">
        <v>289</v>
      </c>
      <c r="D229" s="43" t="s">
        <v>333</v>
      </c>
      <c r="E229" s="43" t="s">
        <v>230</v>
      </c>
    </row>
    <row r="230" spans="1:5" x14ac:dyDescent="0.25">
      <c r="A230" s="41">
        <v>563</v>
      </c>
      <c r="B230" s="42" t="s">
        <v>557</v>
      </c>
      <c r="C230" s="43" t="s">
        <v>289</v>
      </c>
      <c r="D230" s="43" t="s">
        <v>333</v>
      </c>
      <c r="E230" s="43" t="s">
        <v>230</v>
      </c>
    </row>
    <row r="231" spans="1:5" x14ac:dyDescent="0.25">
      <c r="A231" s="41">
        <v>565</v>
      </c>
      <c r="B231" s="42" t="s">
        <v>558</v>
      </c>
      <c r="C231" s="43" t="s">
        <v>289</v>
      </c>
      <c r="D231" s="43" t="s">
        <v>333</v>
      </c>
      <c r="E231" s="43" t="s">
        <v>230</v>
      </c>
    </row>
    <row r="232" spans="1:5" x14ac:dyDescent="0.25">
      <c r="A232" s="41">
        <v>567</v>
      </c>
      <c r="B232" s="42" t="s">
        <v>559</v>
      </c>
      <c r="C232" s="43" t="s">
        <v>289</v>
      </c>
      <c r="D232" s="43" t="s">
        <v>333</v>
      </c>
      <c r="E232" s="43" t="s">
        <v>230</v>
      </c>
    </row>
    <row r="233" spans="1:5" x14ac:dyDescent="0.25">
      <c r="A233" s="41">
        <v>569</v>
      </c>
      <c r="B233" s="42" t="s">
        <v>560</v>
      </c>
      <c r="C233" s="43" t="s">
        <v>289</v>
      </c>
      <c r="D233" s="43" t="s">
        <v>333</v>
      </c>
      <c r="E233" s="43" t="s">
        <v>230</v>
      </c>
    </row>
    <row r="234" spans="1:5" x14ac:dyDescent="0.25">
      <c r="A234" s="41">
        <v>570</v>
      </c>
      <c r="B234" s="42" t="s">
        <v>561</v>
      </c>
      <c r="C234" s="43" t="s">
        <v>289</v>
      </c>
      <c r="D234" s="43" t="s">
        <v>333</v>
      </c>
      <c r="E234" s="43" t="s">
        <v>230</v>
      </c>
    </row>
    <row r="235" spans="1:5" x14ac:dyDescent="0.25">
      <c r="A235" s="41">
        <v>571</v>
      </c>
      <c r="B235" s="42" t="s">
        <v>562</v>
      </c>
      <c r="C235" s="43" t="s">
        <v>289</v>
      </c>
      <c r="D235" s="43" t="s">
        <v>333</v>
      </c>
      <c r="E235" s="43" t="s">
        <v>230</v>
      </c>
    </row>
    <row r="236" spans="1:5" x14ac:dyDescent="0.25">
      <c r="A236" s="41">
        <v>572</v>
      </c>
      <c r="B236" s="42" t="s">
        <v>563</v>
      </c>
      <c r="C236" s="43" t="s">
        <v>289</v>
      </c>
      <c r="D236" s="43" t="s">
        <v>333</v>
      </c>
      <c r="E236" s="43" t="s">
        <v>230</v>
      </c>
    </row>
    <row r="237" spans="1:5" x14ac:dyDescent="0.25">
      <c r="A237" s="41">
        <v>573</v>
      </c>
      <c r="B237" s="42" t="s">
        <v>564</v>
      </c>
      <c r="C237" s="43" t="s">
        <v>289</v>
      </c>
      <c r="D237" s="43" t="s">
        <v>474</v>
      </c>
      <c r="E237" s="43" t="s">
        <v>230</v>
      </c>
    </row>
    <row r="238" spans="1:5" x14ac:dyDescent="0.25">
      <c r="A238" s="41">
        <v>577</v>
      </c>
      <c r="B238" s="42" t="s">
        <v>565</v>
      </c>
      <c r="C238" s="43" t="s">
        <v>289</v>
      </c>
      <c r="D238" s="43" t="s">
        <v>333</v>
      </c>
      <c r="E238" s="43" t="s">
        <v>230</v>
      </c>
    </row>
    <row r="239" spans="1:5" x14ac:dyDescent="0.25">
      <c r="A239" s="41">
        <v>578</v>
      </c>
      <c r="B239" s="42" t="s">
        <v>566</v>
      </c>
      <c r="C239" s="43" t="s">
        <v>289</v>
      </c>
      <c r="D239" s="43" t="s">
        <v>333</v>
      </c>
      <c r="E239" s="43" t="s">
        <v>230</v>
      </c>
    </row>
    <row r="240" spans="1:5" x14ac:dyDescent="0.25">
      <c r="A240" s="41">
        <v>579</v>
      </c>
      <c r="B240" s="42" t="s">
        <v>567</v>
      </c>
      <c r="C240" s="43" t="s">
        <v>289</v>
      </c>
      <c r="D240" s="43" t="s">
        <v>333</v>
      </c>
      <c r="E240" s="43" t="s">
        <v>230</v>
      </c>
    </row>
    <row r="241" spans="1:5" x14ac:dyDescent="0.25">
      <c r="A241" s="41">
        <v>580</v>
      </c>
      <c r="B241" s="42" t="s">
        <v>568</v>
      </c>
      <c r="C241" s="43" t="s">
        <v>289</v>
      </c>
      <c r="D241" s="43" t="s">
        <v>333</v>
      </c>
      <c r="E241" s="43" t="s">
        <v>230</v>
      </c>
    </row>
    <row r="242" spans="1:5" x14ac:dyDescent="0.25">
      <c r="A242" s="41">
        <v>581</v>
      </c>
      <c r="B242" s="42" t="s">
        <v>569</v>
      </c>
      <c r="C242" s="43" t="s">
        <v>289</v>
      </c>
      <c r="D242" s="43" t="s">
        <v>333</v>
      </c>
      <c r="E242" s="43" t="s">
        <v>230</v>
      </c>
    </row>
    <row r="243" spans="1:5" x14ac:dyDescent="0.25">
      <c r="A243" s="41">
        <v>582</v>
      </c>
      <c r="B243" s="42" t="s">
        <v>570</v>
      </c>
      <c r="C243" s="43" t="s">
        <v>289</v>
      </c>
      <c r="D243" s="43" t="s">
        <v>333</v>
      </c>
      <c r="E243" s="43" t="s">
        <v>230</v>
      </c>
    </row>
    <row r="244" spans="1:5" x14ac:dyDescent="0.25">
      <c r="A244" s="41">
        <v>584</v>
      </c>
      <c r="B244" s="42" t="s">
        <v>571</v>
      </c>
      <c r="C244" s="43" t="s">
        <v>289</v>
      </c>
      <c r="D244" s="43" t="s">
        <v>333</v>
      </c>
      <c r="E244" s="43" t="s">
        <v>230</v>
      </c>
    </row>
    <row r="245" spans="1:5" x14ac:dyDescent="0.25">
      <c r="A245" s="41">
        <v>585</v>
      </c>
      <c r="B245" s="42" t="s">
        <v>572</v>
      </c>
      <c r="C245" s="43" t="s">
        <v>289</v>
      </c>
      <c r="D245" s="43" t="s">
        <v>333</v>
      </c>
      <c r="E245" s="43" t="s">
        <v>230</v>
      </c>
    </row>
    <row r="246" spans="1:5" x14ac:dyDescent="0.25">
      <c r="A246" s="41">
        <v>586</v>
      </c>
      <c r="B246" s="42" t="s">
        <v>573</v>
      </c>
      <c r="C246" s="43" t="s">
        <v>289</v>
      </c>
      <c r="D246" s="43" t="s">
        <v>333</v>
      </c>
      <c r="E246" s="43" t="s">
        <v>230</v>
      </c>
    </row>
    <row r="247" spans="1:5" x14ac:dyDescent="0.25">
      <c r="A247" s="41">
        <v>587</v>
      </c>
      <c r="B247" s="42" t="s">
        <v>574</v>
      </c>
      <c r="C247" s="43" t="s">
        <v>289</v>
      </c>
      <c r="D247" s="43" t="s">
        <v>333</v>
      </c>
      <c r="E247" s="43" t="s">
        <v>230</v>
      </c>
    </row>
    <row r="248" spans="1:5" x14ac:dyDescent="0.25">
      <c r="A248" s="41">
        <v>588</v>
      </c>
      <c r="B248" s="42" t="s">
        <v>575</v>
      </c>
      <c r="C248" s="43" t="s">
        <v>289</v>
      </c>
      <c r="D248" s="43" t="s">
        <v>333</v>
      </c>
      <c r="E248" s="43" t="s">
        <v>230</v>
      </c>
    </row>
    <row r="249" spans="1:5" x14ac:dyDescent="0.25">
      <c r="A249" s="41">
        <v>589</v>
      </c>
      <c r="B249" s="42" t="s">
        <v>575</v>
      </c>
      <c r="C249" s="43" t="s">
        <v>289</v>
      </c>
      <c r="D249" s="43" t="s">
        <v>333</v>
      </c>
      <c r="E249" s="43" t="s">
        <v>230</v>
      </c>
    </row>
    <row r="250" spans="1:5" x14ac:dyDescent="0.25">
      <c r="A250" s="41">
        <v>590</v>
      </c>
      <c r="B250" s="42" t="s">
        <v>576</v>
      </c>
      <c r="C250" s="43" t="s">
        <v>289</v>
      </c>
      <c r="D250" s="43" t="s">
        <v>333</v>
      </c>
      <c r="E250" s="43" t="s">
        <v>230</v>
      </c>
    </row>
    <row r="251" spans="1:5" x14ac:dyDescent="0.25">
      <c r="A251" s="41">
        <v>592</v>
      </c>
      <c r="B251" s="42" t="s">
        <v>577</v>
      </c>
      <c r="C251" s="43" t="s">
        <v>289</v>
      </c>
      <c r="D251" s="43" t="s">
        <v>333</v>
      </c>
      <c r="E251" s="43" t="s">
        <v>230</v>
      </c>
    </row>
    <row r="252" spans="1:5" x14ac:dyDescent="0.25">
      <c r="A252" s="41">
        <v>593</v>
      </c>
      <c r="B252" s="42" t="s">
        <v>578</v>
      </c>
      <c r="C252" s="43" t="s">
        <v>289</v>
      </c>
      <c r="D252" s="43" t="s">
        <v>333</v>
      </c>
      <c r="E252" s="43" t="s">
        <v>230</v>
      </c>
    </row>
    <row r="253" spans="1:5" x14ac:dyDescent="0.25">
      <c r="A253" s="41">
        <v>594</v>
      </c>
      <c r="B253" s="42" t="s">
        <v>579</v>
      </c>
      <c r="C253" s="43" t="s">
        <v>289</v>
      </c>
      <c r="D253" s="43" t="s">
        <v>333</v>
      </c>
      <c r="E253" s="43" t="s">
        <v>230</v>
      </c>
    </row>
    <row r="254" spans="1:5" x14ac:dyDescent="0.25">
      <c r="A254" s="41">
        <v>595</v>
      </c>
      <c r="B254" s="42" t="s">
        <v>580</v>
      </c>
      <c r="C254" s="43" t="s">
        <v>289</v>
      </c>
      <c r="D254" s="43" t="s">
        <v>333</v>
      </c>
      <c r="E254" s="43" t="s">
        <v>230</v>
      </c>
    </row>
    <row r="255" spans="1:5" x14ac:dyDescent="0.25">
      <c r="A255" s="41">
        <v>596</v>
      </c>
      <c r="B255" s="42" t="s">
        <v>581</v>
      </c>
      <c r="C255" s="43" t="s">
        <v>289</v>
      </c>
      <c r="D255" s="43" t="s">
        <v>333</v>
      </c>
      <c r="E255" s="43" t="s">
        <v>230</v>
      </c>
    </row>
    <row r="256" spans="1:5" x14ac:dyDescent="0.25">
      <c r="A256" s="41">
        <v>598</v>
      </c>
      <c r="B256" s="42" t="s">
        <v>582</v>
      </c>
      <c r="C256" s="43" t="s">
        <v>289</v>
      </c>
      <c r="D256" s="43" t="s">
        <v>333</v>
      </c>
      <c r="E256" s="43" t="s">
        <v>230</v>
      </c>
    </row>
    <row r="257" spans="1:5" x14ac:dyDescent="0.25">
      <c r="A257" s="41">
        <v>600</v>
      </c>
      <c r="B257" s="42" t="s">
        <v>583</v>
      </c>
      <c r="C257" s="43" t="s">
        <v>289</v>
      </c>
      <c r="D257" s="43" t="s">
        <v>333</v>
      </c>
      <c r="E257" s="43" t="s">
        <v>230</v>
      </c>
    </row>
    <row r="258" spans="1:5" x14ac:dyDescent="0.25">
      <c r="A258" s="41">
        <v>601</v>
      </c>
      <c r="B258" s="42" t="s">
        <v>584</v>
      </c>
      <c r="C258" s="43" t="s">
        <v>289</v>
      </c>
      <c r="D258" s="43" t="s">
        <v>333</v>
      </c>
      <c r="E258" s="43" t="s">
        <v>230</v>
      </c>
    </row>
    <row r="259" spans="1:5" x14ac:dyDescent="0.25">
      <c r="A259" s="41">
        <v>602</v>
      </c>
      <c r="B259" s="42" t="s">
        <v>585</v>
      </c>
      <c r="C259" s="43" t="s">
        <v>289</v>
      </c>
      <c r="D259" s="43" t="s">
        <v>333</v>
      </c>
      <c r="E259" s="43" t="s">
        <v>230</v>
      </c>
    </row>
    <row r="260" spans="1:5" x14ac:dyDescent="0.25">
      <c r="A260" s="41">
        <v>603</v>
      </c>
      <c r="B260" s="42" t="s">
        <v>586</v>
      </c>
      <c r="C260" s="43" t="s">
        <v>289</v>
      </c>
      <c r="D260" s="43" t="s">
        <v>333</v>
      </c>
      <c r="E260" s="43" t="s">
        <v>230</v>
      </c>
    </row>
    <row r="261" spans="1:5" x14ac:dyDescent="0.25">
      <c r="A261" s="41">
        <v>604</v>
      </c>
      <c r="B261" s="42" t="s">
        <v>587</v>
      </c>
      <c r="C261" s="43" t="s">
        <v>289</v>
      </c>
      <c r="D261" s="43" t="s">
        <v>333</v>
      </c>
      <c r="E261" s="43" t="s">
        <v>230</v>
      </c>
    </row>
    <row r="262" spans="1:5" x14ac:dyDescent="0.25">
      <c r="A262" s="41">
        <v>605</v>
      </c>
      <c r="B262" s="42" t="s">
        <v>588</v>
      </c>
      <c r="C262" s="43" t="s">
        <v>289</v>
      </c>
      <c r="D262" s="43" t="s">
        <v>333</v>
      </c>
      <c r="E262" s="43" t="s">
        <v>230</v>
      </c>
    </row>
    <row r="263" spans="1:5" x14ac:dyDescent="0.25">
      <c r="A263" s="41">
        <v>609</v>
      </c>
      <c r="B263" s="42" t="s">
        <v>589</v>
      </c>
      <c r="C263" s="43" t="s">
        <v>289</v>
      </c>
      <c r="D263" s="43" t="s">
        <v>333</v>
      </c>
      <c r="E263" s="43" t="s">
        <v>230</v>
      </c>
    </row>
    <row r="264" spans="1:5" x14ac:dyDescent="0.25">
      <c r="A264" s="41">
        <v>613</v>
      </c>
      <c r="B264" s="42" t="s">
        <v>590</v>
      </c>
      <c r="C264" s="43" t="s">
        <v>289</v>
      </c>
      <c r="D264" s="43" t="s">
        <v>333</v>
      </c>
      <c r="E264" s="43" t="s">
        <v>230</v>
      </c>
    </row>
    <row r="265" spans="1:5" x14ac:dyDescent="0.25">
      <c r="A265" s="41">
        <v>614</v>
      </c>
      <c r="B265" s="42" t="s">
        <v>591</v>
      </c>
      <c r="C265" s="43" t="s">
        <v>289</v>
      </c>
      <c r="D265" s="43" t="s">
        <v>333</v>
      </c>
      <c r="E265" s="43" t="s">
        <v>230</v>
      </c>
    </row>
    <row r="266" spans="1:5" x14ac:dyDescent="0.25">
      <c r="A266" s="41">
        <v>615</v>
      </c>
      <c r="B266" s="42" t="s">
        <v>592</v>
      </c>
      <c r="C266" s="43" t="s">
        <v>289</v>
      </c>
      <c r="D266" s="43" t="s">
        <v>333</v>
      </c>
      <c r="E266" s="43" t="s">
        <v>230</v>
      </c>
    </row>
    <row r="267" spans="1:5" x14ac:dyDescent="0.25">
      <c r="A267" s="41">
        <v>616</v>
      </c>
      <c r="B267" s="42" t="s">
        <v>593</v>
      </c>
      <c r="C267" s="43" t="s">
        <v>289</v>
      </c>
      <c r="D267" s="43" t="s">
        <v>333</v>
      </c>
      <c r="E267" s="43" t="s">
        <v>230</v>
      </c>
    </row>
    <row r="268" spans="1:5" x14ac:dyDescent="0.25">
      <c r="A268" s="41">
        <v>617</v>
      </c>
      <c r="B268" s="42" t="s">
        <v>594</v>
      </c>
      <c r="C268" s="43" t="s">
        <v>289</v>
      </c>
      <c r="D268" s="43" t="s">
        <v>333</v>
      </c>
      <c r="E268" s="43" t="s">
        <v>230</v>
      </c>
    </row>
    <row r="269" spans="1:5" x14ac:dyDescent="0.25">
      <c r="A269" s="41">
        <v>619</v>
      </c>
      <c r="B269" s="42" t="s">
        <v>595</v>
      </c>
      <c r="C269" s="43" t="s">
        <v>289</v>
      </c>
      <c r="D269" s="43" t="s">
        <v>314</v>
      </c>
      <c r="E269" s="43" t="s">
        <v>230</v>
      </c>
    </row>
    <row r="270" spans="1:5" x14ac:dyDescent="0.25">
      <c r="A270" s="41">
        <v>622</v>
      </c>
      <c r="B270" s="42" t="s">
        <v>596</v>
      </c>
      <c r="C270" s="43" t="s">
        <v>289</v>
      </c>
      <c r="D270" s="43" t="s">
        <v>333</v>
      </c>
      <c r="E270" s="43" t="s">
        <v>230</v>
      </c>
    </row>
    <row r="271" spans="1:5" x14ac:dyDescent="0.25">
      <c r="A271" s="41">
        <v>625</v>
      </c>
      <c r="B271" s="42" t="s">
        <v>597</v>
      </c>
      <c r="C271" s="43" t="s">
        <v>289</v>
      </c>
      <c r="D271" s="43" t="s">
        <v>333</v>
      </c>
      <c r="E271" s="43" t="s">
        <v>230</v>
      </c>
    </row>
    <row r="272" spans="1:5" x14ac:dyDescent="0.25">
      <c r="A272" s="41">
        <v>627</v>
      </c>
      <c r="B272" s="42" t="s">
        <v>598</v>
      </c>
      <c r="C272" s="43" t="s">
        <v>289</v>
      </c>
      <c r="D272" s="43" t="s">
        <v>333</v>
      </c>
      <c r="E272" s="43" t="s">
        <v>230</v>
      </c>
    </row>
    <row r="273" spans="1:5" x14ac:dyDescent="0.25">
      <c r="A273" s="41">
        <v>633</v>
      </c>
      <c r="B273" s="42" t="s">
        <v>599</v>
      </c>
      <c r="C273" s="43" t="s">
        <v>289</v>
      </c>
      <c r="D273" s="43" t="s">
        <v>316</v>
      </c>
      <c r="E273" s="43" t="s">
        <v>230</v>
      </c>
    </row>
    <row r="274" spans="1:5" x14ac:dyDescent="0.25">
      <c r="A274" s="41">
        <v>635</v>
      </c>
      <c r="B274" s="42" t="s">
        <v>600</v>
      </c>
      <c r="C274" s="43" t="s">
        <v>289</v>
      </c>
      <c r="D274" s="43" t="s">
        <v>333</v>
      </c>
      <c r="E274" s="43" t="s">
        <v>230</v>
      </c>
    </row>
    <row r="275" spans="1:5" x14ac:dyDescent="0.25">
      <c r="A275" s="41">
        <v>636</v>
      </c>
      <c r="B275" s="42" t="s">
        <v>601</v>
      </c>
      <c r="C275" s="43" t="s">
        <v>289</v>
      </c>
      <c r="D275" s="43" t="s">
        <v>333</v>
      </c>
      <c r="E275" s="43" t="s">
        <v>230</v>
      </c>
    </row>
    <row r="276" spans="1:5" x14ac:dyDescent="0.25">
      <c r="A276" s="41">
        <v>638</v>
      </c>
      <c r="B276" s="42" t="s">
        <v>602</v>
      </c>
      <c r="C276" s="43" t="s">
        <v>289</v>
      </c>
      <c r="D276" s="43" t="s">
        <v>333</v>
      </c>
      <c r="E276" s="43" t="s">
        <v>230</v>
      </c>
    </row>
    <row r="277" spans="1:5" x14ac:dyDescent="0.25">
      <c r="A277" s="41">
        <v>645</v>
      </c>
      <c r="B277" s="42" t="s">
        <v>603</v>
      </c>
      <c r="C277" s="43" t="s">
        <v>289</v>
      </c>
      <c r="D277" s="43" t="s">
        <v>333</v>
      </c>
      <c r="E277" s="43" t="s">
        <v>230</v>
      </c>
    </row>
    <row r="278" spans="1:5" x14ac:dyDescent="0.25">
      <c r="A278" s="41">
        <v>646</v>
      </c>
      <c r="B278" s="42" t="s">
        <v>604</v>
      </c>
      <c r="C278" s="43" t="s">
        <v>289</v>
      </c>
      <c r="D278" s="43" t="s">
        <v>333</v>
      </c>
      <c r="E278" s="43" t="s">
        <v>230</v>
      </c>
    </row>
    <row r="279" spans="1:5" x14ac:dyDescent="0.25">
      <c r="A279" s="41">
        <v>661</v>
      </c>
      <c r="B279" s="42" t="s">
        <v>605</v>
      </c>
      <c r="C279" s="43" t="s">
        <v>289</v>
      </c>
      <c r="D279" s="43" t="s">
        <v>333</v>
      </c>
      <c r="E279" s="43" t="s">
        <v>230</v>
      </c>
    </row>
    <row r="280" spans="1:5" x14ac:dyDescent="0.25">
      <c r="A280" s="41">
        <v>666</v>
      </c>
      <c r="B280" s="42" t="s">
        <v>606</v>
      </c>
      <c r="C280" s="43" t="s">
        <v>289</v>
      </c>
      <c r="D280" s="43" t="s">
        <v>333</v>
      </c>
      <c r="E280" s="43" t="s">
        <v>230</v>
      </c>
    </row>
    <row r="281" spans="1:5" x14ac:dyDescent="0.25">
      <c r="A281" s="41">
        <v>668</v>
      </c>
      <c r="B281" s="42" t="s">
        <v>607</v>
      </c>
      <c r="C281" s="43" t="s">
        <v>289</v>
      </c>
      <c r="D281" s="43" t="s">
        <v>333</v>
      </c>
      <c r="E281" s="43" t="s">
        <v>230</v>
      </c>
    </row>
    <row r="282" spans="1:5" x14ac:dyDescent="0.25">
      <c r="A282" s="41">
        <v>669</v>
      </c>
      <c r="B282" s="42" t="s">
        <v>608</v>
      </c>
      <c r="C282" s="43" t="s">
        <v>289</v>
      </c>
      <c r="D282" s="43" t="s">
        <v>333</v>
      </c>
      <c r="E282" s="43" t="s">
        <v>230</v>
      </c>
    </row>
    <row r="283" spans="1:5" x14ac:dyDescent="0.25">
      <c r="A283" s="41">
        <v>670</v>
      </c>
      <c r="B283" s="42" t="s">
        <v>609</v>
      </c>
      <c r="C283" s="43" t="s">
        <v>289</v>
      </c>
      <c r="D283" s="43" t="s">
        <v>333</v>
      </c>
      <c r="E283" s="43" t="s">
        <v>230</v>
      </c>
    </row>
    <row r="284" spans="1:5" x14ac:dyDescent="0.25">
      <c r="A284" s="41">
        <v>673</v>
      </c>
      <c r="B284" s="42" t="s">
        <v>610</v>
      </c>
      <c r="C284" s="43" t="s">
        <v>289</v>
      </c>
      <c r="D284" s="43" t="s">
        <v>333</v>
      </c>
      <c r="E284" s="43" t="s">
        <v>230</v>
      </c>
    </row>
    <row r="285" spans="1:5" x14ac:dyDescent="0.25">
      <c r="A285" s="41">
        <v>675</v>
      </c>
      <c r="B285" s="42" t="s">
        <v>611</v>
      </c>
      <c r="C285" s="43" t="s">
        <v>289</v>
      </c>
      <c r="D285" s="43" t="s">
        <v>333</v>
      </c>
      <c r="E285" s="43" t="s">
        <v>230</v>
      </c>
    </row>
    <row r="286" spans="1:5" x14ac:dyDescent="0.25">
      <c r="A286" s="41">
        <v>676</v>
      </c>
      <c r="B286" s="42" t="s">
        <v>612</v>
      </c>
      <c r="C286" s="43" t="s">
        <v>289</v>
      </c>
      <c r="D286" s="43" t="s">
        <v>333</v>
      </c>
      <c r="E286" s="43" t="s">
        <v>230</v>
      </c>
    </row>
    <row r="287" spans="1:5" x14ac:dyDescent="0.25">
      <c r="A287" s="41">
        <v>677</v>
      </c>
      <c r="B287" s="42" t="s">
        <v>613</v>
      </c>
      <c r="C287" s="43" t="s">
        <v>289</v>
      </c>
      <c r="D287" s="43" t="s">
        <v>333</v>
      </c>
      <c r="E287" s="43" t="s">
        <v>230</v>
      </c>
    </row>
    <row r="288" spans="1:5" x14ac:dyDescent="0.25">
      <c r="A288" s="41">
        <v>679</v>
      </c>
      <c r="B288" s="42" t="s">
        <v>614</v>
      </c>
      <c r="C288" s="43" t="s">
        <v>289</v>
      </c>
      <c r="D288" s="43" t="s">
        <v>333</v>
      </c>
      <c r="E288" s="43" t="s">
        <v>230</v>
      </c>
    </row>
    <row r="289" spans="1:5" x14ac:dyDescent="0.25">
      <c r="A289" s="41">
        <v>680</v>
      </c>
      <c r="B289" s="42" t="s">
        <v>615</v>
      </c>
      <c r="C289" s="43" t="s">
        <v>289</v>
      </c>
      <c r="D289" s="43" t="s">
        <v>333</v>
      </c>
      <c r="E289" s="43" t="s">
        <v>230</v>
      </c>
    </row>
    <row r="290" spans="1:5" x14ac:dyDescent="0.25">
      <c r="A290" s="41">
        <v>683</v>
      </c>
      <c r="B290" s="42" t="s">
        <v>616</v>
      </c>
      <c r="C290" s="43" t="s">
        <v>289</v>
      </c>
      <c r="D290" s="43" t="s">
        <v>333</v>
      </c>
      <c r="E290" s="43" t="s">
        <v>230</v>
      </c>
    </row>
    <row r="291" spans="1:5" x14ac:dyDescent="0.25">
      <c r="A291" s="41">
        <v>684</v>
      </c>
      <c r="B291" s="42" t="s">
        <v>617</v>
      </c>
      <c r="C291" s="43" t="s">
        <v>289</v>
      </c>
      <c r="D291" s="43" t="s">
        <v>333</v>
      </c>
      <c r="E291" s="43" t="s">
        <v>230</v>
      </c>
    </row>
    <row r="292" spans="1:5" x14ac:dyDescent="0.25">
      <c r="A292" s="41">
        <v>685</v>
      </c>
      <c r="B292" s="42" t="s">
        <v>618</v>
      </c>
      <c r="C292" s="43" t="s">
        <v>289</v>
      </c>
      <c r="D292" s="43" t="s">
        <v>333</v>
      </c>
      <c r="E292" s="43" t="s">
        <v>230</v>
      </c>
    </row>
    <row r="293" spans="1:5" x14ac:dyDescent="0.25">
      <c r="A293" s="41">
        <v>686</v>
      </c>
      <c r="B293" s="42" t="s">
        <v>619</v>
      </c>
      <c r="C293" s="43" t="s">
        <v>289</v>
      </c>
      <c r="D293" s="43" t="s">
        <v>333</v>
      </c>
      <c r="E293" s="43" t="s">
        <v>230</v>
      </c>
    </row>
    <row r="294" spans="1:5" x14ac:dyDescent="0.25">
      <c r="A294" s="41">
        <v>687</v>
      </c>
      <c r="B294" s="42" t="s">
        <v>620</v>
      </c>
      <c r="C294" s="43" t="s">
        <v>289</v>
      </c>
      <c r="D294" s="43" t="s">
        <v>333</v>
      </c>
      <c r="E294" s="43" t="s">
        <v>230</v>
      </c>
    </row>
    <row r="295" spans="1:5" x14ac:dyDescent="0.25">
      <c r="A295" s="41">
        <v>688</v>
      </c>
      <c r="B295" s="42" t="s">
        <v>621</v>
      </c>
      <c r="C295" s="43" t="s">
        <v>289</v>
      </c>
      <c r="D295" s="43" t="s">
        <v>333</v>
      </c>
      <c r="E295" s="43" t="s">
        <v>230</v>
      </c>
    </row>
    <row r="296" spans="1:5" x14ac:dyDescent="0.25">
      <c r="A296" s="41">
        <v>690</v>
      </c>
      <c r="B296" s="42" t="s">
        <v>622</v>
      </c>
      <c r="C296" s="43" t="s">
        <v>289</v>
      </c>
      <c r="D296" s="43" t="s">
        <v>333</v>
      </c>
      <c r="E296" s="43" t="s">
        <v>230</v>
      </c>
    </row>
    <row r="297" spans="1:5" x14ac:dyDescent="0.25">
      <c r="A297" s="41">
        <v>692</v>
      </c>
      <c r="B297" s="42" t="s">
        <v>623</v>
      </c>
      <c r="C297" s="43" t="s">
        <v>289</v>
      </c>
      <c r="D297" s="43" t="s">
        <v>333</v>
      </c>
      <c r="E297" s="43" t="s">
        <v>230</v>
      </c>
    </row>
    <row r="298" spans="1:5" x14ac:dyDescent="0.25">
      <c r="A298" s="41">
        <v>693</v>
      </c>
      <c r="B298" s="42" t="s">
        <v>624</v>
      </c>
      <c r="C298" s="43" t="s">
        <v>289</v>
      </c>
      <c r="D298" s="43" t="s">
        <v>333</v>
      </c>
      <c r="E298" s="43" t="s">
        <v>230</v>
      </c>
    </row>
    <row r="299" spans="1:5" x14ac:dyDescent="0.25">
      <c r="A299" s="41">
        <v>695</v>
      </c>
      <c r="B299" s="42" t="s">
        <v>625</v>
      </c>
      <c r="C299" s="43" t="s">
        <v>289</v>
      </c>
      <c r="D299" s="43" t="s">
        <v>333</v>
      </c>
      <c r="E299" s="43" t="s">
        <v>230</v>
      </c>
    </row>
    <row r="300" spans="1:5" x14ac:dyDescent="0.25">
      <c r="A300" s="41">
        <v>698</v>
      </c>
      <c r="B300" s="42" t="s">
        <v>626</v>
      </c>
      <c r="C300" s="43" t="s">
        <v>289</v>
      </c>
      <c r="D300" s="43" t="s">
        <v>333</v>
      </c>
      <c r="E300" s="43" t="s">
        <v>230</v>
      </c>
    </row>
    <row r="301" spans="1:5" x14ac:dyDescent="0.25">
      <c r="A301" s="41">
        <v>705</v>
      </c>
      <c r="B301" s="42" t="s">
        <v>627</v>
      </c>
      <c r="C301" s="43" t="s">
        <v>289</v>
      </c>
      <c r="D301" s="43" t="s">
        <v>333</v>
      </c>
      <c r="E301" s="43" t="s">
        <v>230</v>
      </c>
    </row>
    <row r="302" spans="1:5" x14ac:dyDescent="0.25">
      <c r="A302" s="41">
        <v>707</v>
      </c>
      <c r="B302" s="42" t="s">
        <v>628</v>
      </c>
      <c r="C302" s="43" t="s">
        <v>289</v>
      </c>
      <c r="D302" s="43" t="s">
        <v>333</v>
      </c>
      <c r="E302" s="43" t="s">
        <v>230</v>
      </c>
    </row>
    <row r="303" spans="1:5" x14ac:dyDescent="0.25">
      <c r="A303" s="41">
        <v>708</v>
      </c>
      <c r="B303" s="42" t="s">
        <v>629</v>
      </c>
      <c r="C303" s="43" t="s">
        <v>289</v>
      </c>
      <c r="D303" s="43" t="s">
        <v>333</v>
      </c>
      <c r="E303" s="43" t="s">
        <v>230</v>
      </c>
    </row>
    <row r="304" spans="1:5" x14ac:dyDescent="0.25">
      <c r="A304" s="41">
        <v>710</v>
      </c>
      <c r="B304" s="42" t="s">
        <v>630</v>
      </c>
      <c r="C304" s="43" t="s">
        <v>289</v>
      </c>
      <c r="D304" s="43" t="s">
        <v>333</v>
      </c>
      <c r="E304" s="43" t="s">
        <v>230</v>
      </c>
    </row>
    <row r="305" spans="1:5" x14ac:dyDescent="0.25">
      <c r="A305" s="41">
        <v>711</v>
      </c>
      <c r="B305" s="42" t="s">
        <v>631</v>
      </c>
      <c r="C305" s="43" t="s">
        <v>289</v>
      </c>
      <c r="D305" s="43" t="s">
        <v>333</v>
      </c>
      <c r="E305" s="43" t="s">
        <v>230</v>
      </c>
    </row>
    <row r="306" spans="1:5" x14ac:dyDescent="0.25">
      <c r="A306" s="41">
        <v>712</v>
      </c>
      <c r="B306" s="42" t="s">
        <v>632</v>
      </c>
      <c r="C306" s="43" t="s">
        <v>289</v>
      </c>
      <c r="D306" s="43" t="s">
        <v>633</v>
      </c>
      <c r="E306" s="43" t="s">
        <v>230</v>
      </c>
    </row>
    <row r="307" spans="1:5" x14ac:dyDescent="0.25">
      <c r="A307" s="41">
        <v>716</v>
      </c>
      <c r="B307" s="42" t="s">
        <v>634</v>
      </c>
      <c r="C307" s="43" t="s">
        <v>289</v>
      </c>
      <c r="D307" s="43" t="s">
        <v>635</v>
      </c>
      <c r="E307" s="43" t="s">
        <v>336</v>
      </c>
    </row>
    <row r="308" spans="1:5" x14ac:dyDescent="0.25">
      <c r="A308" s="41">
        <v>717</v>
      </c>
      <c r="B308" s="42" t="s">
        <v>636</v>
      </c>
      <c r="C308" s="43" t="s">
        <v>289</v>
      </c>
      <c r="D308" s="43" t="s">
        <v>314</v>
      </c>
      <c r="E308" s="43" t="s">
        <v>404</v>
      </c>
    </row>
    <row r="309" spans="1:5" x14ac:dyDescent="0.25">
      <c r="A309" s="41">
        <v>722</v>
      </c>
      <c r="B309" s="42" t="s">
        <v>637</v>
      </c>
      <c r="C309" s="43" t="s">
        <v>289</v>
      </c>
      <c r="D309" s="43" t="s">
        <v>327</v>
      </c>
      <c r="E309" s="43" t="s">
        <v>354</v>
      </c>
    </row>
    <row r="310" spans="1:5" x14ac:dyDescent="0.25">
      <c r="A310" s="41">
        <v>723</v>
      </c>
      <c r="B310" s="42" t="s">
        <v>638</v>
      </c>
      <c r="C310" s="43" t="s">
        <v>289</v>
      </c>
      <c r="D310" s="43" t="s">
        <v>314</v>
      </c>
      <c r="E310" s="43" t="s">
        <v>230</v>
      </c>
    </row>
    <row r="311" spans="1:5" x14ac:dyDescent="0.25">
      <c r="A311" s="41">
        <v>726</v>
      </c>
      <c r="B311" s="42" t="s">
        <v>639</v>
      </c>
      <c r="C311" s="43" t="s">
        <v>289</v>
      </c>
      <c r="D311" s="43" t="s">
        <v>314</v>
      </c>
      <c r="E311" s="43" t="s">
        <v>404</v>
      </c>
    </row>
    <row r="312" spans="1:5" x14ac:dyDescent="0.25">
      <c r="A312" s="41">
        <v>728</v>
      </c>
      <c r="B312" s="42" t="s">
        <v>640</v>
      </c>
      <c r="C312" s="43" t="s">
        <v>289</v>
      </c>
      <c r="D312" s="43" t="s">
        <v>633</v>
      </c>
      <c r="E312" s="43" t="s">
        <v>230</v>
      </c>
    </row>
    <row r="313" spans="1:5" x14ac:dyDescent="0.25">
      <c r="A313" s="41">
        <v>729</v>
      </c>
      <c r="B313" s="42" t="s">
        <v>641</v>
      </c>
      <c r="C313" s="43" t="s">
        <v>289</v>
      </c>
      <c r="D313" s="43" t="s">
        <v>633</v>
      </c>
      <c r="E313" s="43" t="s">
        <v>230</v>
      </c>
    </row>
    <row r="314" spans="1:5" x14ac:dyDescent="0.25">
      <c r="A314" s="41">
        <v>732</v>
      </c>
      <c r="B314" s="42" t="s">
        <v>642</v>
      </c>
      <c r="C314" s="43" t="s">
        <v>289</v>
      </c>
      <c r="D314" s="43" t="s">
        <v>314</v>
      </c>
      <c r="E314" s="43" t="s">
        <v>230</v>
      </c>
    </row>
    <row r="315" spans="1:5" x14ac:dyDescent="0.25">
      <c r="A315" s="41">
        <v>734</v>
      </c>
      <c r="B315" s="42" t="s">
        <v>643</v>
      </c>
      <c r="C315" s="43" t="s">
        <v>289</v>
      </c>
      <c r="D315" s="43" t="s">
        <v>633</v>
      </c>
      <c r="E315" s="43" t="s">
        <v>230</v>
      </c>
    </row>
    <row r="316" spans="1:5" x14ac:dyDescent="0.25">
      <c r="A316" s="41">
        <v>736</v>
      </c>
      <c r="B316" s="42" t="s">
        <v>644</v>
      </c>
      <c r="C316" s="43" t="s">
        <v>289</v>
      </c>
      <c r="D316" s="43" t="s">
        <v>314</v>
      </c>
      <c r="E316" s="43" t="s">
        <v>230</v>
      </c>
    </row>
    <row r="317" spans="1:5" x14ac:dyDescent="0.25">
      <c r="A317" s="41">
        <v>739</v>
      </c>
      <c r="B317" s="42" t="s">
        <v>645</v>
      </c>
      <c r="C317" s="43" t="s">
        <v>289</v>
      </c>
      <c r="D317" s="43" t="s">
        <v>333</v>
      </c>
      <c r="E317" s="43" t="s">
        <v>230</v>
      </c>
    </row>
    <row r="318" spans="1:5" x14ac:dyDescent="0.25">
      <c r="A318" s="41">
        <v>741</v>
      </c>
      <c r="B318" s="42" t="s">
        <v>646</v>
      </c>
      <c r="C318" s="43" t="s">
        <v>289</v>
      </c>
      <c r="D318" s="43" t="s">
        <v>314</v>
      </c>
      <c r="E318" s="43" t="s">
        <v>230</v>
      </c>
    </row>
    <row r="319" spans="1:5" x14ac:dyDescent="0.25">
      <c r="A319" s="41">
        <v>742</v>
      </c>
      <c r="B319" s="42" t="s">
        <v>647</v>
      </c>
      <c r="C319" s="43" t="s">
        <v>289</v>
      </c>
      <c r="D319" s="43" t="s">
        <v>633</v>
      </c>
      <c r="E319" s="43" t="s">
        <v>230</v>
      </c>
    </row>
    <row r="320" spans="1:5" x14ac:dyDescent="0.25">
      <c r="A320" s="41">
        <v>743</v>
      </c>
      <c r="B320" s="42" t="s">
        <v>648</v>
      </c>
      <c r="C320" s="43" t="s">
        <v>289</v>
      </c>
      <c r="D320" s="43" t="s">
        <v>314</v>
      </c>
      <c r="E320" s="43" t="s">
        <v>336</v>
      </c>
    </row>
    <row r="321" spans="1:5" x14ac:dyDescent="0.25">
      <c r="A321" s="41">
        <v>744</v>
      </c>
      <c r="B321" s="42" t="s">
        <v>649</v>
      </c>
      <c r="C321" s="43" t="s">
        <v>289</v>
      </c>
      <c r="D321" s="43" t="s">
        <v>314</v>
      </c>
      <c r="E321" s="43" t="s">
        <v>336</v>
      </c>
    </row>
    <row r="322" spans="1:5" x14ac:dyDescent="0.25">
      <c r="A322" s="41">
        <v>746</v>
      </c>
      <c r="B322" s="42" t="s">
        <v>650</v>
      </c>
      <c r="C322" s="43" t="s">
        <v>289</v>
      </c>
      <c r="D322" s="43" t="s">
        <v>410</v>
      </c>
      <c r="E322" s="43" t="s">
        <v>230</v>
      </c>
    </row>
    <row r="323" spans="1:5" x14ac:dyDescent="0.25">
      <c r="A323" s="41">
        <v>747</v>
      </c>
      <c r="B323" s="42" t="s">
        <v>651</v>
      </c>
      <c r="C323" s="43" t="s">
        <v>289</v>
      </c>
      <c r="D323" s="43" t="s">
        <v>410</v>
      </c>
      <c r="E323" s="43" t="s">
        <v>230</v>
      </c>
    </row>
    <row r="324" spans="1:5" x14ac:dyDescent="0.25">
      <c r="A324" s="41">
        <v>751</v>
      </c>
      <c r="B324" s="42" t="s">
        <v>652</v>
      </c>
      <c r="C324" s="43" t="s">
        <v>289</v>
      </c>
      <c r="D324" s="43" t="s">
        <v>314</v>
      </c>
      <c r="E324" s="43" t="s">
        <v>336</v>
      </c>
    </row>
    <row r="325" spans="1:5" x14ac:dyDescent="0.25">
      <c r="A325" s="41">
        <v>752</v>
      </c>
      <c r="B325" s="42" t="s">
        <v>653</v>
      </c>
      <c r="C325" s="43" t="s">
        <v>289</v>
      </c>
      <c r="D325" s="43" t="s">
        <v>314</v>
      </c>
      <c r="E325" s="43" t="s">
        <v>336</v>
      </c>
    </row>
    <row r="326" spans="1:5" x14ac:dyDescent="0.25">
      <c r="A326" s="41">
        <v>753</v>
      </c>
      <c r="B326" s="42" t="s">
        <v>654</v>
      </c>
      <c r="C326" s="43" t="s">
        <v>289</v>
      </c>
      <c r="D326" s="43" t="s">
        <v>410</v>
      </c>
      <c r="E326" s="43" t="s">
        <v>230</v>
      </c>
    </row>
    <row r="327" spans="1:5" x14ac:dyDescent="0.25">
      <c r="A327" s="41">
        <v>754</v>
      </c>
      <c r="B327" s="42" t="s">
        <v>655</v>
      </c>
      <c r="C327" s="43" t="s">
        <v>289</v>
      </c>
      <c r="D327" s="43" t="s">
        <v>410</v>
      </c>
      <c r="E327" s="43" t="s">
        <v>230</v>
      </c>
    </row>
    <row r="328" spans="1:5" x14ac:dyDescent="0.25">
      <c r="A328" s="41">
        <v>755</v>
      </c>
      <c r="B328" s="42" t="s">
        <v>656</v>
      </c>
      <c r="C328" s="43" t="s">
        <v>289</v>
      </c>
      <c r="D328" s="43" t="s">
        <v>410</v>
      </c>
      <c r="E328" s="43" t="s">
        <v>230</v>
      </c>
    </row>
    <row r="329" spans="1:5" x14ac:dyDescent="0.25">
      <c r="A329" s="41">
        <v>756</v>
      </c>
      <c r="B329" s="42" t="s">
        <v>657</v>
      </c>
      <c r="C329" s="43" t="s">
        <v>289</v>
      </c>
      <c r="D329" s="43" t="s">
        <v>410</v>
      </c>
      <c r="E329" s="43" t="s">
        <v>230</v>
      </c>
    </row>
    <row r="330" spans="1:5" x14ac:dyDescent="0.25">
      <c r="A330" s="41">
        <v>757</v>
      </c>
      <c r="B330" s="42" t="s">
        <v>658</v>
      </c>
      <c r="C330" s="43" t="s">
        <v>289</v>
      </c>
      <c r="D330" s="43" t="s">
        <v>410</v>
      </c>
      <c r="E330" s="43" t="s">
        <v>230</v>
      </c>
    </row>
    <row r="331" spans="1:5" x14ac:dyDescent="0.25">
      <c r="A331" s="41">
        <v>758</v>
      </c>
      <c r="B331" s="42" t="s">
        <v>659</v>
      </c>
      <c r="C331" s="43" t="s">
        <v>289</v>
      </c>
      <c r="D331" s="43" t="s">
        <v>410</v>
      </c>
      <c r="E331" s="43" t="s">
        <v>230</v>
      </c>
    </row>
    <row r="332" spans="1:5" x14ac:dyDescent="0.25">
      <c r="A332" s="41">
        <v>760</v>
      </c>
      <c r="B332" s="42" t="s">
        <v>660</v>
      </c>
      <c r="C332" s="43" t="s">
        <v>289</v>
      </c>
      <c r="D332" s="43" t="s">
        <v>410</v>
      </c>
      <c r="E332" s="43" t="s">
        <v>230</v>
      </c>
    </row>
    <row r="333" spans="1:5" x14ac:dyDescent="0.25">
      <c r="A333" s="41">
        <v>761</v>
      </c>
      <c r="B333" s="42" t="s">
        <v>661</v>
      </c>
      <c r="C333" s="43" t="s">
        <v>289</v>
      </c>
      <c r="D333" s="43" t="s">
        <v>410</v>
      </c>
      <c r="E333" s="43" t="s">
        <v>230</v>
      </c>
    </row>
    <row r="334" spans="1:5" x14ac:dyDescent="0.25">
      <c r="A334" s="41">
        <v>763</v>
      </c>
      <c r="B334" s="42" t="s">
        <v>662</v>
      </c>
      <c r="C334" s="43" t="s">
        <v>289</v>
      </c>
      <c r="D334" s="43" t="s">
        <v>410</v>
      </c>
      <c r="E334" s="43" t="s">
        <v>230</v>
      </c>
    </row>
    <row r="335" spans="1:5" x14ac:dyDescent="0.25">
      <c r="A335" s="41">
        <v>764</v>
      </c>
      <c r="B335" s="42" t="s">
        <v>663</v>
      </c>
      <c r="C335" s="43" t="s">
        <v>289</v>
      </c>
      <c r="D335" s="43" t="s">
        <v>468</v>
      </c>
      <c r="E335" s="43" t="s">
        <v>230</v>
      </c>
    </row>
    <row r="336" spans="1:5" x14ac:dyDescent="0.25">
      <c r="A336" s="41">
        <v>765</v>
      </c>
      <c r="B336" s="42" t="s">
        <v>664</v>
      </c>
      <c r="C336" s="43" t="s">
        <v>289</v>
      </c>
      <c r="D336" s="43" t="s">
        <v>410</v>
      </c>
      <c r="E336" s="43" t="s">
        <v>230</v>
      </c>
    </row>
    <row r="337" spans="1:5" x14ac:dyDescent="0.25">
      <c r="A337" s="41">
        <v>766</v>
      </c>
      <c r="B337" s="42" t="s">
        <v>665</v>
      </c>
      <c r="C337" s="43" t="s">
        <v>289</v>
      </c>
      <c r="D337" s="43" t="s">
        <v>410</v>
      </c>
      <c r="E337" s="43" t="s">
        <v>230</v>
      </c>
    </row>
    <row r="338" spans="1:5" x14ac:dyDescent="0.25">
      <c r="A338" s="41">
        <v>767</v>
      </c>
      <c r="B338" s="42" t="s">
        <v>666</v>
      </c>
      <c r="C338" s="43" t="s">
        <v>289</v>
      </c>
      <c r="D338" s="43" t="s">
        <v>468</v>
      </c>
      <c r="E338" s="43" t="s">
        <v>230</v>
      </c>
    </row>
    <row r="339" spans="1:5" x14ac:dyDescent="0.25">
      <c r="A339" s="41">
        <v>769</v>
      </c>
      <c r="B339" s="42" t="s">
        <v>667</v>
      </c>
      <c r="C339" s="43" t="s">
        <v>289</v>
      </c>
      <c r="D339" s="43" t="s">
        <v>290</v>
      </c>
      <c r="E339" s="43" t="s">
        <v>230</v>
      </c>
    </row>
    <row r="340" spans="1:5" x14ac:dyDescent="0.25">
      <c r="A340" s="41">
        <v>770</v>
      </c>
      <c r="B340" s="42" t="s">
        <v>668</v>
      </c>
      <c r="C340" s="43" t="s">
        <v>289</v>
      </c>
      <c r="D340" s="43" t="s">
        <v>316</v>
      </c>
      <c r="E340" s="43" t="s">
        <v>230</v>
      </c>
    </row>
    <row r="341" spans="1:5" x14ac:dyDescent="0.25">
      <c r="A341" s="41">
        <v>772</v>
      </c>
      <c r="B341" s="42" t="s">
        <v>669</v>
      </c>
      <c r="C341" s="43" t="s">
        <v>289</v>
      </c>
      <c r="D341" s="43" t="s">
        <v>410</v>
      </c>
      <c r="E341" s="43" t="s">
        <v>230</v>
      </c>
    </row>
    <row r="342" spans="1:5" x14ac:dyDescent="0.25">
      <c r="A342" s="41">
        <v>773</v>
      </c>
      <c r="B342" s="42" t="s">
        <v>670</v>
      </c>
      <c r="C342" s="43" t="s">
        <v>289</v>
      </c>
      <c r="D342" s="43" t="s">
        <v>410</v>
      </c>
      <c r="E342" s="43" t="s">
        <v>230</v>
      </c>
    </row>
    <row r="343" spans="1:5" x14ac:dyDescent="0.25">
      <c r="A343" s="41">
        <v>774</v>
      </c>
      <c r="B343" s="42" t="s">
        <v>671</v>
      </c>
      <c r="C343" s="43" t="s">
        <v>289</v>
      </c>
      <c r="D343" s="43" t="s">
        <v>410</v>
      </c>
      <c r="E343" s="43" t="s">
        <v>230</v>
      </c>
    </row>
    <row r="344" spans="1:5" x14ac:dyDescent="0.25">
      <c r="A344" s="41">
        <v>776</v>
      </c>
      <c r="B344" s="42" t="s">
        <v>672</v>
      </c>
      <c r="C344" s="43" t="s">
        <v>289</v>
      </c>
      <c r="D344" s="43" t="s">
        <v>474</v>
      </c>
      <c r="E344" s="43" t="s">
        <v>531</v>
      </c>
    </row>
    <row r="345" spans="1:5" x14ac:dyDescent="0.25">
      <c r="A345" s="41">
        <v>777</v>
      </c>
      <c r="B345" s="42" t="s">
        <v>673</v>
      </c>
      <c r="C345" s="43" t="s">
        <v>289</v>
      </c>
      <c r="D345" s="43" t="s">
        <v>316</v>
      </c>
      <c r="E345" s="43" t="s">
        <v>230</v>
      </c>
    </row>
    <row r="346" spans="1:5" x14ac:dyDescent="0.25">
      <c r="A346" s="41">
        <v>778</v>
      </c>
      <c r="B346" s="42" t="s">
        <v>674</v>
      </c>
      <c r="C346" s="43" t="s">
        <v>289</v>
      </c>
      <c r="D346" s="43" t="s">
        <v>474</v>
      </c>
      <c r="E346" s="43" t="s">
        <v>336</v>
      </c>
    </row>
    <row r="347" spans="1:5" x14ac:dyDescent="0.25">
      <c r="A347" s="41">
        <v>779</v>
      </c>
      <c r="B347" s="42" t="s">
        <v>675</v>
      </c>
      <c r="C347" s="43" t="s">
        <v>289</v>
      </c>
      <c r="D347" s="43" t="s">
        <v>410</v>
      </c>
      <c r="E347" s="43" t="s">
        <v>230</v>
      </c>
    </row>
    <row r="348" spans="1:5" x14ac:dyDescent="0.25">
      <c r="A348" s="41">
        <v>780</v>
      </c>
      <c r="B348" s="42" t="s">
        <v>676</v>
      </c>
      <c r="C348" s="43" t="s">
        <v>289</v>
      </c>
      <c r="D348" s="43" t="s">
        <v>410</v>
      </c>
      <c r="E348" s="43" t="s">
        <v>230</v>
      </c>
    </row>
    <row r="349" spans="1:5" x14ac:dyDescent="0.25">
      <c r="A349" s="41">
        <v>782</v>
      </c>
      <c r="B349" s="42" t="s">
        <v>677</v>
      </c>
      <c r="C349" s="43" t="s">
        <v>289</v>
      </c>
      <c r="D349" s="43" t="s">
        <v>410</v>
      </c>
      <c r="E349" s="43" t="s">
        <v>230</v>
      </c>
    </row>
    <row r="350" spans="1:5" x14ac:dyDescent="0.25">
      <c r="A350" s="41">
        <v>783</v>
      </c>
      <c r="B350" s="42" t="s">
        <v>678</v>
      </c>
      <c r="C350" s="43" t="s">
        <v>289</v>
      </c>
      <c r="D350" s="43" t="s">
        <v>290</v>
      </c>
      <c r="E350" s="43" t="s">
        <v>230</v>
      </c>
    </row>
    <row r="351" spans="1:5" x14ac:dyDescent="0.25">
      <c r="A351" s="41">
        <v>785</v>
      </c>
      <c r="B351" s="42" t="s">
        <v>679</v>
      </c>
      <c r="C351" s="43" t="s">
        <v>289</v>
      </c>
      <c r="D351" s="43" t="s">
        <v>327</v>
      </c>
      <c r="E351" s="43" t="s">
        <v>230</v>
      </c>
    </row>
    <row r="352" spans="1:5" x14ac:dyDescent="0.25">
      <c r="A352" s="41">
        <v>788</v>
      </c>
      <c r="B352" s="42" t="s">
        <v>680</v>
      </c>
      <c r="C352" s="43" t="s">
        <v>289</v>
      </c>
      <c r="D352" s="43" t="s">
        <v>327</v>
      </c>
      <c r="E352" s="43" t="s">
        <v>230</v>
      </c>
    </row>
    <row r="353" spans="1:5" x14ac:dyDescent="0.25">
      <c r="A353" s="41">
        <v>791</v>
      </c>
      <c r="B353" s="42" t="s">
        <v>681</v>
      </c>
      <c r="C353" s="43" t="s">
        <v>289</v>
      </c>
      <c r="D353" s="43" t="s">
        <v>682</v>
      </c>
      <c r="E353" s="43" t="s">
        <v>230</v>
      </c>
    </row>
    <row r="354" spans="1:5" x14ac:dyDescent="0.25">
      <c r="A354" s="41">
        <v>792</v>
      </c>
      <c r="B354" s="42" t="s">
        <v>683</v>
      </c>
      <c r="C354" s="43" t="s">
        <v>289</v>
      </c>
      <c r="D354" s="43" t="s">
        <v>682</v>
      </c>
      <c r="E354" s="43" t="s">
        <v>230</v>
      </c>
    </row>
    <row r="355" spans="1:5" x14ac:dyDescent="0.25">
      <c r="A355" s="41">
        <v>793</v>
      </c>
      <c r="B355" s="42" t="s">
        <v>684</v>
      </c>
      <c r="C355" s="43" t="s">
        <v>289</v>
      </c>
      <c r="D355" s="43" t="s">
        <v>682</v>
      </c>
      <c r="E355" s="43" t="s">
        <v>230</v>
      </c>
    </row>
    <row r="356" spans="1:5" x14ac:dyDescent="0.25">
      <c r="A356" s="41">
        <v>794</v>
      </c>
      <c r="B356" s="42" t="s">
        <v>685</v>
      </c>
      <c r="C356" s="43" t="s">
        <v>289</v>
      </c>
      <c r="D356" s="43" t="s">
        <v>682</v>
      </c>
      <c r="E356" s="43" t="s">
        <v>230</v>
      </c>
    </row>
    <row r="357" spans="1:5" x14ac:dyDescent="0.25">
      <c r="A357" s="41">
        <v>795</v>
      </c>
      <c r="B357" s="42" t="s">
        <v>686</v>
      </c>
      <c r="C357" s="43" t="s">
        <v>289</v>
      </c>
      <c r="D357" s="43" t="s">
        <v>682</v>
      </c>
      <c r="E357" s="43" t="s">
        <v>454</v>
      </c>
    </row>
    <row r="358" spans="1:5" x14ac:dyDescent="0.25">
      <c r="A358" s="41">
        <v>796</v>
      </c>
      <c r="B358" s="42" t="s">
        <v>687</v>
      </c>
      <c r="C358" s="43" t="s">
        <v>289</v>
      </c>
      <c r="D358" s="43" t="s">
        <v>682</v>
      </c>
      <c r="E358" s="43" t="s">
        <v>454</v>
      </c>
    </row>
    <row r="359" spans="1:5" x14ac:dyDescent="0.25">
      <c r="A359" s="41">
        <v>797</v>
      </c>
      <c r="B359" s="42" t="s">
        <v>688</v>
      </c>
      <c r="C359" s="43" t="s">
        <v>289</v>
      </c>
      <c r="D359" s="43" t="s">
        <v>466</v>
      </c>
      <c r="E359" s="43" t="s">
        <v>454</v>
      </c>
    </row>
    <row r="360" spans="1:5" x14ac:dyDescent="0.25">
      <c r="A360" s="41">
        <v>798</v>
      </c>
      <c r="B360" s="42" t="s">
        <v>689</v>
      </c>
      <c r="C360" s="43" t="s">
        <v>289</v>
      </c>
      <c r="D360" s="43" t="s">
        <v>682</v>
      </c>
      <c r="E360" s="43" t="s">
        <v>230</v>
      </c>
    </row>
    <row r="361" spans="1:5" x14ac:dyDescent="0.25">
      <c r="A361" s="41">
        <v>799</v>
      </c>
      <c r="B361" s="42" t="s">
        <v>690</v>
      </c>
      <c r="C361" s="43" t="s">
        <v>289</v>
      </c>
      <c r="D361" s="43" t="s">
        <v>466</v>
      </c>
      <c r="E361" s="43" t="s">
        <v>230</v>
      </c>
    </row>
    <row r="362" spans="1:5" x14ac:dyDescent="0.25">
      <c r="A362" s="41">
        <v>800</v>
      </c>
      <c r="B362" s="42" t="s">
        <v>691</v>
      </c>
      <c r="C362" s="43" t="s">
        <v>289</v>
      </c>
      <c r="D362" s="43" t="s">
        <v>682</v>
      </c>
      <c r="E362" s="43" t="s">
        <v>230</v>
      </c>
    </row>
    <row r="363" spans="1:5" x14ac:dyDescent="0.25">
      <c r="A363" s="41">
        <v>801</v>
      </c>
      <c r="B363" s="42" t="s">
        <v>692</v>
      </c>
      <c r="C363" s="43" t="s">
        <v>289</v>
      </c>
      <c r="D363" s="43" t="s">
        <v>682</v>
      </c>
      <c r="E363" s="43" t="s">
        <v>230</v>
      </c>
    </row>
    <row r="364" spans="1:5" x14ac:dyDescent="0.25">
      <c r="A364" s="41">
        <v>823</v>
      </c>
      <c r="B364" s="42" t="s">
        <v>693</v>
      </c>
      <c r="C364" s="43" t="s">
        <v>289</v>
      </c>
      <c r="D364" s="43" t="s">
        <v>694</v>
      </c>
      <c r="E364" s="43" t="s">
        <v>230</v>
      </c>
    </row>
    <row r="365" spans="1:5" x14ac:dyDescent="0.25">
      <c r="A365" s="41">
        <v>831</v>
      </c>
      <c r="B365" s="42" t="s">
        <v>695</v>
      </c>
      <c r="C365" s="43" t="s">
        <v>289</v>
      </c>
      <c r="D365" s="43" t="s">
        <v>316</v>
      </c>
      <c r="E365" s="43" t="s">
        <v>230</v>
      </c>
    </row>
    <row r="366" spans="1:5" x14ac:dyDescent="0.25">
      <c r="A366" s="41">
        <v>842</v>
      </c>
      <c r="B366" s="42" t="s">
        <v>696</v>
      </c>
      <c r="C366" s="43" t="s">
        <v>289</v>
      </c>
      <c r="D366" s="43" t="s">
        <v>327</v>
      </c>
      <c r="E366" s="43" t="s">
        <v>230</v>
      </c>
    </row>
    <row r="367" spans="1:5" x14ac:dyDescent="0.25">
      <c r="A367" s="41">
        <v>863</v>
      </c>
      <c r="B367" s="42" t="s">
        <v>697</v>
      </c>
      <c r="C367" s="43" t="s">
        <v>289</v>
      </c>
      <c r="D367" s="43" t="s">
        <v>694</v>
      </c>
      <c r="E367" s="43" t="s">
        <v>230</v>
      </c>
    </row>
    <row r="368" spans="1:5" x14ac:dyDescent="0.25">
      <c r="A368" s="41">
        <v>868</v>
      </c>
      <c r="B368" s="42" t="s">
        <v>698</v>
      </c>
      <c r="C368" s="43" t="s">
        <v>289</v>
      </c>
      <c r="D368" s="43" t="s">
        <v>290</v>
      </c>
      <c r="E368" s="43" t="s">
        <v>230</v>
      </c>
    </row>
    <row r="369" spans="1:5" x14ac:dyDescent="0.25">
      <c r="A369" s="41">
        <v>869</v>
      </c>
      <c r="B369" s="42" t="s">
        <v>699</v>
      </c>
      <c r="C369" s="43" t="s">
        <v>289</v>
      </c>
      <c r="D369" s="43" t="s">
        <v>290</v>
      </c>
      <c r="E369" s="43" t="s">
        <v>230</v>
      </c>
    </row>
    <row r="370" spans="1:5" x14ac:dyDescent="0.25">
      <c r="A370" s="41">
        <v>871</v>
      </c>
      <c r="B370" s="42" t="s">
        <v>700</v>
      </c>
      <c r="C370" s="43" t="s">
        <v>289</v>
      </c>
      <c r="D370" s="43" t="s">
        <v>290</v>
      </c>
      <c r="E370" s="43" t="s">
        <v>230</v>
      </c>
    </row>
    <row r="371" spans="1:5" x14ac:dyDescent="0.25">
      <c r="A371" s="41">
        <v>881</v>
      </c>
      <c r="B371" s="42" t="s">
        <v>701</v>
      </c>
      <c r="C371" s="43" t="s">
        <v>289</v>
      </c>
      <c r="D371" s="43" t="s">
        <v>702</v>
      </c>
      <c r="E371" s="43" t="s">
        <v>336</v>
      </c>
    </row>
    <row r="372" spans="1:5" x14ac:dyDescent="0.25">
      <c r="A372" s="41">
        <v>887</v>
      </c>
      <c r="B372" s="42" t="s">
        <v>703</v>
      </c>
      <c r="C372" s="43" t="s">
        <v>289</v>
      </c>
      <c r="D372" s="43" t="s">
        <v>290</v>
      </c>
      <c r="E372" s="43" t="s">
        <v>230</v>
      </c>
    </row>
    <row r="373" spans="1:5" x14ac:dyDescent="0.25">
      <c r="A373" s="41">
        <v>894</v>
      </c>
      <c r="B373" s="42" t="s">
        <v>704</v>
      </c>
      <c r="C373" s="43" t="s">
        <v>289</v>
      </c>
      <c r="D373" s="43" t="s">
        <v>333</v>
      </c>
      <c r="E373" s="43" t="s">
        <v>464</v>
      </c>
    </row>
    <row r="374" spans="1:5" x14ac:dyDescent="0.25">
      <c r="A374" s="41">
        <v>895</v>
      </c>
      <c r="B374" s="42" t="s">
        <v>705</v>
      </c>
      <c r="C374" s="43" t="s">
        <v>289</v>
      </c>
      <c r="D374" s="43" t="s">
        <v>410</v>
      </c>
      <c r="E374" s="43" t="s">
        <v>464</v>
      </c>
    </row>
    <row r="375" spans="1:5" x14ac:dyDescent="0.25">
      <c r="A375" s="41">
        <v>897</v>
      </c>
      <c r="B375" s="42" t="s">
        <v>706</v>
      </c>
      <c r="C375" s="43" t="s">
        <v>289</v>
      </c>
      <c r="D375" s="43" t="s">
        <v>290</v>
      </c>
      <c r="E375" s="43" t="s">
        <v>230</v>
      </c>
    </row>
    <row r="376" spans="1:5" x14ac:dyDescent="0.25">
      <c r="A376" s="41">
        <v>903</v>
      </c>
      <c r="B376" s="42" t="s">
        <v>707</v>
      </c>
      <c r="C376" s="43" t="s">
        <v>289</v>
      </c>
      <c r="D376" s="43" t="s">
        <v>433</v>
      </c>
      <c r="E376" s="43" t="s">
        <v>230</v>
      </c>
    </row>
    <row r="377" spans="1:5" x14ac:dyDescent="0.25">
      <c r="A377" s="41">
        <v>910</v>
      </c>
      <c r="B377" s="42" t="s">
        <v>708</v>
      </c>
      <c r="C377" s="43" t="s">
        <v>289</v>
      </c>
      <c r="D377" s="43" t="s">
        <v>433</v>
      </c>
      <c r="E377" s="43" t="s">
        <v>230</v>
      </c>
    </row>
    <row r="378" spans="1:5" x14ac:dyDescent="0.25">
      <c r="A378" s="41">
        <v>912</v>
      </c>
      <c r="B378" s="42" t="s">
        <v>709</v>
      </c>
      <c r="C378" s="43" t="s">
        <v>289</v>
      </c>
      <c r="D378" s="43" t="s">
        <v>433</v>
      </c>
      <c r="E378" s="43" t="s">
        <v>230</v>
      </c>
    </row>
    <row r="379" spans="1:5" x14ac:dyDescent="0.25">
      <c r="A379" s="41">
        <v>915</v>
      </c>
      <c r="B379" s="42" t="s">
        <v>710</v>
      </c>
      <c r="C379" s="43" t="s">
        <v>289</v>
      </c>
      <c r="D379" s="43" t="s">
        <v>433</v>
      </c>
      <c r="E379" s="43" t="s">
        <v>230</v>
      </c>
    </row>
    <row r="380" spans="1:5" x14ac:dyDescent="0.25">
      <c r="A380" s="41">
        <v>917</v>
      </c>
      <c r="B380" s="42" t="s">
        <v>711</v>
      </c>
      <c r="C380" s="43" t="s">
        <v>289</v>
      </c>
      <c r="D380" s="43" t="s">
        <v>433</v>
      </c>
      <c r="E380" s="43" t="s">
        <v>230</v>
      </c>
    </row>
    <row r="381" spans="1:5" x14ac:dyDescent="0.25">
      <c r="A381" s="41">
        <v>920</v>
      </c>
      <c r="B381" s="42" t="s">
        <v>712</v>
      </c>
      <c r="C381" s="43" t="s">
        <v>289</v>
      </c>
      <c r="D381" s="43" t="s">
        <v>327</v>
      </c>
      <c r="E381" s="43" t="s">
        <v>230</v>
      </c>
    </row>
    <row r="382" spans="1:5" x14ac:dyDescent="0.25">
      <c r="A382" s="41">
        <v>933</v>
      </c>
      <c r="B382" s="42" t="s">
        <v>713</v>
      </c>
      <c r="C382" s="43" t="s">
        <v>289</v>
      </c>
      <c r="D382" s="43" t="s">
        <v>327</v>
      </c>
      <c r="E382" s="43" t="s">
        <v>230</v>
      </c>
    </row>
    <row r="383" spans="1:5" x14ac:dyDescent="0.25">
      <c r="A383" s="41">
        <v>934</v>
      </c>
      <c r="B383" s="42" t="s">
        <v>714</v>
      </c>
      <c r="C383" s="43" t="s">
        <v>289</v>
      </c>
      <c r="D383" s="43" t="s">
        <v>327</v>
      </c>
      <c r="E383" s="43" t="s">
        <v>230</v>
      </c>
    </row>
    <row r="384" spans="1:5" x14ac:dyDescent="0.25">
      <c r="A384" s="41">
        <v>938</v>
      </c>
      <c r="B384" s="42" t="s">
        <v>715</v>
      </c>
      <c r="C384" s="43" t="s">
        <v>289</v>
      </c>
      <c r="D384" s="43" t="s">
        <v>333</v>
      </c>
      <c r="E384" s="43" t="s">
        <v>230</v>
      </c>
    </row>
    <row r="385" spans="1:5" x14ac:dyDescent="0.25">
      <c r="A385" s="41">
        <v>942</v>
      </c>
      <c r="B385" s="42" t="s">
        <v>716</v>
      </c>
      <c r="C385" s="43" t="s">
        <v>289</v>
      </c>
      <c r="D385" s="43" t="s">
        <v>375</v>
      </c>
      <c r="E385" s="43" t="s">
        <v>717</v>
      </c>
    </row>
    <row r="386" spans="1:5" x14ac:dyDescent="0.25">
      <c r="A386" s="41">
        <v>949</v>
      </c>
      <c r="B386" s="42" t="s">
        <v>718</v>
      </c>
      <c r="C386" s="43" t="s">
        <v>289</v>
      </c>
      <c r="D386" s="43" t="s">
        <v>290</v>
      </c>
      <c r="E386" s="43" t="s">
        <v>230</v>
      </c>
    </row>
    <row r="387" spans="1:5" x14ac:dyDescent="0.25">
      <c r="A387" s="41">
        <v>951</v>
      </c>
      <c r="B387" s="42" t="s">
        <v>719</v>
      </c>
      <c r="C387" s="43" t="s">
        <v>289</v>
      </c>
      <c r="D387" s="43" t="s">
        <v>290</v>
      </c>
      <c r="E387" s="43" t="s">
        <v>230</v>
      </c>
    </row>
    <row r="388" spans="1:5" x14ac:dyDescent="0.25">
      <c r="A388" s="41">
        <v>956</v>
      </c>
      <c r="B388" s="42" t="s">
        <v>720</v>
      </c>
      <c r="C388" s="43" t="s">
        <v>289</v>
      </c>
      <c r="D388" s="43" t="s">
        <v>290</v>
      </c>
      <c r="E388" s="43" t="s">
        <v>230</v>
      </c>
    </row>
    <row r="389" spans="1:5" x14ac:dyDescent="0.25">
      <c r="A389" s="41">
        <v>968</v>
      </c>
      <c r="B389" s="42" t="s">
        <v>721</v>
      </c>
      <c r="C389" s="43" t="s">
        <v>289</v>
      </c>
      <c r="D389" s="43" t="s">
        <v>290</v>
      </c>
      <c r="E389" s="43" t="s">
        <v>230</v>
      </c>
    </row>
    <row r="390" spans="1:5" x14ac:dyDescent="0.25">
      <c r="A390" s="41">
        <v>969</v>
      </c>
      <c r="B390" s="42" t="s">
        <v>722</v>
      </c>
      <c r="C390" s="43" t="s">
        <v>289</v>
      </c>
      <c r="D390" s="43" t="s">
        <v>290</v>
      </c>
      <c r="E390" s="43" t="s">
        <v>230</v>
      </c>
    </row>
    <row r="391" spans="1:5" x14ac:dyDescent="0.25">
      <c r="A391" s="41">
        <v>974</v>
      </c>
      <c r="B391" s="42" t="s">
        <v>723</v>
      </c>
      <c r="C391" s="43" t="s">
        <v>289</v>
      </c>
      <c r="D391" s="43" t="s">
        <v>290</v>
      </c>
      <c r="E391" s="43" t="s">
        <v>230</v>
      </c>
    </row>
    <row r="392" spans="1:5" x14ac:dyDescent="0.25">
      <c r="A392" s="41">
        <v>979</v>
      </c>
      <c r="B392" s="42" t="s">
        <v>724</v>
      </c>
      <c r="C392" s="43" t="s">
        <v>289</v>
      </c>
      <c r="D392" s="43" t="s">
        <v>290</v>
      </c>
      <c r="E392" s="43" t="s">
        <v>230</v>
      </c>
    </row>
    <row r="393" spans="1:5" x14ac:dyDescent="0.25">
      <c r="A393" s="41">
        <v>984</v>
      </c>
      <c r="B393" s="42" t="s">
        <v>725</v>
      </c>
      <c r="C393" s="43" t="s">
        <v>289</v>
      </c>
      <c r="D393" s="43" t="s">
        <v>290</v>
      </c>
      <c r="E393" s="43" t="s">
        <v>230</v>
      </c>
    </row>
    <row r="394" spans="1:5" x14ac:dyDescent="0.25">
      <c r="A394" s="41">
        <v>1005</v>
      </c>
      <c r="B394" s="42" t="s">
        <v>726</v>
      </c>
      <c r="C394" s="43" t="s">
        <v>289</v>
      </c>
      <c r="D394" s="43" t="s">
        <v>375</v>
      </c>
      <c r="E394" s="43" t="s">
        <v>385</v>
      </c>
    </row>
    <row r="395" spans="1:5" x14ac:dyDescent="0.25">
      <c r="A395" s="41">
        <v>1017</v>
      </c>
      <c r="B395" s="42" t="s">
        <v>727</v>
      </c>
      <c r="C395" s="43" t="s">
        <v>289</v>
      </c>
      <c r="D395" s="43" t="s">
        <v>375</v>
      </c>
      <c r="E395" s="43" t="s">
        <v>385</v>
      </c>
    </row>
    <row r="396" spans="1:5" x14ac:dyDescent="0.25">
      <c r="A396" s="41">
        <v>1018</v>
      </c>
      <c r="B396" s="42" t="s">
        <v>728</v>
      </c>
      <c r="C396" s="43" t="s">
        <v>289</v>
      </c>
      <c r="D396" s="43" t="s">
        <v>290</v>
      </c>
      <c r="E396" s="43" t="s">
        <v>531</v>
      </c>
    </row>
    <row r="397" spans="1:5" x14ac:dyDescent="0.25">
      <c r="A397" s="41">
        <v>1019</v>
      </c>
      <c r="B397" s="42" t="s">
        <v>729</v>
      </c>
      <c r="C397" s="43" t="s">
        <v>289</v>
      </c>
      <c r="D397" s="43" t="s">
        <v>290</v>
      </c>
      <c r="E397" s="43" t="s">
        <v>531</v>
      </c>
    </row>
    <row r="398" spans="1:5" x14ac:dyDescent="0.25">
      <c r="A398" s="41">
        <v>1025</v>
      </c>
      <c r="B398" s="42" t="s">
        <v>730</v>
      </c>
      <c r="C398" s="43" t="s">
        <v>289</v>
      </c>
      <c r="D398" s="43" t="s">
        <v>494</v>
      </c>
      <c r="E398" s="43" t="s">
        <v>230</v>
      </c>
    </row>
    <row r="399" spans="1:5" x14ac:dyDescent="0.25">
      <c r="A399" s="41">
        <v>1034</v>
      </c>
      <c r="B399" s="42" t="s">
        <v>731</v>
      </c>
      <c r="C399" s="43" t="s">
        <v>289</v>
      </c>
      <c r="D399" s="43" t="s">
        <v>333</v>
      </c>
      <c r="E399" s="43" t="s">
        <v>230</v>
      </c>
    </row>
    <row r="400" spans="1:5" x14ac:dyDescent="0.25">
      <c r="A400" s="41">
        <v>1035</v>
      </c>
      <c r="B400" s="42" t="s">
        <v>732</v>
      </c>
      <c r="C400" s="43" t="s">
        <v>289</v>
      </c>
      <c r="D400" s="43" t="s">
        <v>290</v>
      </c>
      <c r="E400" s="43" t="s">
        <v>230</v>
      </c>
    </row>
    <row r="401" spans="1:5" x14ac:dyDescent="0.25">
      <c r="A401" s="41">
        <v>1038</v>
      </c>
      <c r="B401" s="42" t="s">
        <v>733</v>
      </c>
      <c r="C401" s="43" t="s">
        <v>289</v>
      </c>
      <c r="D401" s="43" t="s">
        <v>290</v>
      </c>
      <c r="E401" s="43" t="s">
        <v>230</v>
      </c>
    </row>
    <row r="402" spans="1:5" x14ac:dyDescent="0.25">
      <c r="A402" s="41">
        <v>1039</v>
      </c>
      <c r="B402" s="42" t="s">
        <v>734</v>
      </c>
      <c r="C402" s="43" t="s">
        <v>289</v>
      </c>
      <c r="D402" s="43" t="s">
        <v>290</v>
      </c>
      <c r="E402" s="43" t="s">
        <v>230</v>
      </c>
    </row>
    <row r="403" spans="1:5" x14ac:dyDescent="0.25">
      <c r="A403" s="41">
        <v>1041</v>
      </c>
      <c r="B403" s="42" t="s">
        <v>735</v>
      </c>
      <c r="C403" s="43" t="s">
        <v>289</v>
      </c>
      <c r="D403" s="43" t="s">
        <v>333</v>
      </c>
      <c r="E403" s="43" t="s">
        <v>230</v>
      </c>
    </row>
    <row r="404" spans="1:5" x14ac:dyDescent="0.25">
      <c r="A404" s="41">
        <v>1043</v>
      </c>
      <c r="B404" s="42" t="s">
        <v>736</v>
      </c>
      <c r="C404" s="43" t="s">
        <v>289</v>
      </c>
      <c r="D404" s="43" t="s">
        <v>333</v>
      </c>
      <c r="E404" s="43" t="s">
        <v>230</v>
      </c>
    </row>
    <row r="405" spans="1:5" x14ac:dyDescent="0.25">
      <c r="A405" s="41">
        <v>1048</v>
      </c>
      <c r="B405" s="42" t="s">
        <v>737</v>
      </c>
      <c r="C405" s="43" t="s">
        <v>289</v>
      </c>
      <c r="D405" s="43" t="s">
        <v>333</v>
      </c>
      <c r="E405" s="43" t="s">
        <v>230</v>
      </c>
    </row>
    <row r="406" spans="1:5" x14ac:dyDescent="0.25">
      <c r="A406" s="41">
        <v>1053</v>
      </c>
      <c r="B406" s="42" t="s">
        <v>738</v>
      </c>
      <c r="C406" s="43" t="s">
        <v>289</v>
      </c>
      <c r="D406" s="43" t="s">
        <v>333</v>
      </c>
      <c r="E406" s="43" t="s">
        <v>230</v>
      </c>
    </row>
    <row r="407" spans="1:5" x14ac:dyDescent="0.25">
      <c r="A407" s="41">
        <v>1055</v>
      </c>
      <c r="B407" s="42" t="s">
        <v>739</v>
      </c>
      <c r="C407" s="43" t="s">
        <v>289</v>
      </c>
      <c r="D407" s="43" t="s">
        <v>333</v>
      </c>
      <c r="E407" s="43" t="s">
        <v>230</v>
      </c>
    </row>
    <row r="408" spans="1:5" x14ac:dyDescent="0.25">
      <c r="A408" s="41">
        <v>1056</v>
      </c>
      <c r="B408" s="42" t="s">
        <v>740</v>
      </c>
      <c r="C408" s="43" t="s">
        <v>289</v>
      </c>
      <c r="D408" s="43" t="s">
        <v>333</v>
      </c>
      <c r="E408" s="43" t="s">
        <v>230</v>
      </c>
    </row>
    <row r="409" spans="1:5" x14ac:dyDescent="0.25">
      <c r="A409" s="41">
        <v>1061</v>
      </c>
      <c r="B409" s="42" t="s">
        <v>741</v>
      </c>
      <c r="C409" s="43" t="s">
        <v>289</v>
      </c>
      <c r="D409" s="43" t="s">
        <v>333</v>
      </c>
      <c r="E409" s="43" t="s">
        <v>170</v>
      </c>
    </row>
    <row r="410" spans="1:5" x14ac:dyDescent="0.25">
      <c r="A410" s="41">
        <v>1062</v>
      </c>
      <c r="B410" s="42" t="s">
        <v>742</v>
      </c>
      <c r="C410" s="43" t="s">
        <v>289</v>
      </c>
      <c r="D410" s="43" t="s">
        <v>333</v>
      </c>
      <c r="E410" s="43" t="s">
        <v>170</v>
      </c>
    </row>
    <row r="411" spans="1:5" x14ac:dyDescent="0.25">
      <c r="A411" s="41">
        <v>1065</v>
      </c>
      <c r="B411" s="42" t="s">
        <v>743</v>
      </c>
      <c r="C411" s="43" t="s">
        <v>289</v>
      </c>
      <c r="D411" s="43" t="s">
        <v>333</v>
      </c>
      <c r="E411" s="43" t="s">
        <v>170</v>
      </c>
    </row>
    <row r="412" spans="1:5" x14ac:dyDescent="0.25">
      <c r="A412" s="41">
        <v>1069</v>
      </c>
      <c r="B412" s="42" t="s">
        <v>744</v>
      </c>
      <c r="C412" s="43" t="s">
        <v>289</v>
      </c>
      <c r="D412" s="43" t="s">
        <v>333</v>
      </c>
      <c r="E412" s="43" t="s">
        <v>230</v>
      </c>
    </row>
    <row r="413" spans="1:5" x14ac:dyDescent="0.25">
      <c r="A413" s="41">
        <v>1070</v>
      </c>
      <c r="B413" s="42" t="s">
        <v>745</v>
      </c>
      <c r="C413" s="43" t="s">
        <v>289</v>
      </c>
      <c r="D413" s="43" t="s">
        <v>333</v>
      </c>
      <c r="E413" s="43" t="s">
        <v>230</v>
      </c>
    </row>
    <row r="414" spans="1:5" x14ac:dyDescent="0.25">
      <c r="A414" s="41">
        <v>1073</v>
      </c>
      <c r="B414" s="42" t="s">
        <v>594</v>
      </c>
      <c r="C414" s="43" t="s">
        <v>289</v>
      </c>
      <c r="D414" s="43" t="s">
        <v>333</v>
      </c>
      <c r="E414" s="43" t="s">
        <v>230</v>
      </c>
    </row>
    <row r="415" spans="1:5" x14ac:dyDescent="0.25">
      <c r="A415" s="41">
        <v>1074</v>
      </c>
      <c r="B415" s="42" t="s">
        <v>746</v>
      </c>
      <c r="C415" s="43" t="s">
        <v>289</v>
      </c>
      <c r="D415" s="43" t="s">
        <v>333</v>
      </c>
      <c r="E415" s="43" t="s">
        <v>230</v>
      </c>
    </row>
    <row r="416" spans="1:5" x14ac:dyDescent="0.25">
      <c r="A416" s="41">
        <v>1075</v>
      </c>
      <c r="B416" s="42" t="s">
        <v>747</v>
      </c>
      <c r="C416" s="43" t="s">
        <v>289</v>
      </c>
      <c r="D416" s="43" t="s">
        <v>333</v>
      </c>
      <c r="E416" s="43" t="s">
        <v>373</v>
      </c>
    </row>
    <row r="417" spans="1:5" x14ac:dyDescent="0.25">
      <c r="A417" s="41">
        <v>1076</v>
      </c>
      <c r="B417" s="42" t="s">
        <v>748</v>
      </c>
      <c r="C417" s="43" t="s">
        <v>289</v>
      </c>
      <c r="D417" s="43" t="s">
        <v>333</v>
      </c>
      <c r="E417" s="43" t="s">
        <v>170</v>
      </c>
    </row>
    <row r="418" spans="1:5" x14ac:dyDescent="0.25">
      <c r="A418" s="41">
        <v>1077</v>
      </c>
      <c r="B418" s="42" t="s">
        <v>593</v>
      </c>
      <c r="C418" s="43" t="s">
        <v>289</v>
      </c>
      <c r="D418" s="43" t="s">
        <v>333</v>
      </c>
      <c r="E418" s="43" t="s">
        <v>230</v>
      </c>
    </row>
    <row r="419" spans="1:5" x14ac:dyDescent="0.25">
      <c r="A419" s="41">
        <v>1078</v>
      </c>
      <c r="B419" s="42" t="s">
        <v>749</v>
      </c>
      <c r="C419" s="43" t="s">
        <v>289</v>
      </c>
      <c r="D419" s="43" t="s">
        <v>333</v>
      </c>
      <c r="E419" s="43" t="s">
        <v>230</v>
      </c>
    </row>
    <row r="420" spans="1:5" x14ac:dyDescent="0.25">
      <c r="A420" s="41">
        <v>1081</v>
      </c>
      <c r="B420" s="42" t="s">
        <v>750</v>
      </c>
      <c r="C420" s="43" t="s">
        <v>289</v>
      </c>
      <c r="D420" s="43" t="s">
        <v>290</v>
      </c>
      <c r="E420" s="43" t="s">
        <v>531</v>
      </c>
    </row>
    <row r="421" spans="1:5" x14ac:dyDescent="0.25">
      <c r="A421" s="41">
        <v>1082</v>
      </c>
      <c r="B421" s="42" t="s">
        <v>751</v>
      </c>
      <c r="C421" s="43" t="s">
        <v>289</v>
      </c>
      <c r="D421" s="43" t="s">
        <v>410</v>
      </c>
      <c r="E421" s="43" t="s">
        <v>531</v>
      </c>
    </row>
    <row r="422" spans="1:5" x14ac:dyDescent="0.25">
      <c r="A422" s="41">
        <v>1087</v>
      </c>
      <c r="B422" s="42" t="s">
        <v>752</v>
      </c>
      <c r="C422" s="43" t="s">
        <v>289</v>
      </c>
      <c r="D422" s="43" t="s">
        <v>433</v>
      </c>
      <c r="E422" s="43" t="s">
        <v>336</v>
      </c>
    </row>
    <row r="423" spans="1:5" x14ac:dyDescent="0.25">
      <c r="A423" s="41">
        <v>1096</v>
      </c>
      <c r="B423" s="42" t="s">
        <v>753</v>
      </c>
      <c r="C423" s="43" t="s">
        <v>289</v>
      </c>
      <c r="D423" s="43" t="s">
        <v>433</v>
      </c>
      <c r="E423" s="43" t="s">
        <v>230</v>
      </c>
    </row>
    <row r="424" spans="1:5" x14ac:dyDescent="0.25">
      <c r="A424" s="41">
        <v>1112</v>
      </c>
      <c r="B424" s="42" t="s">
        <v>754</v>
      </c>
      <c r="C424" s="43" t="s">
        <v>289</v>
      </c>
      <c r="D424" s="43" t="s">
        <v>333</v>
      </c>
      <c r="E424" s="43" t="s">
        <v>230</v>
      </c>
    </row>
    <row r="425" spans="1:5" x14ac:dyDescent="0.25">
      <c r="A425" s="41">
        <v>1115</v>
      </c>
      <c r="B425" s="42" t="s">
        <v>755</v>
      </c>
      <c r="C425" s="43" t="s">
        <v>289</v>
      </c>
      <c r="D425" s="43" t="s">
        <v>333</v>
      </c>
      <c r="E425" s="43" t="s">
        <v>230</v>
      </c>
    </row>
    <row r="426" spans="1:5" x14ac:dyDescent="0.25">
      <c r="A426" s="41">
        <v>1116</v>
      </c>
      <c r="B426" s="42" t="s">
        <v>756</v>
      </c>
      <c r="C426" s="43" t="s">
        <v>289</v>
      </c>
      <c r="D426" s="43" t="s">
        <v>333</v>
      </c>
      <c r="E426" s="43" t="s">
        <v>230</v>
      </c>
    </row>
    <row r="427" spans="1:5" x14ac:dyDescent="0.25">
      <c r="A427" s="41">
        <v>1117</v>
      </c>
      <c r="B427" s="42" t="s">
        <v>757</v>
      </c>
      <c r="C427" s="43" t="s">
        <v>289</v>
      </c>
      <c r="D427" s="43" t="s">
        <v>333</v>
      </c>
      <c r="E427" s="43" t="s">
        <v>230</v>
      </c>
    </row>
    <row r="428" spans="1:5" x14ac:dyDescent="0.25">
      <c r="A428" s="41">
        <v>1120</v>
      </c>
      <c r="B428" s="42" t="s">
        <v>758</v>
      </c>
      <c r="C428" s="43" t="s">
        <v>289</v>
      </c>
      <c r="D428" s="43" t="s">
        <v>333</v>
      </c>
      <c r="E428" s="43" t="s">
        <v>230</v>
      </c>
    </row>
    <row r="429" spans="1:5" x14ac:dyDescent="0.25">
      <c r="A429" s="41">
        <v>1121</v>
      </c>
      <c r="B429" s="42" t="s">
        <v>759</v>
      </c>
      <c r="C429" s="43" t="s">
        <v>289</v>
      </c>
      <c r="D429" s="43" t="s">
        <v>333</v>
      </c>
      <c r="E429" s="43" t="s">
        <v>230</v>
      </c>
    </row>
    <row r="430" spans="1:5" x14ac:dyDescent="0.25">
      <c r="A430" s="41">
        <v>1125</v>
      </c>
      <c r="B430" s="42" t="s">
        <v>760</v>
      </c>
      <c r="C430" s="43" t="s">
        <v>289</v>
      </c>
      <c r="D430" s="43" t="s">
        <v>333</v>
      </c>
      <c r="E430" s="43" t="s">
        <v>464</v>
      </c>
    </row>
    <row r="431" spans="1:5" x14ac:dyDescent="0.25">
      <c r="A431" s="41">
        <v>1126</v>
      </c>
      <c r="B431" s="42" t="s">
        <v>761</v>
      </c>
      <c r="C431" s="43" t="s">
        <v>289</v>
      </c>
      <c r="D431" s="43" t="s">
        <v>333</v>
      </c>
      <c r="E431" s="43" t="s">
        <v>230</v>
      </c>
    </row>
    <row r="432" spans="1:5" x14ac:dyDescent="0.25">
      <c r="A432" s="41">
        <v>1129</v>
      </c>
      <c r="B432" s="42" t="s">
        <v>762</v>
      </c>
      <c r="C432" s="43" t="s">
        <v>289</v>
      </c>
      <c r="D432" s="43" t="s">
        <v>763</v>
      </c>
      <c r="E432" s="43" t="s">
        <v>764</v>
      </c>
    </row>
    <row r="433" spans="1:5" x14ac:dyDescent="0.25">
      <c r="A433" s="41">
        <v>1130</v>
      </c>
      <c r="B433" s="42" t="s">
        <v>765</v>
      </c>
      <c r="C433" s="43" t="s">
        <v>289</v>
      </c>
      <c r="D433" s="43" t="s">
        <v>763</v>
      </c>
      <c r="E433" s="43" t="s">
        <v>766</v>
      </c>
    </row>
    <row r="434" spans="1:5" x14ac:dyDescent="0.25">
      <c r="A434" s="41">
        <v>1131</v>
      </c>
      <c r="B434" s="42" t="s">
        <v>767</v>
      </c>
      <c r="C434" s="43" t="s">
        <v>289</v>
      </c>
      <c r="D434" s="43" t="s">
        <v>763</v>
      </c>
      <c r="E434" s="43" t="s">
        <v>766</v>
      </c>
    </row>
    <row r="435" spans="1:5" x14ac:dyDescent="0.25">
      <c r="A435" s="41">
        <v>1132</v>
      </c>
      <c r="B435" s="42" t="s">
        <v>768</v>
      </c>
      <c r="C435" s="43" t="s">
        <v>289</v>
      </c>
      <c r="D435" s="43" t="s">
        <v>435</v>
      </c>
      <c r="E435" s="43" t="s">
        <v>769</v>
      </c>
    </row>
    <row r="436" spans="1:5" x14ac:dyDescent="0.25">
      <c r="A436" s="41">
        <v>1135</v>
      </c>
      <c r="B436" s="42" t="s">
        <v>770</v>
      </c>
      <c r="C436" s="43" t="s">
        <v>289</v>
      </c>
      <c r="D436" s="43" t="s">
        <v>290</v>
      </c>
      <c r="E436" s="43" t="s">
        <v>230</v>
      </c>
    </row>
    <row r="437" spans="1:5" x14ac:dyDescent="0.25">
      <c r="A437" s="41">
        <v>1140</v>
      </c>
      <c r="B437" s="42" t="s">
        <v>771</v>
      </c>
      <c r="C437" s="43" t="s">
        <v>289</v>
      </c>
      <c r="D437" s="43" t="s">
        <v>290</v>
      </c>
      <c r="E437" s="43" t="s">
        <v>230</v>
      </c>
    </row>
    <row r="438" spans="1:5" x14ac:dyDescent="0.25">
      <c r="A438" s="41">
        <v>1141</v>
      </c>
      <c r="B438" s="42" t="s">
        <v>772</v>
      </c>
      <c r="C438" s="43" t="s">
        <v>289</v>
      </c>
      <c r="D438" s="43" t="s">
        <v>290</v>
      </c>
      <c r="E438" s="43" t="s">
        <v>230</v>
      </c>
    </row>
    <row r="439" spans="1:5" x14ac:dyDescent="0.25">
      <c r="A439" s="41">
        <v>1145</v>
      </c>
      <c r="B439" s="42" t="s">
        <v>773</v>
      </c>
      <c r="C439" s="43" t="s">
        <v>289</v>
      </c>
      <c r="D439" s="43" t="s">
        <v>290</v>
      </c>
      <c r="E439" s="43" t="s">
        <v>230</v>
      </c>
    </row>
    <row r="440" spans="1:5" x14ac:dyDescent="0.25">
      <c r="A440" s="41">
        <v>1146</v>
      </c>
      <c r="B440" s="42" t="s">
        <v>774</v>
      </c>
      <c r="C440" s="43" t="s">
        <v>289</v>
      </c>
      <c r="D440" s="43" t="s">
        <v>333</v>
      </c>
      <c r="E440" s="43" t="s">
        <v>230</v>
      </c>
    </row>
    <row r="441" spans="1:5" x14ac:dyDescent="0.25">
      <c r="A441" s="41">
        <v>1147</v>
      </c>
      <c r="B441" s="42" t="s">
        <v>775</v>
      </c>
      <c r="C441" s="43" t="s">
        <v>289</v>
      </c>
      <c r="D441" s="43" t="s">
        <v>333</v>
      </c>
      <c r="E441" s="43" t="s">
        <v>230</v>
      </c>
    </row>
    <row r="442" spans="1:5" x14ac:dyDescent="0.25">
      <c r="A442" s="41">
        <v>1148</v>
      </c>
      <c r="B442" s="42" t="s">
        <v>776</v>
      </c>
      <c r="C442" s="43" t="s">
        <v>289</v>
      </c>
      <c r="D442" s="43" t="s">
        <v>333</v>
      </c>
      <c r="E442" s="43" t="s">
        <v>230</v>
      </c>
    </row>
    <row r="443" spans="1:5" x14ac:dyDescent="0.25">
      <c r="A443" s="41">
        <v>1149</v>
      </c>
      <c r="B443" s="42" t="s">
        <v>777</v>
      </c>
      <c r="C443" s="43" t="s">
        <v>289</v>
      </c>
      <c r="D443" s="43" t="s">
        <v>333</v>
      </c>
      <c r="E443" s="43" t="s">
        <v>230</v>
      </c>
    </row>
    <row r="444" spans="1:5" x14ac:dyDescent="0.25">
      <c r="A444" s="41">
        <v>1152</v>
      </c>
      <c r="B444" s="42" t="s">
        <v>778</v>
      </c>
      <c r="C444" s="43" t="s">
        <v>289</v>
      </c>
      <c r="D444" s="43" t="s">
        <v>333</v>
      </c>
      <c r="E444" s="43" t="s">
        <v>230</v>
      </c>
    </row>
    <row r="445" spans="1:5" x14ac:dyDescent="0.25">
      <c r="A445" s="41">
        <v>1153</v>
      </c>
      <c r="B445" s="42" t="s">
        <v>779</v>
      </c>
      <c r="C445" s="43" t="s">
        <v>289</v>
      </c>
      <c r="D445" s="43" t="s">
        <v>477</v>
      </c>
      <c r="E445" s="43" t="s">
        <v>230</v>
      </c>
    </row>
    <row r="446" spans="1:5" x14ac:dyDescent="0.25">
      <c r="A446" s="41">
        <v>1154</v>
      </c>
      <c r="B446" s="42" t="s">
        <v>780</v>
      </c>
      <c r="C446" s="43" t="s">
        <v>289</v>
      </c>
      <c r="D446" s="43" t="s">
        <v>333</v>
      </c>
      <c r="E446" s="43" t="s">
        <v>170</v>
      </c>
    </row>
    <row r="447" spans="1:5" x14ac:dyDescent="0.25">
      <c r="A447" s="41">
        <v>1156</v>
      </c>
      <c r="B447" s="42" t="s">
        <v>781</v>
      </c>
      <c r="C447" s="43" t="s">
        <v>289</v>
      </c>
      <c r="D447" s="43" t="s">
        <v>487</v>
      </c>
      <c r="E447" s="43" t="s">
        <v>230</v>
      </c>
    </row>
    <row r="448" spans="1:5" x14ac:dyDescent="0.25">
      <c r="A448" s="41">
        <v>1157</v>
      </c>
      <c r="B448" s="42" t="s">
        <v>782</v>
      </c>
      <c r="C448" s="43" t="s">
        <v>289</v>
      </c>
      <c r="D448" s="43" t="s">
        <v>499</v>
      </c>
      <c r="E448" s="43" t="s">
        <v>472</v>
      </c>
    </row>
    <row r="449" spans="1:5" x14ac:dyDescent="0.25">
      <c r="A449" s="41">
        <v>1162</v>
      </c>
      <c r="B449" s="42" t="s">
        <v>783</v>
      </c>
      <c r="C449" s="43" t="s">
        <v>289</v>
      </c>
      <c r="D449" s="43" t="s">
        <v>290</v>
      </c>
      <c r="E449" s="43" t="s">
        <v>230</v>
      </c>
    </row>
    <row r="450" spans="1:5" x14ac:dyDescent="0.25">
      <c r="A450" s="41">
        <v>1166</v>
      </c>
      <c r="B450" s="42" t="s">
        <v>784</v>
      </c>
      <c r="C450" s="43" t="s">
        <v>289</v>
      </c>
      <c r="D450" s="43" t="s">
        <v>290</v>
      </c>
      <c r="E450" s="43" t="s">
        <v>230</v>
      </c>
    </row>
    <row r="451" spans="1:5" x14ac:dyDescent="0.25">
      <c r="A451" s="41">
        <v>1171</v>
      </c>
      <c r="B451" s="42" t="s">
        <v>785</v>
      </c>
      <c r="C451" s="43" t="s">
        <v>289</v>
      </c>
      <c r="D451" s="43" t="s">
        <v>290</v>
      </c>
      <c r="E451" s="43" t="s">
        <v>230</v>
      </c>
    </row>
    <row r="452" spans="1:5" x14ac:dyDescent="0.25">
      <c r="A452" s="41">
        <v>1179</v>
      </c>
      <c r="B452" s="42" t="s">
        <v>786</v>
      </c>
      <c r="C452" s="43" t="s">
        <v>289</v>
      </c>
      <c r="D452" s="43" t="s">
        <v>290</v>
      </c>
      <c r="E452" s="43" t="s">
        <v>230</v>
      </c>
    </row>
    <row r="453" spans="1:5" x14ac:dyDescent="0.25">
      <c r="A453" s="41">
        <v>1180</v>
      </c>
      <c r="B453" s="42" t="s">
        <v>787</v>
      </c>
      <c r="C453" s="43" t="s">
        <v>289</v>
      </c>
      <c r="D453" s="43" t="s">
        <v>290</v>
      </c>
      <c r="E453" s="43" t="s">
        <v>230</v>
      </c>
    </row>
    <row r="454" spans="1:5" x14ac:dyDescent="0.25">
      <c r="A454" s="41">
        <v>1181</v>
      </c>
      <c r="B454" s="42" t="s">
        <v>788</v>
      </c>
      <c r="C454" s="43" t="s">
        <v>289</v>
      </c>
      <c r="D454" s="43" t="s">
        <v>290</v>
      </c>
      <c r="E454" s="43" t="s">
        <v>230</v>
      </c>
    </row>
    <row r="455" spans="1:5" x14ac:dyDescent="0.25">
      <c r="A455" s="41">
        <v>1184</v>
      </c>
      <c r="B455" s="42" t="s">
        <v>789</v>
      </c>
      <c r="C455" s="43" t="s">
        <v>289</v>
      </c>
      <c r="D455" s="43" t="s">
        <v>290</v>
      </c>
      <c r="E455" s="43" t="s">
        <v>230</v>
      </c>
    </row>
    <row r="456" spans="1:5" x14ac:dyDescent="0.25">
      <c r="A456" s="41">
        <v>1204</v>
      </c>
      <c r="B456" s="42" t="s">
        <v>790</v>
      </c>
      <c r="C456" s="43" t="s">
        <v>289</v>
      </c>
      <c r="D456" s="43" t="s">
        <v>316</v>
      </c>
      <c r="E456" s="43" t="s">
        <v>230</v>
      </c>
    </row>
    <row r="457" spans="1:5" x14ac:dyDescent="0.25">
      <c r="A457" s="41">
        <v>1209</v>
      </c>
      <c r="B457" s="42" t="s">
        <v>791</v>
      </c>
      <c r="C457" s="43" t="s">
        <v>289</v>
      </c>
      <c r="D457" s="43" t="s">
        <v>290</v>
      </c>
      <c r="E457" s="43" t="s">
        <v>230</v>
      </c>
    </row>
    <row r="458" spans="1:5" x14ac:dyDescent="0.25">
      <c r="A458" s="41">
        <v>1214</v>
      </c>
      <c r="B458" s="42" t="s">
        <v>792</v>
      </c>
      <c r="C458" s="43" t="s">
        <v>289</v>
      </c>
      <c r="D458" s="43" t="s">
        <v>290</v>
      </c>
      <c r="E458" s="43" t="s">
        <v>230</v>
      </c>
    </row>
    <row r="459" spans="1:5" x14ac:dyDescent="0.25">
      <c r="A459" s="41">
        <v>1215</v>
      </c>
      <c r="B459" s="42" t="s">
        <v>793</v>
      </c>
      <c r="C459" s="43" t="s">
        <v>289</v>
      </c>
      <c r="D459" s="43" t="s">
        <v>333</v>
      </c>
      <c r="E459" s="43" t="s">
        <v>230</v>
      </c>
    </row>
    <row r="460" spans="1:5" x14ac:dyDescent="0.25">
      <c r="A460" s="41">
        <v>1228</v>
      </c>
      <c r="B460" s="42" t="s">
        <v>794</v>
      </c>
      <c r="C460" s="43" t="s">
        <v>289</v>
      </c>
      <c r="D460" s="43" t="s">
        <v>795</v>
      </c>
      <c r="E460" s="43" t="s">
        <v>373</v>
      </c>
    </row>
    <row r="461" spans="1:5" x14ac:dyDescent="0.25">
      <c r="A461" s="41">
        <v>1229</v>
      </c>
      <c r="B461" s="42" t="s">
        <v>796</v>
      </c>
      <c r="C461" s="43" t="s">
        <v>289</v>
      </c>
      <c r="D461" s="43" t="s">
        <v>795</v>
      </c>
      <c r="E461" s="43" t="s">
        <v>373</v>
      </c>
    </row>
    <row r="462" spans="1:5" x14ac:dyDescent="0.25">
      <c r="A462" s="41">
        <v>1230</v>
      </c>
      <c r="B462" s="42" t="s">
        <v>797</v>
      </c>
      <c r="C462" s="43" t="s">
        <v>289</v>
      </c>
      <c r="D462" s="43" t="s">
        <v>795</v>
      </c>
      <c r="E462" s="43" t="s">
        <v>373</v>
      </c>
    </row>
    <row r="463" spans="1:5" x14ac:dyDescent="0.25">
      <c r="A463" s="41">
        <v>1234</v>
      </c>
      <c r="B463" s="42" t="s">
        <v>798</v>
      </c>
      <c r="C463" s="43" t="s">
        <v>289</v>
      </c>
      <c r="D463" s="43" t="s">
        <v>795</v>
      </c>
      <c r="E463" s="43" t="s">
        <v>373</v>
      </c>
    </row>
    <row r="464" spans="1:5" x14ac:dyDescent="0.25">
      <c r="A464" s="41">
        <v>1235</v>
      </c>
      <c r="B464" s="42" t="s">
        <v>799</v>
      </c>
      <c r="C464" s="43" t="s">
        <v>289</v>
      </c>
      <c r="D464" s="43" t="s">
        <v>795</v>
      </c>
      <c r="E464" s="43" t="s">
        <v>373</v>
      </c>
    </row>
    <row r="465" spans="1:5" x14ac:dyDescent="0.25">
      <c r="A465" s="41">
        <v>1246</v>
      </c>
      <c r="B465" s="42" t="s">
        <v>800</v>
      </c>
      <c r="C465" s="43" t="s">
        <v>289</v>
      </c>
      <c r="D465" s="43" t="s">
        <v>795</v>
      </c>
      <c r="E465" s="43" t="s">
        <v>373</v>
      </c>
    </row>
    <row r="466" spans="1:5" x14ac:dyDescent="0.25">
      <c r="A466" s="41">
        <v>1247</v>
      </c>
      <c r="B466" s="42" t="s">
        <v>801</v>
      </c>
      <c r="C466" s="43" t="s">
        <v>289</v>
      </c>
      <c r="D466" s="43" t="s">
        <v>795</v>
      </c>
      <c r="E466" s="43" t="s">
        <v>373</v>
      </c>
    </row>
    <row r="467" spans="1:5" x14ac:dyDescent="0.25">
      <c r="A467" s="41">
        <v>1263</v>
      </c>
      <c r="B467" s="42" t="s">
        <v>802</v>
      </c>
      <c r="C467" s="43" t="s">
        <v>289</v>
      </c>
      <c r="D467" s="43" t="s">
        <v>694</v>
      </c>
      <c r="E467" s="43" t="s">
        <v>373</v>
      </c>
    </row>
    <row r="468" spans="1:5" x14ac:dyDescent="0.25">
      <c r="A468" s="41">
        <v>1264</v>
      </c>
      <c r="B468" s="42" t="s">
        <v>803</v>
      </c>
      <c r="C468" s="43" t="s">
        <v>289</v>
      </c>
      <c r="D468" s="43" t="s">
        <v>694</v>
      </c>
      <c r="E468" s="43" t="s">
        <v>531</v>
      </c>
    </row>
    <row r="469" spans="1:5" x14ac:dyDescent="0.25">
      <c r="A469" s="41">
        <v>1266</v>
      </c>
      <c r="B469" s="42" t="s">
        <v>804</v>
      </c>
      <c r="C469" s="43" t="s">
        <v>289</v>
      </c>
      <c r="D469" s="43" t="s">
        <v>523</v>
      </c>
      <c r="E469" s="43" t="s">
        <v>336</v>
      </c>
    </row>
    <row r="470" spans="1:5" x14ac:dyDescent="0.25">
      <c r="A470" s="41">
        <v>1267</v>
      </c>
      <c r="B470" s="42" t="s">
        <v>805</v>
      </c>
      <c r="C470" s="43" t="s">
        <v>289</v>
      </c>
      <c r="D470" s="43" t="s">
        <v>694</v>
      </c>
      <c r="E470" s="43" t="s">
        <v>373</v>
      </c>
    </row>
    <row r="471" spans="1:5" x14ac:dyDescent="0.25">
      <c r="A471" s="41">
        <v>1271</v>
      </c>
      <c r="B471" s="42" t="s">
        <v>806</v>
      </c>
      <c r="C471" s="43" t="s">
        <v>289</v>
      </c>
      <c r="D471" s="43" t="s">
        <v>795</v>
      </c>
      <c r="E471" s="43" t="s">
        <v>764</v>
      </c>
    </row>
    <row r="472" spans="1:5" x14ac:dyDescent="0.25">
      <c r="A472" s="41">
        <v>1283</v>
      </c>
      <c r="B472" s="42" t="s">
        <v>807</v>
      </c>
      <c r="C472" s="43" t="s">
        <v>289</v>
      </c>
      <c r="D472" s="43" t="s">
        <v>290</v>
      </c>
      <c r="E472" s="43" t="s">
        <v>230</v>
      </c>
    </row>
    <row r="473" spans="1:5" x14ac:dyDescent="0.25">
      <c r="A473" s="41">
        <v>1304</v>
      </c>
      <c r="B473" s="42" t="s">
        <v>808</v>
      </c>
      <c r="C473" s="43" t="s">
        <v>289</v>
      </c>
      <c r="D473" s="43" t="s">
        <v>482</v>
      </c>
      <c r="E473" s="43" t="s">
        <v>472</v>
      </c>
    </row>
    <row r="474" spans="1:5" x14ac:dyDescent="0.25">
      <c r="A474" s="41">
        <v>1305</v>
      </c>
      <c r="B474" s="42" t="s">
        <v>809</v>
      </c>
      <c r="C474" s="43" t="s">
        <v>289</v>
      </c>
      <c r="D474" s="43" t="s">
        <v>316</v>
      </c>
      <c r="E474" s="43" t="s">
        <v>472</v>
      </c>
    </row>
    <row r="475" spans="1:5" x14ac:dyDescent="0.25">
      <c r="A475" s="41">
        <v>1317</v>
      </c>
      <c r="B475" s="42" t="s">
        <v>810</v>
      </c>
      <c r="C475" s="43" t="s">
        <v>289</v>
      </c>
      <c r="D475" s="43" t="s">
        <v>811</v>
      </c>
      <c r="E475" s="43" t="s">
        <v>454</v>
      </c>
    </row>
    <row r="476" spans="1:5" x14ac:dyDescent="0.25">
      <c r="A476" s="41">
        <v>1320</v>
      </c>
      <c r="B476" s="42" t="s">
        <v>812</v>
      </c>
      <c r="C476" s="43" t="s">
        <v>289</v>
      </c>
      <c r="D476" s="43" t="s">
        <v>813</v>
      </c>
      <c r="E476" s="43" t="s">
        <v>454</v>
      </c>
    </row>
    <row r="477" spans="1:5" x14ac:dyDescent="0.25">
      <c r="A477" s="41">
        <v>1323</v>
      </c>
      <c r="B477" s="42" t="s">
        <v>814</v>
      </c>
      <c r="C477" s="43" t="s">
        <v>289</v>
      </c>
      <c r="D477" s="43" t="s">
        <v>813</v>
      </c>
      <c r="E477" s="43" t="s">
        <v>336</v>
      </c>
    </row>
    <row r="478" spans="1:5" x14ac:dyDescent="0.25">
      <c r="A478" s="41">
        <v>1327</v>
      </c>
      <c r="B478" s="42" t="s">
        <v>815</v>
      </c>
      <c r="C478" s="43" t="s">
        <v>289</v>
      </c>
      <c r="D478" s="43" t="s">
        <v>433</v>
      </c>
      <c r="E478" s="43" t="s">
        <v>230</v>
      </c>
    </row>
    <row r="479" spans="1:5" x14ac:dyDescent="0.25">
      <c r="A479" s="41">
        <v>1331</v>
      </c>
      <c r="B479" s="42" t="s">
        <v>816</v>
      </c>
      <c r="C479" s="43" t="s">
        <v>289</v>
      </c>
      <c r="D479" s="43" t="s">
        <v>327</v>
      </c>
      <c r="E479" s="43" t="s">
        <v>464</v>
      </c>
    </row>
    <row r="480" spans="1:5" x14ac:dyDescent="0.25">
      <c r="A480" s="41">
        <v>1332</v>
      </c>
      <c r="B480" s="42" t="s">
        <v>817</v>
      </c>
      <c r="C480" s="43" t="s">
        <v>289</v>
      </c>
      <c r="D480" s="43" t="s">
        <v>327</v>
      </c>
      <c r="E480" s="43" t="s">
        <v>464</v>
      </c>
    </row>
    <row r="481" spans="1:5" x14ac:dyDescent="0.25">
      <c r="A481" s="41">
        <v>1333</v>
      </c>
      <c r="B481" s="42" t="s">
        <v>818</v>
      </c>
      <c r="C481" s="43" t="s">
        <v>289</v>
      </c>
      <c r="D481" s="43" t="s">
        <v>327</v>
      </c>
      <c r="E481" s="43" t="s">
        <v>464</v>
      </c>
    </row>
    <row r="482" spans="1:5" x14ac:dyDescent="0.25">
      <c r="A482" s="41">
        <v>1334</v>
      </c>
      <c r="B482" s="42" t="s">
        <v>819</v>
      </c>
      <c r="C482" s="43" t="s">
        <v>289</v>
      </c>
      <c r="D482" s="43" t="s">
        <v>327</v>
      </c>
      <c r="E482" s="43" t="s">
        <v>464</v>
      </c>
    </row>
    <row r="483" spans="1:5" x14ac:dyDescent="0.25">
      <c r="A483" s="41">
        <v>1335</v>
      </c>
      <c r="B483" s="42" t="s">
        <v>820</v>
      </c>
      <c r="C483" s="43" t="s">
        <v>289</v>
      </c>
      <c r="D483" s="43" t="s">
        <v>327</v>
      </c>
      <c r="E483" s="43" t="s">
        <v>464</v>
      </c>
    </row>
    <row r="484" spans="1:5" x14ac:dyDescent="0.25">
      <c r="A484" s="41">
        <v>1336</v>
      </c>
      <c r="B484" s="42" t="s">
        <v>821</v>
      </c>
      <c r="C484" s="43" t="s">
        <v>289</v>
      </c>
      <c r="D484" s="43" t="s">
        <v>327</v>
      </c>
      <c r="E484" s="43" t="s">
        <v>464</v>
      </c>
    </row>
    <row r="485" spans="1:5" x14ac:dyDescent="0.25">
      <c r="A485" s="41">
        <v>1338</v>
      </c>
      <c r="B485" s="42" t="s">
        <v>822</v>
      </c>
      <c r="C485" s="43" t="s">
        <v>289</v>
      </c>
      <c r="D485" s="43" t="s">
        <v>327</v>
      </c>
      <c r="E485" s="43" t="s">
        <v>464</v>
      </c>
    </row>
    <row r="486" spans="1:5" x14ac:dyDescent="0.25">
      <c r="A486" s="41">
        <v>1339</v>
      </c>
      <c r="B486" s="42" t="s">
        <v>823</v>
      </c>
      <c r="C486" s="43" t="s">
        <v>289</v>
      </c>
      <c r="D486" s="43" t="s">
        <v>327</v>
      </c>
      <c r="E486" s="43" t="s">
        <v>464</v>
      </c>
    </row>
    <row r="487" spans="1:5" x14ac:dyDescent="0.25">
      <c r="A487" s="41">
        <v>1340</v>
      </c>
      <c r="B487" s="42" t="s">
        <v>824</v>
      </c>
      <c r="C487" s="43" t="s">
        <v>289</v>
      </c>
      <c r="D487" s="43" t="s">
        <v>327</v>
      </c>
      <c r="E487" s="43" t="s">
        <v>464</v>
      </c>
    </row>
    <row r="488" spans="1:5" x14ac:dyDescent="0.25">
      <c r="A488" s="41">
        <v>1341</v>
      </c>
      <c r="B488" s="42" t="s">
        <v>825</v>
      </c>
      <c r="C488" s="43" t="s">
        <v>289</v>
      </c>
      <c r="D488" s="43" t="s">
        <v>410</v>
      </c>
      <c r="E488" s="43" t="s">
        <v>464</v>
      </c>
    </row>
    <row r="489" spans="1:5" x14ac:dyDescent="0.25">
      <c r="A489" s="41">
        <v>1342</v>
      </c>
      <c r="B489" s="42" t="s">
        <v>826</v>
      </c>
      <c r="C489" s="43" t="s">
        <v>289</v>
      </c>
      <c r="D489" s="43" t="s">
        <v>327</v>
      </c>
      <c r="E489" s="43" t="s">
        <v>464</v>
      </c>
    </row>
    <row r="490" spans="1:5" x14ac:dyDescent="0.25">
      <c r="A490" s="41">
        <v>1347</v>
      </c>
      <c r="B490" s="42" t="s">
        <v>827</v>
      </c>
      <c r="C490" s="43" t="s">
        <v>289</v>
      </c>
      <c r="D490" s="43" t="s">
        <v>327</v>
      </c>
      <c r="E490" s="43" t="s">
        <v>230</v>
      </c>
    </row>
    <row r="491" spans="1:5" x14ac:dyDescent="0.25">
      <c r="A491" s="41">
        <v>1350</v>
      </c>
      <c r="B491" s="42" t="s">
        <v>828</v>
      </c>
      <c r="C491" s="43" t="s">
        <v>289</v>
      </c>
      <c r="D491" s="43" t="s">
        <v>327</v>
      </c>
      <c r="E491" s="43" t="s">
        <v>464</v>
      </c>
    </row>
    <row r="492" spans="1:5" x14ac:dyDescent="0.25">
      <c r="A492" s="41">
        <v>1351</v>
      </c>
      <c r="B492" s="42" t="s">
        <v>829</v>
      </c>
      <c r="C492" s="43" t="s">
        <v>289</v>
      </c>
      <c r="D492" s="43" t="s">
        <v>327</v>
      </c>
      <c r="E492" s="43" t="s">
        <v>464</v>
      </c>
    </row>
    <row r="493" spans="1:5" x14ac:dyDescent="0.25">
      <c r="A493" s="41">
        <v>1352</v>
      </c>
      <c r="B493" s="42" t="s">
        <v>830</v>
      </c>
      <c r="C493" s="43" t="s">
        <v>289</v>
      </c>
      <c r="D493" s="43" t="s">
        <v>327</v>
      </c>
      <c r="E493" s="43" t="s">
        <v>464</v>
      </c>
    </row>
    <row r="494" spans="1:5" x14ac:dyDescent="0.25">
      <c r="A494" s="41">
        <v>1353</v>
      </c>
      <c r="B494" s="42" t="s">
        <v>831</v>
      </c>
      <c r="C494" s="43" t="s">
        <v>289</v>
      </c>
      <c r="D494" s="43" t="s">
        <v>327</v>
      </c>
      <c r="E494" s="43" t="s">
        <v>464</v>
      </c>
    </row>
    <row r="495" spans="1:5" x14ac:dyDescent="0.25">
      <c r="A495" s="41">
        <v>1354</v>
      </c>
      <c r="B495" s="42" t="s">
        <v>832</v>
      </c>
      <c r="C495" s="43" t="s">
        <v>289</v>
      </c>
      <c r="D495" s="43" t="s">
        <v>327</v>
      </c>
      <c r="E495" s="43" t="s">
        <v>464</v>
      </c>
    </row>
    <row r="496" spans="1:5" x14ac:dyDescent="0.25">
      <c r="A496" s="41">
        <v>1358</v>
      </c>
      <c r="B496" s="42" t="s">
        <v>833</v>
      </c>
      <c r="C496" s="43" t="s">
        <v>289</v>
      </c>
      <c r="D496" s="43" t="s">
        <v>327</v>
      </c>
      <c r="E496" s="43" t="s">
        <v>464</v>
      </c>
    </row>
    <row r="497" spans="1:5" x14ac:dyDescent="0.25">
      <c r="A497" s="41">
        <v>1359</v>
      </c>
      <c r="B497" s="42" t="s">
        <v>834</v>
      </c>
      <c r="C497" s="43" t="s">
        <v>289</v>
      </c>
      <c r="D497" s="43" t="s">
        <v>835</v>
      </c>
      <c r="E497" s="43" t="s">
        <v>230</v>
      </c>
    </row>
    <row r="498" spans="1:5" x14ac:dyDescent="0.25">
      <c r="A498" s="41">
        <v>1360</v>
      </c>
      <c r="B498" s="42" t="s">
        <v>836</v>
      </c>
      <c r="C498" s="43" t="s">
        <v>289</v>
      </c>
      <c r="D498" s="43" t="s">
        <v>327</v>
      </c>
      <c r="E498" s="43" t="s">
        <v>464</v>
      </c>
    </row>
    <row r="499" spans="1:5" x14ac:dyDescent="0.25">
      <c r="A499" s="41">
        <v>1362</v>
      </c>
      <c r="B499" s="42" t="s">
        <v>837</v>
      </c>
      <c r="C499" s="43" t="s">
        <v>289</v>
      </c>
      <c r="D499" s="43" t="s">
        <v>327</v>
      </c>
      <c r="E499" s="43" t="s">
        <v>464</v>
      </c>
    </row>
    <row r="500" spans="1:5" x14ac:dyDescent="0.25">
      <c r="A500" s="41">
        <v>1363</v>
      </c>
      <c r="B500" s="42" t="s">
        <v>838</v>
      </c>
      <c r="C500" s="43" t="s">
        <v>289</v>
      </c>
      <c r="D500" s="43" t="s">
        <v>327</v>
      </c>
      <c r="E500" s="43" t="s">
        <v>464</v>
      </c>
    </row>
    <row r="501" spans="1:5" x14ac:dyDescent="0.25">
      <c r="A501" s="41">
        <v>1364</v>
      </c>
      <c r="B501" s="42" t="s">
        <v>839</v>
      </c>
      <c r="C501" s="43" t="s">
        <v>289</v>
      </c>
      <c r="D501" s="43" t="s">
        <v>327</v>
      </c>
      <c r="E501" s="43" t="s">
        <v>464</v>
      </c>
    </row>
    <row r="502" spans="1:5" x14ac:dyDescent="0.25">
      <c r="A502" s="41">
        <v>1365</v>
      </c>
      <c r="B502" s="42" t="s">
        <v>840</v>
      </c>
      <c r="C502" s="43" t="s">
        <v>289</v>
      </c>
      <c r="D502" s="43" t="s">
        <v>327</v>
      </c>
      <c r="E502" s="43" t="s">
        <v>464</v>
      </c>
    </row>
    <row r="503" spans="1:5" x14ac:dyDescent="0.25">
      <c r="A503" s="41">
        <v>1366</v>
      </c>
      <c r="B503" s="42" t="s">
        <v>841</v>
      </c>
      <c r="C503" s="43" t="s">
        <v>289</v>
      </c>
      <c r="D503" s="43" t="s">
        <v>327</v>
      </c>
      <c r="E503" s="43" t="s">
        <v>464</v>
      </c>
    </row>
    <row r="504" spans="1:5" x14ac:dyDescent="0.25">
      <c r="A504" s="41">
        <v>1368</v>
      </c>
      <c r="B504" s="42" t="s">
        <v>842</v>
      </c>
      <c r="C504" s="43" t="s">
        <v>289</v>
      </c>
      <c r="D504" s="43" t="s">
        <v>327</v>
      </c>
      <c r="E504" s="43" t="s">
        <v>464</v>
      </c>
    </row>
    <row r="505" spans="1:5" x14ac:dyDescent="0.25">
      <c r="A505" s="41">
        <v>1369</v>
      </c>
      <c r="B505" s="42" t="s">
        <v>843</v>
      </c>
      <c r="C505" s="43" t="s">
        <v>289</v>
      </c>
      <c r="D505" s="43" t="s">
        <v>327</v>
      </c>
      <c r="E505" s="43" t="s">
        <v>464</v>
      </c>
    </row>
    <row r="506" spans="1:5" x14ac:dyDescent="0.25">
      <c r="A506" s="41">
        <v>1375</v>
      </c>
      <c r="B506" s="42" t="s">
        <v>844</v>
      </c>
      <c r="C506" s="43" t="s">
        <v>289</v>
      </c>
      <c r="D506" s="43" t="s">
        <v>845</v>
      </c>
      <c r="E506" s="43" t="s">
        <v>230</v>
      </c>
    </row>
    <row r="507" spans="1:5" x14ac:dyDescent="0.25">
      <c r="A507" s="41">
        <v>1376</v>
      </c>
      <c r="B507" s="42" t="s">
        <v>846</v>
      </c>
      <c r="C507" s="43" t="s">
        <v>289</v>
      </c>
      <c r="D507" s="43" t="s">
        <v>327</v>
      </c>
      <c r="E507" s="43" t="s">
        <v>464</v>
      </c>
    </row>
    <row r="508" spans="1:5" x14ac:dyDescent="0.25">
      <c r="A508" s="41">
        <v>1377</v>
      </c>
      <c r="B508" s="42" t="s">
        <v>847</v>
      </c>
      <c r="C508" s="43" t="s">
        <v>289</v>
      </c>
      <c r="D508" s="43" t="s">
        <v>327</v>
      </c>
      <c r="E508" s="43" t="s">
        <v>464</v>
      </c>
    </row>
    <row r="509" spans="1:5" x14ac:dyDescent="0.25">
      <c r="A509" s="41">
        <v>1381</v>
      </c>
      <c r="B509" s="42" t="s">
        <v>848</v>
      </c>
      <c r="C509" s="43" t="s">
        <v>289</v>
      </c>
      <c r="D509" s="43" t="s">
        <v>327</v>
      </c>
      <c r="E509" s="43" t="s">
        <v>464</v>
      </c>
    </row>
    <row r="510" spans="1:5" x14ac:dyDescent="0.25">
      <c r="A510" s="41">
        <v>1387</v>
      </c>
      <c r="B510" s="42" t="s">
        <v>849</v>
      </c>
      <c r="C510" s="43" t="s">
        <v>289</v>
      </c>
      <c r="D510" s="43" t="s">
        <v>633</v>
      </c>
      <c r="E510" s="43" t="s">
        <v>464</v>
      </c>
    </row>
    <row r="511" spans="1:5" x14ac:dyDescent="0.25">
      <c r="A511" s="41">
        <v>1389</v>
      </c>
      <c r="B511" s="42" t="s">
        <v>850</v>
      </c>
      <c r="C511" s="43" t="s">
        <v>289</v>
      </c>
      <c r="D511" s="43" t="s">
        <v>327</v>
      </c>
      <c r="E511" s="43" t="s">
        <v>464</v>
      </c>
    </row>
    <row r="512" spans="1:5" x14ac:dyDescent="0.25">
      <c r="A512" s="41">
        <v>1390</v>
      </c>
      <c r="B512" s="42" t="s">
        <v>851</v>
      </c>
      <c r="C512" s="43" t="s">
        <v>289</v>
      </c>
      <c r="D512" s="43" t="s">
        <v>633</v>
      </c>
      <c r="E512" s="43" t="s">
        <v>464</v>
      </c>
    </row>
    <row r="513" spans="1:5" x14ac:dyDescent="0.25">
      <c r="A513" s="41">
        <v>1391</v>
      </c>
      <c r="B513" s="42" t="s">
        <v>852</v>
      </c>
      <c r="C513" s="43" t="s">
        <v>289</v>
      </c>
      <c r="D513" s="43" t="s">
        <v>327</v>
      </c>
      <c r="E513" s="43" t="s">
        <v>464</v>
      </c>
    </row>
    <row r="514" spans="1:5" x14ac:dyDescent="0.25">
      <c r="A514" s="41">
        <v>1392</v>
      </c>
      <c r="B514" s="42" t="s">
        <v>853</v>
      </c>
      <c r="C514" s="43" t="s">
        <v>289</v>
      </c>
      <c r="D514" s="43" t="s">
        <v>327</v>
      </c>
      <c r="E514" s="43" t="s">
        <v>464</v>
      </c>
    </row>
    <row r="515" spans="1:5" x14ac:dyDescent="0.25">
      <c r="A515" s="41">
        <v>1394</v>
      </c>
      <c r="B515" s="42" t="s">
        <v>854</v>
      </c>
      <c r="C515" s="43" t="s">
        <v>289</v>
      </c>
      <c r="D515" s="43" t="s">
        <v>327</v>
      </c>
      <c r="E515" s="43" t="s">
        <v>464</v>
      </c>
    </row>
    <row r="516" spans="1:5" x14ac:dyDescent="0.25">
      <c r="A516" s="41">
        <v>1395</v>
      </c>
      <c r="B516" s="42" t="s">
        <v>855</v>
      </c>
      <c r="C516" s="43" t="s">
        <v>289</v>
      </c>
      <c r="D516" s="43" t="s">
        <v>327</v>
      </c>
      <c r="E516" s="43" t="s">
        <v>464</v>
      </c>
    </row>
    <row r="517" spans="1:5" x14ac:dyDescent="0.25">
      <c r="A517" s="41">
        <v>1404</v>
      </c>
      <c r="B517" s="42" t="s">
        <v>856</v>
      </c>
      <c r="C517" s="43" t="s">
        <v>289</v>
      </c>
      <c r="D517" s="43" t="s">
        <v>327</v>
      </c>
      <c r="E517" s="43" t="s">
        <v>464</v>
      </c>
    </row>
    <row r="518" spans="1:5" x14ac:dyDescent="0.25">
      <c r="A518" s="41">
        <v>1405</v>
      </c>
      <c r="B518" s="42" t="s">
        <v>857</v>
      </c>
      <c r="C518" s="43" t="s">
        <v>289</v>
      </c>
      <c r="D518" s="43" t="s">
        <v>327</v>
      </c>
      <c r="E518" s="43" t="s">
        <v>464</v>
      </c>
    </row>
    <row r="519" spans="1:5" x14ac:dyDescent="0.25">
      <c r="A519" s="41">
        <v>1406</v>
      </c>
      <c r="B519" s="42" t="s">
        <v>858</v>
      </c>
      <c r="C519" s="43" t="s">
        <v>289</v>
      </c>
      <c r="D519" s="43" t="s">
        <v>327</v>
      </c>
      <c r="E519" s="43" t="s">
        <v>464</v>
      </c>
    </row>
    <row r="520" spans="1:5" x14ac:dyDescent="0.25">
      <c r="A520" s="41">
        <v>1408</v>
      </c>
      <c r="B520" s="42" t="s">
        <v>859</v>
      </c>
      <c r="C520" s="43" t="s">
        <v>289</v>
      </c>
      <c r="D520" s="43" t="s">
        <v>327</v>
      </c>
      <c r="E520" s="43" t="s">
        <v>464</v>
      </c>
    </row>
    <row r="521" spans="1:5" x14ac:dyDescent="0.25">
      <c r="A521" s="41">
        <v>1412</v>
      </c>
      <c r="B521" s="42" t="s">
        <v>860</v>
      </c>
      <c r="C521" s="43" t="s">
        <v>289</v>
      </c>
      <c r="D521" s="43" t="s">
        <v>327</v>
      </c>
      <c r="E521" s="43" t="s">
        <v>464</v>
      </c>
    </row>
    <row r="522" spans="1:5" x14ac:dyDescent="0.25">
      <c r="A522" s="41">
        <v>1414</v>
      </c>
      <c r="B522" s="42" t="s">
        <v>861</v>
      </c>
      <c r="C522" s="43" t="s">
        <v>289</v>
      </c>
      <c r="D522" s="43" t="s">
        <v>327</v>
      </c>
      <c r="E522" s="43" t="s">
        <v>464</v>
      </c>
    </row>
    <row r="523" spans="1:5" x14ac:dyDescent="0.25">
      <c r="A523" s="41">
        <v>1419</v>
      </c>
      <c r="B523" s="42" t="s">
        <v>862</v>
      </c>
      <c r="C523" s="43" t="s">
        <v>289</v>
      </c>
      <c r="D523" s="43" t="s">
        <v>435</v>
      </c>
      <c r="E523" s="43" t="s">
        <v>436</v>
      </c>
    </row>
    <row r="524" spans="1:5" x14ac:dyDescent="0.25">
      <c r="A524" s="41">
        <v>1422</v>
      </c>
      <c r="B524" s="42" t="s">
        <v>863</v>
      </c>
      <c r="C524" s="43" t="s">
        <v>289</v>
      </c>
      <c r="D524" s="43" t="s">
        <v>694</v>
      </c>
      <c r="E524" s="43" t="s">
        <v>864</v>
      </c>
    </row>
    <row r="525" spans="1:5" x14ac:dyDescent="0.25">
      <c r="A525" s="41">
        <v>1423</v>
      </c>
      <c r="B525" s="42" t="s">
        <v>865</v>
      </c>
      <c r="C525" s="43" t="s">
        <v>289</v>
      </c>
      <c r="D525" s="43" t="s">
        <v>694</v>
      </c>
      <c r="E525" s="43" t="s">
        <v>864</v>
      </c>
    </row>
    <row r="526" spans="1:5" x14ac:dyDescent="0.25">
      <c r="A526" s="41">
        <v>1424</v>
      </c>
      <c r="B526" s="42" t="s">
        <v>866</v>
      </c>
      <c r="C526" s="43" t="s">
        <v>289</v>
      </c>
      <c r="D526" s="43" t="s">
        <v>435</v>
      </c>
      <c r="E526" s="43" t="s">
        <v>464</v>
      </c>
    </row>
    <row r="527" spans="1:5" x14ac:dyDescent="0.25">
      <c r="A527" s="41">
        <v>1427</v>
      </c>
      <c r="B527" s="42" t="s">
        <v>867</v>
      </c>
      <c r="C527" s="43" t="s">
        <v>289</v>
      </c>
      <c r="D527" s="43" t="s">
        <v>694</v>
      </c>
      <c r="E527" s="43" t="s">
        <v>436</v>
      </c>
    </row>
    <row r="528" spans="1:5" x14ac:dyDescent="0.25">
      <c r="A528" s="41">
        <v>1428</v>
      </c>
      <c r="B528" s="42" t="s">
        <v>249</v>
      </c>
      <c r="C528" s="43" t="s">
        <v>289</v>
      </c>
      <c r="D528" s="43" t="s">
        <v>795</v>
      </c>
      <c r="E528" s="43" t="s">
        <v>170</v>
      </c>
    </row>
    <row r="529" spans="1:5" x14ac:dyDescent="0.25">
      <c r="A529" s="41">
        <v>1429</v>
      </c>
      <c r="B529" s="42" t="s">
        <v>868</v>
      </c>
      <c r="C529" s="43" t="s">
        <v>289</v>
      </c>
      <c r="D529" s="43" t="s">
        <v>795</v>
      </c>
      <c r="E529" s="43" t="s">
        <v>170</v>
      </c>
    </row>
    <row r="530" spans="1:5" x14ac:dyDescent="0.25">
      <c r="A530" s="41">
        <v>1430</v>
      </c>
      <c r="B530" s="42" t="s">
        <v>869</v>
      </c>
      <c r="C530" s="43" t="s">
        <v>289</v>
      </c>
      <c r="D530" s="43" t="s">
        <v>694</v>
      </c>
      <c r="E530" s="43" t="s">
        <v>436</v>
      </c>
    </row>
    <row r="531" spans="1:5" x14ac:dyDescent="0.25">
      <c r="A531" s="41">
        <v>1431</v>
      </c>
      <c r="B531" s="42" t="s">
        <v>870</v>
      </c>
      <c r="C531" s="43" t="s">
        <v>289</v>
      </c>
      <c r="D531" s="43" t="s">
        <v>694</v>
      </c>
      <c r="E531" s="43" t="s">
        <v>864</v>
      </c>
    </row>
    <row r="532" spans="1:5" x14ac:dyDescent="0.25">
      <c r="A532" s="41">
        <v>1433</v>
      </c>
      <c r="B532" s="42" t="s">
        <v>871</v>
      </c>
      <c r="C532" s="43" t="s">
        <v>289</v>
      </c>
      <c r="D532" s="43" t="s">
        <v>694</v>
      </c>
      <c r="E532" s="43" t="s">
        <v>464</v>
      </c>
    </row>
    <row r="533" spans="1:5" x14ac:dyDescent="0.25">
      <c r="A533" s="41">
        <v>1434</v>
      </c>
      <c r="B533" s="42" t="s">
        <v>872</v>
      </c>
      <c r="C533" s="43" t="s">
        <v>289</v>
      </c>
      <c r="D533" s="43" t="s">
        <v>795</v>
      </c>
      <c r="E533" s="43" t="s">
        <v>436</v>
      </c>
    </row>
    <row r="534" spans="1:5" x14ac:dyDescent="0.25">
      <c r="A534" s="41">
        <v>1436</v>
      </c>
      <c r="B534" s="42" t="s">
        <v>873</v>
      </c>
      <c r="C534" s="43" t="s">
        <v>289</v>
      </c>
      <c r="D534" s="43" t="s">
        <v>795</v>
      </c>
      <c r="E534" s="43" t="s">
        <v>170</v>
      </c>
    </row>
    <row r="535" spans="1:5" x14ac:dyDescent="0.25">
      <c r="A535" s="41">
        <v>1437</v>
      </c>
      <c r="B535" s="42" t="s">
        <v>874</v>
      </c>
      <c r="C535" s="43" t="s">
        <v>289</v>
      </c>
      <c r="D535" s="43" t="s">
        <v>795</v>
      </c>
      <c r="E535" s="43" t="s">
        <v>170</v>
      </c>
    </row>
    <row r="536" spans="1:5" x14ac:dyDescent="0.25">
      <c r="A536" s="41">
        <v>1438</v>
      </c>
      <c r="B536" s="42" t="s">
        <v>875</v>
      </c>
      <c r="C536" s="43" t="s">
        <v>289</v>
      </c>
      <c r="D536" s="43" t="s">
        <v>795</v>
      </c>
      <c r="E536" s="43" t="s">
        <v>170</v>
      </c>
    </row>
    <row r="537" spans="1:5" x14ac:dyDescent="0.25">
      <c r="A537" s="41">
        <v>1439</v>
      </c>
      <c r="B537" s="42" t="s">
        <v>876</v>
      </c>
      <c r="C537" s="43" t="s">
        <v>289</v>
      </c>
      <c r="D537" s="43" t="s">
        <v>795</v>
      </c>
      <c r="E537" s="43" t="s">
        <v>170</v>
      </c>
    </row>
    <row r="538" spans="1:5" x14ac:dyDescent="0.25">
      <c r="A538" s="41">
        <v>1440</v>
      </c>
      <c r="B538" s="42" t="s">
        <v>877</v>
      </c>
      <c r="C538" s="43" t="s">
        <v>289</v>
      </c>
      <c r="D538" s="43" t="s">
        <v>795</v>
      </c>
      <c r="E538" s="43" t="s">
        <v>170</v>
      </c>
    </row>
    <row r="539" spans="1:5" x14ac:dyDescent="0.25">
      <c r="A539" s="41">
        <v>1441</v>
      </c>
      <c r="B539" s="42" t="s">
        <v>878</v>
      </c>
      <c r="C539" s="43" t="s">
        <v>289</v>
      </c>
      <c r="D539" s="43" t="s">
        <v>694</v>
      </c>
      <c r="E539" s="43" t="s">
        <v>170</v>
      </c>
    </row>
    <row r="540" spans="1:5" x14ac:dyDescent="0.25">
      <c r="A540" s="41">
        <v>1442</v>
      </c>
      <c r="B540" s="42" t="s">
        <v>879</v>
      </c>
      <c r="C540" s="43" t="s">
        <v>289</v>
      </c>
      <c r="D540" s="43" t="s">
        <v>694</v>
      </c>
      <c r="E540" s="43" t="s">
        <v>464</v>
      </c>
    </row>
    <row r="541" spans="1:5" x14ac:dyDescent="0.25">
      <c r="A541" s="41">
        <v>1444</v>
      </c>
      <c r="B541" s="42" t="s">
        <v>880</v>
      </c>
      <c r="C541" s="43" t="s">
        <v>289</v>
      </c>
      <c r="D541" s="43" t="s">
        <v>694</v>
      </c>
      <c r="E541" s="43" t="s">
        <v>464</v>
      </c>
    </row>
    <row r="542" spans="1:5" x14ac:dyDescent="0.25">
      <c r="A542" s="41">
        <v>1445</v>
      </c>
      <c r="B542" s="42" t="s">
        <v>881</v>
      </c>
      <c r="C542" s="43" t="s">
        <v>289</v>
      </c>
      <c r="D542" s="43" t="s">
        <v>694</v>
      </c>
      <c r="E542" s="43" t="s">
        <v>464</v>
      </c>
    </row>
    <row r="543" spans="1:5" x14ac:dyDescent="0.25">
      <c r="A543" s="41">
        <v>1446</v>
      </c>
      <c r="B543" s="42" t="s">
        <v>882</v>
      </c>
      <c r="C543" s="43" t="s">
        <v>289</v>
      </c>
      <c r="D543" s="43" t="s">
        <v>694</v>
      </c>
      <c r="E543" s="43" t="s">
        <v>170</v>
      </c>
    </row>
    <row r="544" spans="1:5" x14ac:dyDescent="0.25">
      <c r="A544" s="41">
        <v>1447</v>
      </c>
      <c r="B544" s="42" t="s">
        <v>883</v>
      </c>
      <c r="C544" s="43" t="s">
        <v>289</v>
      </c>
      <c r="D544" s="43" t="s">
        <v>795</v>
      </c>
      <c r="E544" s="43" t="s">
        <v>170</v>
      </c>
    </row>
    <row r="545" spans="1:5" x14ac:dyDescent="0.25">
      <c r="A545" s="41">
        <v>1448</v>
      </c>
      <c r="B545" s="42" t="s">
        <v>884</v>
      </c>
      <c r="C545" s="43" t="s">
        <v>289</v>
      </c>
      <c r="D545" s="43" t="s">
        <v>795</v>
      </c>
      <c r="E545" s="43" t="s">
        <v>170</v>
      </c>
    </row>
    <row r="546" spans="1:5" x14ac:dyDescent="0.25">
      <c r="A546" s="41">
        <v>1450</v>
      </c>
      <c r="B546" s="42" t="s">
        <v>885</v>
      </c>
      <c r="C546" s="43" t="s">
        <v>289</v>
      </c>
      <c r="D546" s="43" t="s">
        <v>795</v>
      </c>
      <c r="E546" s="43" t="s">
        <v>170</v>
      </c>
    </row>
    <row r="547" spans="1:5" x14ac:dyDescent="0.25">
      <c r="A547" s="41">
        <v>1451</v>
      </c>
      <c r="B547" s="42" t="s">
        <v>886</v>
      </c>
      <c r="C547" s="43" t="s">
        <v>289</v>
      </c>
      <c r="D547" s="43" t="s">
        <v>694</v>
      </c>
      <c r="E547" s="43" t="s">
        <v>464</v>
      </c>
    </row>
    <row r="548" spans="1:5" x14ac:dyDescent="0.25">
      <c r="A548" s="41">
        <v>1452</v>
      </c>
      <c r="B548" s="42" t="s">
        <v>887</v>
      </c>
      <c r="C548" s="43" t="s">
        <v>289</v>
      </c>
      <c r="D548" s="43" t="s">
        <v>694</v>
      </c>
      <c r="E548" s="43" t="s">
        <v>436</v>
      </c>
    </row>
    <row r="549" spans="1:5" x14ac:dyDescent="0.25">
      <c r="A549" s="41">
        <v>1453</v>
      </c>
      <c r="B549" s="42" t="s">
        <v>888</v>
      </c>
      <c r="C549" s="43" t="s">
        <v>289</v>
      </c>
      <c r="D549" s="43" t="s">
        <v>694</v>
      </c>
      <c r="E549" s="43" t="s">
        <v>464</v>
      </c>
    </row>
    <row r="550" spans="1:5" x14ac:dyDescent="0.25">
      <c r="A550" s="41">
        <v>1454</v>
      </c>
      <c r="B550" s="42" t="s">
        <v>889</v>
      </c>
      <c r="C550" s="43" t="s">
        <v>289</v>
      </c>
      <c r="D550" s="43" t="s">
        <v>694</v>
      </c>
      <c r="E550" s="43" t="s">
        <v>464</v>
      </c>
    </row>
    <row r="551" spans="1:5" x14ac:dyDescent="0.25">
      <c r="A551" s="41">
        <v>1455</v>
      </c>
      <c r="B551" s="42" t="s">
        <v>890</v>
      </c>
      <c r="C551" s="43" t="s">
        <v>289</v>
      </c>
      <c r="D551" s="43" t="s">
        <v>694</v>
      </c>
      <c r="E551" s="43" t="s">
        <v>170</v>
      </c>
    </row>
    <row r="552" spans="1:5" x14ac:dyDescent="0.25">
      <c r="A552" s="41">
        <v>1456</v>
      </c>
      <c r="B552" s="42" t="s">
        <v>891</v>
      </c>
      <c r="C552" s="43" t="s">
        <v>289</v>
      </c>
      <c r="D552" s="43" t="s">
        <v>694</v>
      </c>
      <c r="E552" s="43" t="s">
        <v>464</v>
      </c>
    </row>
    <row r="553" spans="1:5" x14ac:dyDescent="0.25">
      <c r="A553" s="41">
        <v>1457</v>
      </c>
      <c r="B553" s="42" t="s">
        <v>892</v>
      </c>
      <c r="C553" s="43" t="s">
        <v>289</v>
      </c>
      <c r="D553" s="43" t="s">
        <v>694</v>
      </c>
      <c r="E553" s="43" t="s">
        <v>170</v>
      </c>
    </row>
    <row r="554" spans="1:5" x14ac:dyDescent="0.25">
      <c r="A554" s="41">
        <v>1458</v>
      </c>
      <c r="B554" s="42" t="s">
        <v>893</v>
      </c>
      <c r="C554" s="43" t="s">
        <v>289</v>
      </c>
      <c r="D554" s="43" t="s">
        <v>694</v>
      </c>
      <c r="E554" s="43" t="s">
        <v>464</v>
      </c>
    </row>
    <row r="555" spans="1:5" x14ac:dyDescent="0.25">
      <c r="A555" s="41">
        <v>1459</v>
      </c>
      <c r="B555" s="42" t="s">
        <v>894</v>
      </c>
      <c r="C555" s="43" t="s">
        <v>289</v>
      </c>
      <c r="D555" s="43" t="s">
        <v>694</v>
      </c>
      <c r="E555" s="43" t="s">
        <v>464</v>
      </c>
    </row>
    <row r="556" spans="1:5" x14ac:dyDescent="0.25">
      <c r="A556" s="41">
        <v>1460</v>
      </c>
      <c r="B556" s="42" t="s">
        <v>895</v>
      </c>
      <c r="C556" s="43" t="s">
        <v>289</v>
      </c>
      <c r="D556" s="43" t="s">
        <v>694</v>
      </c>
      <c r="E556" s="43" t="s">
        <v>464</v>
      </c>
    </row>
    <row r="557" spans="1:5" x14ac:dyDescent="0.25">
      <c r="A557" s="41">
        <v>1461</v>
      </c>
      <c r="B557" s="42" t="s">
        <v>896</v>
      </c>
      <c r="C557" s="43" t="s">
        <v>289</v>
      </c>
      <c r="D557" s="43" t="s">
        <v>694</v>
      </c>
      <c r="E557" s="43" t="s">
        <v>464</v>
      </c>
    </row>
    <row r="558" spans="1:5" x14ac:dyDescent="0.25">
      <c r="A558" s="41">
        <v>1462</v>
      </c>
      <c r="B558" s="42" t="s">
        <v>897</v>
      </c>
      <c r="C558" s="43" t="s">
        <v>289</v>
      </c>
      <c r="D558" s="43" t="s">
        <v>694</v>
      </c>
      <c r="E558" s="43" t="s">
        <v>464</v>
      </c>
    </row>
    <row r="559" spans="1:5" x14ac:dyDescent="0.25">
      <c r="A559" s="41">
        <v>1463</v>
      </c>
      <c r="B559" s="42" t="s">
        <v>898</v>
      </c>
      <c r="C559" s="43" t="s">
        <v>289</v>
      </c>
      <c r="D559" s="43" t="s">
        <v>316</v>
      </c>
      <c r="E559" s="43" t="s">
        <v>373</v>
      </c>
    </row>
    <row r="560" spans="1:5" x14ac:dyDescent="0.25">
      <c r="A560" s="41">
        <v>1464</v>
      </c>
      <c r="B560" s="42" t="s">
        <v>899</v>
      </c>
      <c r="C560" s="43" t="s">
        <v>289</v>
      </c>
      <c r="D560" s="43" t="s">
        <v>435</v>
      </c>
      <c r="E560" s="43" t="s">
        <v>373</v>
      </c>
    </row>
    <row r="561" spans="1:5" x14ac:dyDescent="0.25">
      <c r="A561" s="41">
        <v>1466</v>
      </c>
      <c r="B561" s="42" t="s">
        <v>900</v>
      </c>
      <c r="C561" s="43" t="s">
        <v>289</v>
      </c>
      <c r="D561" s="43" t="s">
        <v>482</v>
      </c>
      <c r="E561" s="43" t="s">
        <v>373</v>
      </c>
    </row>
    <row r="562" spans="1:5" x14ac:dyDescent="0.25">
      <c r="A562" s="41">
        <v>1467</v>
      </c>
      <c r="B562" s="42" t="s">
        <v>901</v>
      </c>
      <c r="C562" s="43" t="s">
        <v>289</v>
      </c>
      <c r="D562" s="43" t="s">
        <v>482</v>
      </c>
      <c r="E562" s="43" t="s">
        <v>373</v>
      </c>
    </row>
    <row r="563" spans="1:5" x14ac:dyDescent="0.25">
      <c r="A563" s="41">
        <v>1468</v>
      </c>
      <c r="B563" s="42" t="s">
        <v>902</v>
      </c>
      <c r="C563" s="43" t="s">
        <v>289</v>
      </c>
      <c r="D563" s="43" t="s">
        <v>316</v>
      </c>
      <c r="E563" s="43" t="s">
        <v>373</v>
      </c>
    </row>
    <row r="564" spans="1:5" x14ac:dyDescent="0.25">
      <c r="A564" s="41">
        <v>1469</v>
      </c>
      <c r="B564" s="42" t="s">
        <v>903</v>
      </c>
      <c r="C564" s="43" t="s">
        <v>289</v>
      </c>
      <c r="D564" s="43" t="s">
        <v>316</v>
      </c>
      <c r="E564" s="43" t="s">
        <v>373</v>
      </c>
    </row>
    <row r="565" spans="1:5" x14ac:dyDescent="0.25">
      <c r="A565" s="41">
        <v>1472</v>
      </c>
      <c r="B565" s="42" t="s">
        <v>904</v>
      </c>
      <c r="C565" s="43" t="s">
        <v>289</v>
      </c>
      <c r="D565" s="43" t="s">
        <v>333</v>
      </c>
      <c r="E565" s="43" t="s">
        <v>230</v>
      </c>
    </row>
    <row r="566" spans="1:5" x14ac:dyDescent="0.25">
      <c r="A566" s="41">
        <v>1473</v>
      </c>
      <c r="B566" s="42" t="s">
        <v>905</v>
      </c>
      <c r="C566" s="43" t="s">
        <v>289</v>
      </c>
      <c r="D566" s="43" t="s">
        <v>375</v>
      </c>
      <c r="E566" s="43" t="s">
        <v>230</v>
      </c>
    </row>
    <row r="567" spans="1:5" x14ac:dyDescent="0.25">
      <c r="A567" s="41">
        <v>1475</v>
      </c>
      <c r="B567" s="42" t="s">
        <v>906</v>
      </c>
      <c r="C567" s="43" t="s">
        <v>289</v>
      </c>
      <c r="D567" s="43" t="s">
        <v>333</v>
      </c>
      <c r="E567" s="43" t="s">
        <v>230</v>
      </c>
    </row>
    <row r="568" spans="1:5" x14ac:dyDescent="0.25">
      <c r="A568" s="41">
        <v>1479</v>
      </c>
      <c r="B568" s="42" t="s">
        <v>907</v>
      </c>
      <c r="C568" s="43" t="s">
        <v>289</v>
      </c>
      <c r="D568" s="43" t="s">
        <v>908</v>
      </c>
      <c r="E568" s="43" t="s">
        <v>454</v>
      </c>
    </row>
    <row r="569" spans="1:5" x14ac:dyDescent="0.25">
      <c r="A569" s="41">
        <v>1488</v>
      </c>
      <c r="B569" s="42" t="s">
        <v>909</v>
      </c>
      <c r="C569" s="43" t="s">
        <v>289</v>
      </c>
      <c r="D569" s="43" t="s">
        <v>435</v>
      </c>
      <c r="E569" s="43" t="s">
        <v>230</v>
      </c>
    </row>
    <row r="570" spans="1:5" x14ac:dyDescent="0.25">
      <c r="A570" s="41">
        <v>1490</v>
      </c>
      <c r="B570" s="42" t="s">
        <v>910</v>
      </c>
      <c r="C570" s="43" t="s">
        <v>289</v>
      </c>
      <c r="D570" s="43" t="s">
        <v>499</v>
      </c>
      <c r="E570" s="43" t="s">
        <v>336</v>
      </c>
    </row>
    <row r="571" spans="1:5" x14ac:dyDescent="0.25">
      <c r="A571" s="41">
        <v>1491</v>
      </c>
      <c r="B571" s="42" t="s">
        <v>911</v>
      </c>
      <c r="C571" s="43" t="s">
        <v>289</v>
      </c>
      <c r="D571" s="43" t="s">
        <v>499</v>
      </c>
      <c r="E571" s="43" t="s">
        <v>336</v>
      </c>
    </row>
    <row r="572" spans="1:5" x14ac:dyDescent="0.25">
      <c r="A572" s="41">
        <v>1494</v>
      </c>
      <c r="B572" s="42" t="s">
        <v>912</v>
      </c>
      <c r="C572" s="43" t="s">
        <v>289</v>
      </c>
      <c r="D572" s="43" t="s">
        <v>499</v>
      </c>
      <c r="E572" s="43" t="s">
        <v>336</v>
      </c>
    </row>
    <row r="573" spans="1:5" x14ac:dyDescent="0.25">
      <c r="A573" s="41">
        <v>1495</v>
      </c>
      <c r="B573" s="42" t="s">
        <v>913</v>
      </c>
      <c r="C573" s="43" t="s">
        <v>289</v>
      </c>
      <c r="D573" s="43" t="s">
        <v>435</v>
      </c>
      <c r="E573" s="43" t="s">
        <v>230</v>
      </c>
    </row>
    <row r="574" spans="1:5" x14ac:dyDescent="0.25">
      <c r="A574" s="41">
        <v>1499</v>
      </c>
      <c r="B574" s="42" t="s">
        <v>914</v>
      </c>
      <c r="C574" s="43" t="s">
        <v>289</v>
      </c>
      <c r="D574" s="43" t="s">
        <v>633</v>
      </c>
      <c r="E574" s="43" t="s">
        <v>230</v>
      </c>
    </row>
    <row r="575" spans="1:5" x14ac:dyDescent="0.25">
      <c r="A575" s="41">
        <v>1504</v>
      </c>
      <c r="B575" s="42" t="s">
        <v>915</v>
      </c>
      <c r="C575" s="43" t="s">
        <v>289</v>
      </c>
      <c r="D575" s="43" t="s">
        <v>499</v>
      </c>
      <c r="E575" s="43" t="s">
        <v>336</v>
      </c>
    </row>
    <row r="576" spans="1:5" x14ac:dyDescent="0.25">
      <c r="A576" s="41">
        <v>1505</v>
      </c>
      <c r="B576" s="42" t="s">
        <v>916</v>
      </c>
      <c r="C576" s="43" t="s">
        <v>289</v>
      </c>
      <c r="D576" s="43" t="s">
        <v>499</v>
      </c>
      <c r="E576" s="43" t="s">
        <v>336</v>
      </c>
    </row>
    <row r="577" spans="1:5" x14ac:dyDescent="0.25">
      <c r="A577" s="41">
        <v>1507</v>
      </c>
      <c r="B577" s="42" t="s">
        <v>917</v>
      </c>
      <c r="C577" s="43" t="s">
        <v>289</v>
      </c>
      <c r="D577" s="43" t="s">
        <v>499</v>
      </c>
      <c r="E577" s="43" t="s">
        <v>336</v>
      </c>
    </row>
    <row r="578" spans="1:5" x14ac:dyDescent="0.25">
      <c r="A578" s="41">
        <v>1509</v>
      </c>
      <c r="B578" s="42" t="s">
        <v>918</v>
      </c>
      <c r="C578" s="43" t="s">
        <v>289</v>
      </c>
      <c r="D578" s="43" t="s">
        <v>499</v>
      </c>
      <c r="E578" s="43" t="s">
        <v>336</v>
      </c>
    </row>
    <row r="579" spans="1:5" x14ac:dyDescent="0.25">
      <c r="A579" s="41">
        <v>1510</v>
      </c>
      <c r="B579" s="42" t="s">
        <v>919</v>
      </c>
      <c r="C579" s="43" t="s">
        <v>289</v>
      </c>
      <c r="D579" s="43" t="s">
        <v>499</v>
      </c>
      <c r="E579" s="43" t="s">
        <v>336</v>
      </c>
    </row>
    <row r="580" spans="1:5" x14ac:dyDescent="0.25">
      <c r="A580" s="41">
        <v>1511</v>
      </c>
      <c r="B580" s="42" t="s">
        <v>920</v>
      </c>
      <c r="C580" s="43" t="s">
        <v>289</v>
      </c>
      <c r="D580" s="43" t="s">
        <v>499</v>
      </c>
      <c r="E580" s="43" t="s">
        <v>336</v>
      </c>
    </row>
    <row r="581" spans="1:5" x14ac:dyDescent="0.25">
      <c r="A581" s="41">
        <v>1512</v>
      </c>
      <c r="B581" s="42" t="s">
        <v>921</v>
      </c>
      <c r="C581" s="43" t="s">
        <v>289</v>
      </c>
      <c r="D581" s="43" t="s">
        <v>499</v>
      </c>
      <c r="E581" s="43" t="s">
        <v>336</v>
      </c>
    </row>
    <row r="582" spans="1:5" x14ac:dyDescent="0.25">
      <c r="A582" s="41">
        <v>1513</v>
      </c>
      <c r="B582" s="42" t="s">
        <v>922</v>
      </c>
      <c r="C582" s="43" t="s">
        <v>289</v>
      </c>
      <c r="D582" s="43" t="s">
        <v>499</v>
      </c>
      <c r="E582" s="43" t="s">
        <v>472</v>
      </c>
    </row>
    <row r="583" spans="1:5" x14ac:dyDescent="0.25">
      <c r="A583" s="41">
        <v>1520</v>
      </c>
      <c r="B583" s="42" t="s">
        <v>923</v>
      </c>
      <c r="C583" s="43" t="s">
        <v>289</v>
      </c>
      <c r="D583" s="43" t="s">
        <v>499</v>
      </c>
      <c r="E583" s="43" t="s">
        <v>472</v>
      </c>
    </row>
    <row r="584" spans="1:5" x14ac:dyDescent="0.25">
      <c r="A584" s="41">
        <v>1521</v>
      </c>
      <c r="B584" s="42" t="s">
        <v>924</v>
      </c>
      <c r="C584" s="43" t="s">
        <v>289</v>
      </c>
      <c r="D584" s="43" t="s">
        <v>499</v>
      </c>
      <c r="E584" s="43" t="s">
        <v>472</v>
      </c>
    </row>
    <row r="585" spans="1:5" x14ac:dyDescent="0.25">
      <c r="A585" s="41">
        <v>1522</v>
      </c>
      <c r="B585" s="42" t="s">
        <v>925</v>
      </c>
      <c r="C585" s="43" t="s">
        <v>289</v>
      </c>
      <c r="D585" s="43" t="s">
        <v>499</v>
      </c>
      <c r="E585" s="43" t="s">
        <v>472</v>
      </c>
    </row>
    <row r="586" spans="1:5" x14ac:dyDescent="0.25">
      <c r="A586" s="41">
        <v>1523</v>
      </c>
      <c r="B586" s="42" t="s">
        <v>926</v>
      </c>
      <c r="C586" s="43" t="s">
        <v>289</v>
      </c>
      <c r="D586" s="43" t="s">
        <v>499</v>
      </c>
      <c r="E586" s="43" t="s">
        <v>472</v>
      </c>
    </row>
    <row r="587" spans="1:5" x14ac:dyDescent="0.25">
      <c r="A587" s="41">
        <v>1524</v>
      </c>
      <c r="B587" s="42" t="s">
        <v>927</v>
      </c>
      <c r="C587" s="43" t="s">
        <v>289</v>
      </c>
      <c r="D587" s="43" t="s">
        <v>499</v>
      </c>
      <c r="E587" s="43" t="s">
        <v>472</v>
      </c>
    </row>
    <row r="588" spans="1:5" x14ac:dyDescent="0.25">
      <c r="A588" s="41">
        <v>1527</v>
      </c>
      <c r="B588" s="42" t="s">
        <v>928</v>
      </c>
      <c r="C588" s="43" t="s">
        <v>289</v>
      </c>
      <c r="D588" s="43" t="s">
        <v>499</v>
      </c>
      <c r="E588" s="43" t="s">
        <v>472</v>
      </c>
    </row>
    <row r="589" spans="1:5" x14ac:dyDescent="0.25">
      <c r="A589" s="41">
        <v>1531</v>
      </c>
      <c r="B589" s="42" t="s">
        <v>929</v>
      </c>
      <c r="C589" s="43" t="s">
        <v>289</v>
      </c>
      <c r="D589" s="43" t="s">
        <v>499</v>
      </c>
      <c r="E589" s="43" t="s">
        <v>472</v>
      </c>
    </row>
    <row r="590" spans="1:5" x14ac:dyDescent="0.25">
      <c r="A590" s="41">
        <v>1533</v>
      </c>
      <c r="B590" s="42" t="s">
        <v>930</v>
      </c>
      <c r="C590" s="43" t="s">
        <v>289</v>
      </c>
      <c r="D590" s="43" t="s">
        <v>499</v>
      </c>
      <c r="E590" s="43" t="s">
        <v>336</v>
      </c>
    </row>
    <row r="591" spans="1:5" x14ac:dyDescent="0.25">
      <c r="A591" s="41">
        <v>1534</v>
      </c>
      <c r="B591" s="42" t="s">
        <v>931</v>
      </c>
      <c r="C591" s="43" t="s">
        <v>289</v>
      </c>
      <c r="D591" s="43" t="s">
        <v>499</v>
      </c>
      <c r="E591" s="43" t="s">
        <v>472</v>
      </c>
    </row>
    <row r="592" spans="1:5" x14ac:dyDescent="0.25">
      <c r="A592" s="41">
        <v>1535</v>
      </c>
      <c r="B592" s="42" t="s">
        <v>932</v>
      </c>
      <c r="C592" s="43" t="s">
        <v>289</v>
      </c>
      <c r="D592" s="43" t="s">
        <v>499</v>
      </c>
      <c r="E592" s="43" t="s">
        <v>472</v>
      </c>
    </row>
    <row r="593" spans="1:5" x14ac:dyDescent="0.25">
      <c r="A593" s="41">
        <v>1537</v>
      </c>
      <c r="B593" s="42" t="s">
        <v>933</v>
      </c>
      <c r="C593" s="43" t="s">
        <v>289</v>
      </c>
      <c r="D593" s="43" t="s">
        <v>327</v>
      </c>
      <c r="E593" s="43" t="s">
        <v>230</v>
      </c>
    </row>
    <row r="594" spans="1:5" x14ac:dyDescent="0.25">
      <c r="A594" s="41">
        <v>1538</v>
      </c>
      <c r="B594" s="42" t="s">
        <v>934</v>
      </c>
      <c r="C594" s="43" t="s">
        <v>289</v>
      </c>
      <c r="D594" s="43" t="s">
        <v>499</v>
      </c>
      <c r="E594" s="43" t="s">
        <v>472</v>
      </c>
    </row>
    <row r="595" spans="1:5" x14ac:dyDescent="0.25">
      <c r="A595" s="41">
        <v>1541</v>
      </c>
      <c r="B595" s="42" t="s">
        <v>935</v>
      </c>
      <c r="C595" s="43" t="s">
        <v>289</v>
      </c>
      <c r="D595" s="43" t="s">
        <v>290</v>
      </c>
      <c r="E595" s="43" t="s">
        <v>230</v>
      </c>
    </row>
    <row r="596" spans="1:5" x14ac:dyDescent="0.25">
      <c r="A596" s="41">
        <v>1546</v>
      </c>
      <c r="B596" s="42" t="s">
        <v>936</v>
      </c>
      <c r="C596" s="43" t="s">
        <v>289</v>
      </c>
      <c r="D596" s="43" t="s">
        <v>290</v>
      </c>
      <c r="E596" s="43" t="s">
        <v>230</v>
      </c>
    </row>
    <row r="597" spans="1:5" x14ac:dyDescent="0.25">
      <c r="A597" s="41">
        <v>1547</v>
      </c>
      <c r="B597" s="42" t="s">
        <v>937</v>
      </c>
      <c r="C597" s="43" t="s">
        <v>289</v>
      </c>
      <c r="D597" s="43" t="s">
        <v>435</v>
      </c>
      <c r="E597" s="43" t="s">
        <v>230</v>
      </c>
    </row>
    <row r="598" spans="1:5" x14ac:dyDescent="0.25">
      <c r="A598" s="41">
        <v>1549</v>
      </c>
      <c r="B598" s="42" t="s">
        <v>938</v>
      </c>
      <c r="C598" s="43" t="s">
        <v>289</v>
      </c>
      <c r="D598" s="43" t="s">
        <v>435</v>
      </c>
      <c r="E598" s="43" t="s">
        <v>230</v>
      </c>
    </row>
    <row r="599" spans="1:5" x14ac:dyDescent="0.25">
      <c r="A599" s="41">
        <v>1551</v>
      </c>
      <c r="B599" s="42" t="s">
        <v>939</v>
      </c>
      <c r="C599" s="43" t="s">
        <v>289</v>
      </c>
      <c r="D599" s="43" t="s">
        <v>435</v>
      </c>
      <c r="E599" s="43" t="s">
        <v>230</v>
      </c>
    </row>
    <row r="600" spans="1:5" x14ac:dyDescent="0.25">
      <c r="A600" s="41">
        <v>1552</v>
      </c>
      <c r="B600" s="42" t="s">
        <v>940</v>
      </c>
      <c r="C600" s="43" t="s">
        <v>289</v>
      </c>
      <c r="D600" s="43" t="s">
        <v>941</v>
      </c>
      <c r="E600" s="43" t="s">
        <v>230</v>
      </c>
    </row>
    <row r="601" spans="1:5" x14ac:dyDescent="0.25">
      <c r="A601" s="41">
        <v>1553</v>
      </c>
      <c r="B601" s="42" t="s">
        <v>942</v>
      </c>
      <c r="C601" s="43" t="s">
        <v>289</v>
      </c>
      <c r="D601" s="43" t="s">
        <v>333</v>
      </c>
      <c r="E601" s="43" t="s">
        <v>230</v>
      </c>
    </row>
    <row r="602" spans="1:5" x14ac:dyDescent="0.25">
      <c r="A602" s="41">
        <v>1558</v>
      </c>
      <c r="B602" s="42" t="s">
        <v>943</v>
      </c>
      <c r="C602" s="43" t="s">
        <v>289</v>
      </c>
      <c r="D602" s="43" t="s">
        <v>941</v>
      </c>
      <c r="E602" s="43" t="s">
        <v>230</v>
      </c>
    </row>
    <row r="603" spans="1:5" x14ac:dyDescent="0.25">
      <c r="A603" s="41">
        <v>1562</v>
      </c>
      <c r="B603" s="42" t="s">
        <v>944</v>
      </c>
      <c r="C603" s="43" t="s">
        <v>289</v>
      </c>
      <c r="D603" s="43" t="s">
        <v>941</v>
      </c>
      <c r="E603" s="43" t="s">
        <v>454</v>
      </c>
    </row>
    <row r="604" spans="1:5" x14ac:dyDescent="0.25">
      <c r="A604" s="41">
        <v>1565</v>
      </c>
      <c r="B604" s="42" t="s">
        <v>945</v>
      </c>
      <c r="C604" s="43" t="s">
        <v>289</v>
      </c>
      <c r="D604" s="43" t="s">
        <v>941</v>
      </c>
      <c r="E604" s="43" t="s">
        <v>454</v>
      </c>
    </row>
    <row r="605" spans="1:5" x14ac:dyDescent="0.25">
      <c r="A605" s="41">
        <v>1572</v>
      </c>
      <c r="B605" s="42" t="s">
        <v>946</v>
      </c>
      <c r="C605" s="43" t="s">
        <v>289</v>
      </c>
      <c r="D605" s="43" t="s">
        <v>941</v>
      </c>
      <c r="E605" s="43" t="s">
        <v>454</v>
      </c>
    </row>
    <row r="606" spans="1:5" x14ac:dyDescent="0.25">
      <c r="A606" s="41">
        <v>1573</v>
      </c>
      <c r="B606" s="42" t="s">
        <v>947</v>
      </c>
      <c r="C606" s="43" t="s">
        <v>289</v>
      </c>
      <c r="D606" s="43" t="s">
        <v>941</v>
      </c>
      <c r="E606" s="43" t="s">
        <v>454</v>
      </c>
    </row>
    <row r="607" spans="1:5" x14ac:dyDescent="0.25">
      <c r="A607" s="41">
        <v>1576</v>
      </c>
      <c r="B607" s="42" t="s">
        <v>948</v>
      </c>
      <c r="C607" s="43" t="s">
        <v>289</v>
      </c>
      <c r="D607" s="43" t="s">
        <v>949</v>
      </c>
      <c r="E607" s="43" t="s">
        <v>769</v>
      </c>
    </row>
    <row r="608" spans="1:5" x14ac:dyDescent="0.25">
      <c r="A608" s="41">
        <v>1578</v>
      </c>
      <c r="B608" s="42" t="s">
        <v>950</v>
      </c>
      <c r="C608" s="43" t="s">
        <v>289</v>
      </c>
      <c r="D608" s="43" t="s">
        <v>941</v>
      </c>
      <c r="E608" s="43" t="s">
        <v>454</v>
      </c>
    </row>
    <row r="609" spans="1:5" x14ac:dyDescent="0.25">
      <c r="A609" s="41">
        <v>1589</v>
      </c>
      <c r="B609" s="42" t="s">
        <v>951</v>
      </c>
      <c r="C609" s="43" t="s">
        <v>289</v>
      </c>
      <c r="D609" s="43" t="s">
        <v>941</v>
      </c>
      <c r="E609" s="43" t="s">
        <v>454</v>
      </c>
    </row>
    <row r="610" spans="1:5" x14ac:dyDescent="0.25">
      <c r="A610" s="41">
        <v>1592</v>
      </c>
      <c r="B610" s="42" t="s">
        <v>952</v>
      </c>
      <c r="C610" s="43" t="s">
        <v>289</v>
      </c>
      <c r="D610" s="43" t="s">
        <v>633</v>
      </c>
      <c r="E610" s="43" t="s">
        <v>769</v>
      </c>
    </row>
    <row r="611" spans="1:5" x14ac:dyDescent="0.25">
      <c r="A611" s="41">
        <v>1594</v>
      </c>
      <c r="B611" s="42" t="s">
        <v>953</v>
      </c>
      <c r="C611" s="43" t="s">
        <v>289</v>
      </c>
      <c r="D611" s="43" t="s">
        <v>333</v>
      </c>
      <c r="E611" s="43" t="s">
        <v>385</v>
      </c>
    </row>
    <row r="612" spans="1:5" x14ac:dyDescent="0.25">
      <c r="A612" s="41">
        <v>1596</v>
      </c>
      <c r="B612" s="42" t="s">
        <v>954</v>
      </c>
      <c r="C612" s="43" t="s">
        <v>289</v>
      </c>
      <c r="D612" s="43" t="s">
        <v>499</v>
      </c>
      <c r="E612" s="43" t="s">
        <v>472</v>
      </c>
    </row>
    <row r="613" spans="1:5" x14ac:dyDescent="0.25">
      <c r="A613" s="41">
        <v>1597</v>
      </c>
      <c r="B613" s="42" t="s">
        <v>955</v>
      </c>
      <c r="C613" s="43" t="s">
        <v>289</v>
      </c>
      <c r="D613" s="43" t="s">
        <v>499</v>
      </c>
      <c r="E613" s="43" t="s">
        <v>472</v>
      </c>
    </row>
    <row r="614" spans="1:5" x14ac:dyDescent="0.25">
      <c r="A614" s="41">
        <v>1605</v>
      </c>
      <c r="B614" s="42" t="s">
        <v>956</v>
      </c>
      <c r="C614" s="43" t="s">
        <v>289</v>
      </c>
      <c r="D614" s="43" t="s">
        <v>433</v>
      </c>
      <c r="E614" s="43" t="s">
        <v>230</v>
      </c>
    </row>
    <row r="615" spans="1:5" x14ac:dyDescent="0.25">
      <c r="A615" s="41">
        <v>1611</v>
      </c>
      <c r="B615" s="42" t="s">
        <v>957</v>
      </c>
      <c r="C615" s="43" t="s">
        <v>289</v>
      </c>
      <c r="D615" s="43" t="s">
        <v>499</v>
      </c>
      <c r="E615" s="43" t="s">
        <v>472</v>
      </c>
    </row>
    <row r="616" spans="1:5" x14ac:dyDescent="0.25">
      <c r="A616" s="41">
        <v>1613</v>
      </c>
      <c r="B616" s="42" t="s">
        <v>958</v>
      </c>
      <c r="C616" s="43" t="s">
        <v>289</v>
      </c>
      <c r="D616" s="43" t="s">
        <v>959</v>
      </c>
      <c r="E616" s="43" t="s">
        <v>769</v>
      </c>
    </row>
    <row r="617" spans="1:5" x14ac:dyDescent="0.25">
      <c r="A617" s="41">
        <v>1614</v>
      </c>
      <c r="B617" s="42" t="s">
        <v>960</v>
      </c>
      <c r="C617" s="43" t="s">
        <v>289</v>
      </c>
      <c r="D617" s="43" t="s">
        <v>959</v>
      </c>
      <c r="E617" s="43" t="s">
        <v>769</v>
      </c>
    </row>
    <row r="618" spans="1:5" x14ac:dyDescent="0.25">
      <c r="A618" s="41">
        <v>1619</v>
      </c>
      <c r="B618" s="42" t="s">
        <v>961</v>
      </c>
      <c r="C618" s="43" t="s">
        <v>289</v>
      </c>
      <c r="D618" s="43" t="s">
        <v>333</v>
      </c>
      <c r="E618" s="43" t="s">
        <v>230</v>
      </c>
    </row>
    <row r="619" spans="1:5" x14ac:dyDescent="0.25">
      <c r="A619" s="41">
        <v>1622</v>
      </c>
      <c r="B619" s="42" t="s">
        <v>962</v>
      </c>
      <c r="C619" s="43" t="s">
        <v>289</v>
      </c>
      <c r="D619" s="43" t="s">
        <v>327</v>
      </c>
      <c r="E619" s="43" t="s">
        <v>230</v>
      </c>
    </row>
    <row r="620" spans="1:5" x14ac:dyDescent="0.25">
      <c r="A620" s="41">
        <v>1623</v>
      </c>
      <c r="B620" s="42" t="s">
        <v>963</v>
      </c>
      <c r="C620" s="43" t="s">
        <v>289</v>
      </c>
      <c r="D620" s="43" t="s">
        <v>633</v>
      </c>
      <c r="E620" s="43" t="s">
        <v>170</v>
      </c>
    </row>
    <row r="621" spans="1:5" x14ac:dyDescent="0.25">
      <c r="A621" s="41">
        <v>1625</v>
      </c>
      <c r="B621" s="42" t="s">
        <v>964</v>
      </c>
      <c r="C621" s="43" t="s">
        <v>289</v>
      </c>
      <c r="D621" s="43" t="s">
        <v>499</v>
      </c>
      <c r="E621" s="43" t="s">
        <v>472</v>
      </c>
    </row>
    <row r="622" spans="1:5" x14ac:dyDescent="0.25">
      <c r="A622" s="41">
        <v>1626</v>
      </c>
      <c r="B622" s="42" t="s">
        <v>965</v>
      </c>
      <c r="C622" s="43" t="s">
        <v>289</v>
      </c>
      <c r="D622" s="43" t="s">
        <v>966</v>
      </c>
      <c r="E622" s="43" t="s">
        <v>230</v>
      </c>
    </row>
    <row r="623" spans="1:5" x14ac:dyDescent="0.25">
      <c r="A623" s="41">
        <v>1627</v>
      </c>
      <c r="B623" s="42" t="s">
        <v>967</v>
      </c>
      <c r="C623" s="43" t="s">
        <v>289</v>
      </c>
      <c r="D623" s="43" t="s">
        <v>499</v>
      </c>
      <c r="E623" s="43" t="s">
        <v>472</v>
      </c>
    </row>
    <row r="624" spans="1:5" x14ac:dyDescent="0.25">
      <c r="A624" s="41">
        <v>1628</v>
      </c>
      <c r="B624" s="42" t="s">
        <v>968</v>
      </c>
      <c r="C624" s="43" t="s">
        <v>289</v>
      </c>
      <c r="D624" s="43" t="s">
        <v>499</v>
      </c>
      <c r="E624" s="43" t="s">
        <v>472</v>
      </c>
    </row>
    <row r="625" spans="1:5" x14ac:dyDescent="0.25">
      <c r="A625" s="41">
        <v>1629</v>
      </c>
      <c r="B625" s="42" t="s">
        <v>969</v>
      </c>
      <c r="C625" s="43" t="s">
        <v>289</v>
      </c>
      <c r="D625" s="43" t="s">
        <v>499</v>
      </c>
      <c r="E625" s="43" t="s">
        <v>472</v>
      </c>
    </row>
    <row r="626" spans="1:5" x14ac:dyDescent="0.25">
      <c r="A626" s="41">
        <v>1630</v>
      </c>
      <c r="B626" s="42" t="s">
        <v>970</v>
      </c>
      <c r="C626" s="43" t="s">
        <v>289</v>
      </c>
      <c r="D626" s="43" t="s">
        <v>499</v>
      </c>
      <c r="E626" s="43" t="s">
        <v>472</v>
      </c>
    </row>
    <row r="627" spans="1:5" x14ac:dyDescent="0.25">
      <c r="A627" s="41">
        <v>1631</v>
      </c>
      <c r="B627" s="42" t="s">
        <v>971</v>
      </c>
      <c r="C627" s="43" t="s">
        <v>289</v>
      </c>
      <c r="D627" s="43" t="s">
        <v>499</v>
      </c>
      <c r="E627" s="43" t="s">
        <v>472</v>
      </c>
    </row>
    <row r="628" spans="1:5" x14ac:dyDescent="0.25">
      <c r="A628" s="41">
        <v>1632</v>
      </c>
      <c r="B628" s="42" t="s">
        <v>972</v>
      </c>
      <c r="C628" s="43" t="s">
        <v>289</v>
      </c>
      <c r="D628" s="43" t="s">
        <v>499</v>
      </c>
      <c r="E628" s="43" t="s">
        <v>472</v>
      </c>
    </row>
    <row r="629" spans="1:5" x14ac:dyDescent="0.25">
      <c r="A629" s="41">
        <v>1636</v>
      </c>
      <c r="B629" s="42" t="s">
        <v>973</v>
      </c>
      <c r="C629" s="43" t="s">
        <v>289</v>
      </c>
      <c r="D629" s="43" t="s">
        <v>499</v>
      </c>
      <c r="E629" s="43" t="s">
        <v>472</v>
      </c>
    </row>
    <row r="630" spans="1:5" x14ac:dyDescent="0.25">
      <c r="A630" s="41">
        <v>1637</v>
      </c>
      <c r="B630" s="42" t="s">
        <v>974</v>
      </c>
      <c r="C630" s="43" t="s">
        <v>289</v>
      </c>
      <c r="D630" s="43" t="s">
        <v>474</v>
      </c>
      <c r="E630" s="43" t="s">
        <v>230</v>
      </c>
    </row>
    <row r="631" spans="1:5" x14ac:dyDescent="0.25">
      <c r="A631" s="41">
        <v>1638</v>
      </c>
      <c r="B631" s="42" t="s">
        <v>975</v>
      </c>
      <c r="C631" s="43" t="s">
        <v>289</v>
      </c>
      <c r="D631" s="43" t="s">
        <v>499</v>
      </c>
      <c r="E631" s="43" t="s">
        <v>472</v>
      </c>
    </row>
    <row r="632" spans="1:5" x14ac:dyDescent="0.25">
      <c r="A632" s="41">
        <v>1639</v>
      </c>
      <c r="B632" s="42" t="s">
        <v>976</v>
      </c>
      <c r="C632" s="43" t="s">
        <v>289</v>
      </c>
      <c r="D632" s="43" t="s">
        <v>977</v>
      </c>
      <c r="E632" s="43" t="s">
        <v>230</v>
      </c>
    </row>
    <row r="633" spans="1:5" x14ac:dyDescent="0.25">
      <c r="A633" s="41">
        <v>1641</v>
      </c>
      <c r="B633" s="42" t="s">
        <v>978</v>
      </c>
      <c r="C633" s="43" t="s">
        <v>289</v>
      </c>
      <c r="D633" s="43" t="s">
        <v>977</v>
      </c>
      <c r="E633" s="43" t="s">
        <v>336</v>
      </c>
    </row>
    <row r="634" spans="1:5" x14ac:dyDescent="0.25">
      <c r="A634" s="41">
        <v>1642</v>
      </c>
      <c r="B634" s="42" t="s">
        <v>979</v>
      </c>
      <c r="C634" s="43" t="s">
        <v>289</v>
      </c>
      <c r="D634" s="43" t="s">
        <v>499</v>
      </c>
      <c r="E634" s="43" t="s">
        <v>472</v>
      </c>
    </row>
    <row r="635" spans="1:5" x14ac:dyDescent="0.25">
      <c r="A635" s="41">
        <v>1643</v>
      </c>
      <c r="B635" s="42" t="s">
        <v>980</v>
      </c>
      <c r="C635" s="43" t="s">
        <v>289</v>
      </c>
      <c r="D635" s="43" t="s">
        <v>499</v>
      </c>
      <c r="E635" s="43" t="s">
        <v>472</v>
      </c>
    </row>
    <row r="636" spans="1:5" x14ac:dyDescent="0.25">
      <c r="A636" s="41">
        <v>1644</v>
      </c>
      <c r="B636" s="42" t="s">
        <v>981</v>
      </c>
      <c r="C636" s="43" t="s">
        <v>289</v>
      </c>
      <c r="D636" s="43" t="s">
        <v>499</v>
      </c>
      <c r="E636" s="43" t="s">
        <v>472</v>
      </c>
    </row>
    <row r="637" spans="1:5" x14ac:dyDescent="0.25">
      <c r="A637" s="41">
        <v>1646</v>
      </c>
      <c r="B637" s="42" t="s">
        <v>982</v>
      </c>
      <c r="C637" s="43" t="s">
        <v>289</v>
      </c>
      <c r="D637" s="43" t="s">
        <v>499</v>
      </c>
      <c r="E637" s="43" t="s">
        <v>472</v>
      </c>
    </row>
    <row r="638" spans="1:5" x14ac:dyDescent="0.25">
      <c r="A638" s="41">
        <v>1647</v>
      </c>
      <c r="B638" s="42" t="s">
        <v>983</v>
      </c>
      <c r="C638" s="43" t="s">
        <v>289</v>
      </c>
      <c r="D638" s="43" t="s">
        <v>633</v>
      </c>
      <c r="E638" s="43" t="s">
        <v>230</v>
      </c>
    </row>
    <row r="639" spans="1:5" x14ac:dyDescent="0.25">
      <c r="A639" s="41">
        <v>1648</v>
      </c>
      <c r="B639" s="42" t="s">
        <v>984</v>
      </c>
      <c r="C639" s="43" t="s">
        <v>289</v>
      </c>
      <c r="D639" s="43" t="s">
        <v>499</v>
      </c>
      <c r="E639" s="43" t="s">
        <v>472</v>
      </c>
    </row>
    <row r="640" spans="1:5" x14ac:dyDescent="0.25">
      <c r="A640" s="41">
        <v>1649</v>
      </c>
      <c r="B640" s="42" t="s">
        <v>985</v>
      </c>
      <c r="C640" s="43" t="s">
        <v>289</v>
      </c>
      <c r="D640" s="43" t="s">
        <v>499</v>
      </c>
      <c r="E640" s="43" t="s">
        <v>472</v>
      </c>
    </row>
    <row r="641" spans="1:5" x14ac:dyDescent="0.25">
      <c r="A641" s="41">
        <v>1650</v>
      </c>
      <c r="B641" s="42" t="s">
        <v>986</v>
      </c>
      <c r="C641" s="43" t="s">
        <v>289</v>
      </c>
      <c r="D641" s="43" t="s">
        <v>499</v>
      </c>
      <c r="E641" s="43" t="s">
        <v>472</v>
      </c>
    </row>
    <row r="642" spans="1:5" x14ac:dyDescent="0.25">
      <c r="A642" s="41">
        <v>1651</v>
      </c>
      <c r="B642" s="42" t="s">
        <v>987</v>
      </c>
      <c r="C642" s="43" t="s">
        <v>289</v>
      </c>
      <c r="D642" s="43" t="s">
        <v>499</v>
      </c>
      <c r="E642" s="43" t="s">
        <v>472</v>
      </c>
    </row>
    <row r="643" spans="1:5" x14ac:dyDescent="0.25">
      <c r="A643" s="41">
        <v>1659</v>
      </c>
      <c r="B643" s="42" t="s">
        <v>988</v>
      </c>
      <c r="C643" s="43" t="s">
        <v>289</v>
      </c>
      <c r="D643" s="43" t="s">
        <v>499</v>
      </c>
      <c r="E643" s="43" t="s">
        <v>472</v>
      </c>
    </row>
    <row r="644" spans="1:5" x14ac:dyDescent="0.25">
      <c r="A644" s="41">
        <v>1660</v>
      </c>
      <c r="B644" s="42" t="s">
        <v>989</v>
      </c>
      <c r="C644" s="43" t="s">
        <v>289</v>
      </c>
      <c r="D644" s="43" t="s">
        <v>499</v>
      </c>
      <c r="E644" s="43" t="s">
        <v>472</v>
      </c>
    </row>
    <row r="645" spans="1:5" x14ac:dyDescent="0.25">
      <c r="A645" s="41">
        <v>1662</v>
      </c>
      <c r="B645" s="42" t="s">
        <v>990</v>
      </c>
      <c r="C645" s="43" t="s">
        <v>289</v>
      </c>
      <c r="D645" s="43" t="s">
        <v>333</v>
      </c>
      <c r="E645" s="43" t="s">
        <v>230</v>
      </c>
    </row>
    <row r="646" spans="1:5" x14ac:dyDescent="0.25">
      <c r="A646" s="41">
        <v>1663</v>
      </c>
      <c r="B646" s="42" t="s">
        <v>991</v>
      </c>
      <c r="C646" s="43" t="s">
        <v>289</v>
      </c>
      <c r="D646" s="43" t="s">
        <v>499</v>
      </c>
      <c r="E646" s="43" t="s">
        <v>472</v>
      </c>
    </row>
    <row r="647" spans="1:5" x14ac:dyDescent="0.25">
      <c r="A647" s="41">
        <v>1664</v>
      </c>
      <c r="B647" s="42" t="s">
        <v>992</v>
      </c>
      <c r="C647" s="43" t="s">
        <v>289</v>
      </c>
      <c r="D647" s="43" t="s">
        <v>499</v>
      </c>
      <c r="E647" s="43" t="s">
        <v>472</v>
      </c>
    </row>
    <row r="648" spans="1:5" x14ac:dyDescent="0.25">
      <c r="A648" s="41">
        <v>1668</v>
      </c>
      <c r="B648" s="42" t="s">
        <v>993</v>
      </c>
      <c r="C648" s="43" t="s">
        <v>289</v>
      </c>
      <c r="D648" s="43" t="s">
        <v>499</v>
      </c>
      <c r="E648" s="43" t="s">
        <v>472</v>
      </c>
    </row>
    <row r="649" spans="1:5" x14ac:dyDescent="0.25">
      <c r="A649" s="41">
        <v>1669</v>
      </c>
      <c r="B649" s="42" t="s">
        <v>994</v>
      </c>
      <c r="C649" s="43" t="s">
        <v>289</v>
      </c>
      <c r="D649" s="43" t="s">
        <v>499</v>
      </c>
      <c r="E649" s="43" t="s">
        <v>472</v>
      </c>
    </row>
    <row r="650" spans="1:5" x14ac:dyDescent="0.25">
      <c r="A650" s="41">
        <v>1700</v>
      </c>
      <c r="B650" s="42" t="s">
        <v>995</v>
      </c>
      <c r="C650" s="43" t="s">
        <v>289</v>
      </c>
      <c r="D650" s="43" t="s">
        <v>996</v>
      </c>
      <c r="E650" s="43" t="s">
        <v>230</v>
      </c>
    </row>
    <row r="651" spans="1:5" x14ac:dyDescent="0.25">
      <c r="A651" s="41">
        <v>1722</v>
      </c>
      <c r="B651" s="42" t="s">
        <v>997</v>
      </c>
      <c r="C651" s="43" t="s">
        <v>289</v>
      </c>
      <c r="D651" s="43" t="s">
        <v>410</v>
      </c>
      <c r="E651" s="43" t="s">
        <v>464</v>
      </c>
    </row>
    <row r="652" spans="1:5" x14ac:dyDescent="0.25">
      <c r="A652" s="41">
        <v>1724</v>
      </c>
      <c r="B652" s="42" t="s">
        <v>998</v>
      </c>
      <c r="C652" s="43" t="s">
        <v>289</v>
      </c>
      <c r="D652" s="43" t="s">
        <v>410</v>
      </c>
      <c r="E652" s="43" t="s">
        <v>464</v>
      </c>
    </row>
    <row r="653" spans="1:5" x14ac:dyDescent="0.25">
      <c r="A653" s="41">
        <v>1725</v>
      </c>
      <c r="B653" s="42" t="s">
        <v>999</v>
      </c>
      <c r="C653" s="43" t="s">
        <v>289</v>
      </c>
      <c r="D653" s="43" t="s">
        <v>410</v>
      </c>
      <c r="E653" s="43" t="s">
        <v>464</v>
      </c>
    </row>
    <row r="654" spans="1:5" x14ac:dyDescent="0.25">
      <c r="A654" s="41">
        <v>1726</v>
      </c>
      <c r="B654" s="42" t="s">
        <v>1000</v>
      </c>
      <c r="C654" s="43" t="s">
        <v>289</v>
      </c>
      <c r="D654" s="43" t="s">
        <v>996</v>
      </c>
      <c r="E654" s="43" t="s">
        <v>464</v>
      </c>
    </row>
    <row r="655" spans="1:5" x14ac:dyDescent="0.25">
      <c r="A655" s="41">
        <v>1732</v>
      </c>
      <c r="B655" s="42" t="s">
        <v>1001</v>
      </c>
      <c r="C655" s="43" t="s">
        <v>289</v>
      </c>
      <c r="D655" s="43" t="s">
        <v>996</v>
      </c>
      <c r="E655" s="43" t="s">
        <v>464</v>
      </c>
    </row>
    <row r="656" spans="1:5" x14ac:dyDescent="0.25">
      <c r="A656" s="41">
        <v>1734</v>
      </c>
      <c r="B656" s="42" t="s">
        <v>1002</v>
      </c>
      <c r="C656" s="43" t="s">
        <v>289</v>
      </c>
      <c r="D656" s="43" t="s">
        <v>996</v>
      </c>
      <c r="E656" s="43" t="s">
        <v>464</v>
      </c>
    </row>
    <row r="657" spans="1:5" x14ac:dyDescent="0.25">
      <c r="A657" s="41">
        <v>1735</v>
      </c>
      <c r="B657" s="42" t="s">
        <v>1003</v>
      </c>
      <c r="C657" s="43" t="s">
        <v>289</v>
      </c>
      <c r="D657" s="43" t="s">
        <v>996</v>
      </c>
      <c r="E657" s="43" t="s">
        <v>464</v>
      </c>
    </row>
    <row r="658" spans="1:5" x14ac:dyDescent="0.25">
      <c r="A658" s="41">
        <v>1737</v>
      </c>
      <c r="B658" s="42" t="s">
        <v>1004</v>
      </c>
      <c r="C658" s="43" t="s">
        <v>289</v>
      </c>
      <c r="D658" s="43" t="s">
        <v>996</v>
      </c>
      <c r="E658" s="43" t="s">
        <v>464</v>
      </c>
    </row>
    <row r="659" spans="1:5" x14ac:dyDescent="0.25">
      <c r="A659" s="41">
        <v>1738</v>
      </c>
      <c r="B659" s="42" t="s">
        <v>1005</v>
      </c>
      <c r="C659" s="43" t="s">
        <v>289</v>
      </c>
      <c r="D659" s="43" t="s">
        <v>996</v>
      </c>
      <c r="E659" s="43" t="s">
        <v>464</v>
      </c>
    </row>
    <row r="660" spans="1:5" x14ac:dyDescent="0.25">
      <c r="A660" s="41">
        <v>1739</v>
      </c>
      <c r="B660" s="42" t="s">
        <v>1006</v>
      </c>
      <c r="C660" s="43" t="s">
        <v>289</v>
      </c>
      <c r="D660" s="43" t="s">
        <v>996</v>
      </c>
      <c r="E660" s="43" t="s">
        <v>464</v>
      </c>
    </row>
    <row r="661" spans="1:5" x14ac:dyDescent="0.25">
      <c r="A661" s="41">
        <v>1740</v>
      </c>
      <c r="B661" s="42" t="s">
        <v>1007</v>
      </c>
      <c r="C661" s="43" t="s">
        <v>289</v>
      </c>
      <c r="D661" s="43" t="s">
        <v>996</v>
      </c>
      <c r="E661" s="43" t="s">
        <v>464</v>
      </c>
    </row>
    <row r="662" spans="1:5" x14ac:dyDescent="0.25">
      <c r="A662" s="41">
        <v>1763</v>
      </c>
      <c r="B662" s="42" t="s">
        <v>1008</v>
      </c>
      <c r="C662" s="43" t="s">
        <v>289</v>
      </c>
      <c r="D662" s="43" t="s">
        <v>316</v>
      </c>
      <c r="E662" s="43" t="s">
        <v>230</v>
      </c>
    </row>
    <row r="663" spans="1:5" x14ac:dyDescent="0.25">
      <c r="A663" s="41">
        <v>1785</v>
      </c>
      <c r="B663" s="42" t="s">
        <v>1009</v>
      </c>
      <c r="C663" s="43" t="s">
        <v>289</v>
      </c>
      <c r="D663" s="43" t="s">
        <v>499</v>
      </c>
      <c r="E663" s="43" t="s">
        <v>472</v>
      </c>
    </row>
    <row r="664" spans="1:5" x14ac:dyDescent="0.25">
      <c r="A664" s="41">
        <v>1789</v>
      </c>
      <c r="B664" s="42" t="s">
        <v>1010</v>
      </c>
      <c r="C664" s="43" t="s">
        <v>289</v>
      </c>
      <c r="D664" s="43" t="s">
        <v>635</v>
      </c>
      <c r="E664" s="43" t="s">
        <v>230</v>
      </c>
    </row>
    <row r="665" spans="1:5" x14ac:dyDescent="0.25">
      <c r="A665" s="41">
        <v>1790</v>
      </c>
      <c r="B665" s="42" t="s">
        <v>1011</v>
      </c>
      <c r="C665" s="43" t="s">
        <v>289</v>
      </c>
      <c r="D665" s="43" t="s">
        <v>635</v>
      </c>
      <c r="E665" s="43" t="s">
        <v>230</v>
      </c>
    </row>
    <row r="666" spans="1:5" x14ac:dyDescent="0.25">
      <c r="A666" s="41">
        <v>1792</v>
      </c>
      <c r="B666" s="42" t="s">
        <v>1012</v>
      </c>
      <c r="C666" s="43" t="s">
        <v>289</v>
      </c>
      <c r="D666" s="43" t="s">
        <v>635</v>
      </c>
      <c r="E666" s="43" t="s">
        <v>230</v>
      </c>
    </row>
    <row r="667" spans="1:5" x14ac:dyDescent="0.25">
      <c r="A667" s="41">
        <v>1793</v>
      </c>
      <c r="B667" s="42" t="s">
        <v>1013</v>
      </c>
      <c r="C667" s="43" t="s">
        <v>289</v>
      </c>
      <c r="D667" s="43" t="s">
        <v>635</v>
      </c>
      <c r="E667" s="43" t="s">
        <v>230</v>
      </c>
    </row>
    <row r="668" spans="1:5" x14ac:dyDescent="0.25">
      <c r="A668" s="41">
        <v>1794</v>
      </c>
      <c r="B668" s="42" t="s">
        <v>1014</v>
      </c>
      <c r="C668" s="43" t="s">
        <v>289</v>
      </c>
      <c r="D668" s="43" t="s">
        <v>635</v>
      </c>
      <c r="E668" s="43" t="s">
        <v>230</v>
      </c>
    </row>
    <row r="669" spans="1:5" x14ac:dyDescent="0.25">
      <c r="A669" s="41">
        <v>1795</v>
      </c>
      <c r="B669" s="42" t="s">
        <v>1015</v>
      </c>
      <c r="C669" s="43" t="s">
        <v>289</v>
      </c>
      <c r="D669" s="43" t="s">
        <v>635</v>
      </c>
      <c r="E669" s="43" t="s">
        <v>230</v>
      </c>
    </row>
    <row r="670" spans="1:5" x14ac:dyDescent="0.25">
      <c r="A670" s="41">
        <v>1798</v>
      </c>
      <c r="B670" s="42" t="s">
        <v>1016</v>
      </c>
      <c r="C670" s="43" t="s">
        <v>289</v>
      </c>
      <c r="D670" s="43" t="s">
        <v>635</v>
      </c>
      <c r="E670" s="43" t="s">
        <v>230</v>
      </c>
    </row>
    <row r="671" spans="1:5" x14ac:dyDescent="0.25">
      <c r="A671" s="41">
        <v>1801</v>
      </c>
      <c r="B671" s="42" t="s">
        <v>1017</v>
      </c>
      <c r="C671" s="43" t="s">
        <v>289</v>
      </c>
      <c r="D671" s="43" t="s">
        <v>635</v>
      </c>
      <c r="E671" s="43" t="s">
        <v>230</v>
      </c>
    </row>
    <row r="672" spans="1:5" x14ac:dyDescent="0.25">
      <c r="A672" s="41">
        <v>1802</v>
      </c>
      <c r="B672" s="42" t="s">
        <v>1018</v>
      </c>
      <c r="C672" s="43" t="s">
        <v>289</v>
      </c>
      <c r="D672" s="43" t="s">
        <v>635</v>
      </c>
      <c r="E672" s="43" t="s">
        <v>230</v>
      </c>
    </row>
    <row r="673" spans="1:5" x14ac:dyDescent="0.25">
      <c r="A673" s="41">
        <v>1804</v>
      </c>
      <c r="B673" s="42" t="s">
        <v>1019</v>
      </c>
      <c r="C673" s="43" t="s">
        <v>289</v>
      </c>
      <c r="D673" s="43" t="s">
        <v>635</v>
      </c>
      <c r="E673" s="43" t="s">
        <v>230</v>
      </c>
    </row>
    <row r="674" spans="1:5" x14ac:dyDescent="0.25">
      <c r="A674" s="41">
        <v>1805</v>
      </c>
      <c r="B674" s="42" t="s">
        <v>1020</v>
      </c>
      <c r="C674" s="43" t="s">
        <v>289</v>
      </c>
      <c r="D674" s="43" t="s">
        <v>635</v>
      </c>
      <c r="E674" s="43" t="s">
        <v>230</v>
      </c>
    </row>
    <row r="675" spans="1:5" x14ac:dyDescent="0.25">
      <c r="A675" s="41">
        <v>1806</v>
      </c>
      <c r="B675" s="42" t="s">
        <v>1021</v>
      </c>
      <c r="C675" s="43" t="s">
        <v>289</v>
      </c>
      <c r="D675" s="43" t="s">
        <v>635</v>
      </c>
      <c r="E675" s="43" t="s">
        <v>464</v>
      </c>
    </row>
    <row r="676" spans="1:5" x14ac:dyDescent="0.25">
      <c r="A676" s="41">
        <v>1809</v>
      </c>
      <c r="B676" s="42" t="s">
        <v>1022</v>
      </c>
      <c r="C676" s="43" t="s">
        <v>289</v>
      </c>
      <c r="D676" s="43" t="s">
        <v>333</v>
      </c>
      <c r="E676" s="43" t="s">
        <v>230</v>
      </c>
    </row>
    <row r="677" spans="1:5" x14ac:dyDescent="0.25">
      <c r="A677" s="41">
        <v>1830</v>
      </c>
      <c r="B677" s="42" t="s">
        <v>1023</v>
      </c>
      <c r="C677" s="43" t="s">
        <v>289</v>
      </c>
      <c r="D677" s="43" t="s">
        <v>694</v>
      </c>
      <c r="E677" s="43" t="s">
        <v>373</v>
      </c>
    </row>
    <row r="678" spans="1:5" x14ac:dyDescent="0.25">
      <c r="A678" s="41">
        <v>1834</v>
      </c>
      <c r="B678" s="42" t="s">
        <v>1024</v>
      </c>
      <c r="C678" s="43" t="s">
        <v>289</v>
      </c>
      <c r="D678" s="43" t="s">
        <v>795</v>
      </c>
      <c r="E678" s="43" t="s">
        <v>373</v>
      </c>
    </row>
    <row r="679" spans="1:5" x14ac:dyDescent="0.25">
      <c r="A679" s="41">
        <v>1835</v>
      </c>
      <c r="B679" s="42" t="s">
        <v>1025</v>
      </c>
      <c r="C679" s="43" t="s">
        <v>289</v>
      </c>
      <c r="D679" s="43" t="s">
        <v>694</v>
      </c>
      <c r="E679" s="43" t="s">
        <v>230</v>
      </c>
    </row>
    <row r="680" spans="1:5" x14ac:dyDescent="0.25">
      <c r="A680" s="41">
        <v>1837</v>
      </c>
      <c r="B680" s="42" t="s">
        <v>1026</v>
      </c>
      <c r="C680" s="43" t="s">
        <v>289</v>
      </c>
      <c r="D680" s="43" t="s">
        <v>333</v>
      </c>
      <c r="E680" s="43" t="s">
        <v>436</v>
      </c>
    </row>
    <row r="681" spans="1:5" x14ac:dyDescent="0.25">
      <c r="A681" s="41">
        <v>1838</v>
      </c>
      <c r="B681" s="42" t="s">
        <v>1027</v>
      </c>
      <c r="C681" s="43" t="s">
        <v>289</v>
      </c>
      <c r="D681" s="43" t="s">
        <v>694</v>
      </c>
      <c r="E681" s="43" t="s">
        <v>230</v>
      </c>
    </row>
    <row r="682" spans="1:5" x14ac:dyDescent="0.25">
      <c r="A682" s="41">
        <v>1839</v>
      </c>
      <c r="B682" s="42" t="s">
        <v>1028</v>
      </c>
      <c r="C682" s="43" t="s">
        <v>289</v>
      </c>
      <c r="D682" s="43" t="s">
        <v>795</v>
      </c>
      <c r="E682" s="43" t="s">
        <v>230</v>
      </c>
    </row>
    <row r="683" spans="1:5" x14ac:dyDescent="0.25">
      <c r="A683" s="41">
        <v>1850</v>
      </c>
      <c r="B683" s="42" t="s">
        <v>1029</v>
      </c>
      <c r="C683" s="43" t="s">
        <v>289</v>
      </c>
      <c r="D683" s="43" t="s">
        <v>333</v>
      </c>
      <c r="E683" s="43" t="s">
        <v>230</v>
      </c>
    </row>
    <row r="684" spans="1:5" x14ac:dyDescent="0.25">
      <c r="A684" s="41">
        <v>1871</v>
      </c>
      <c r="B684" s="42" t="s">
        <v>1030</v>
      </c>
      <c r="C684" s="43" t="s">
        <v>289</v>
      </c>
      <c r="D684" s="43" t="s">
        <v>941</v>
      </c>
      <c r="E684" s="43" t="s">
        <v>764</v>
      </c>
    </row>
    <row r="685" spans="1:5" x14ac:dyDescent="0.25">
      <c r="A685" s="41">
        <v>1873</v>
      </c>
      <c r="B685" s="42" t="s">
        <v>1031</v>
      </c>
      <c r="C685" s="43" t="s">
        <v>289</v>
      </c>
      <c r="D685" s="43" t="s">
        <v>633</v>
      </c>
      <c r="E685" s="43" t="s">
        <v>230</v>
      </c>
    </row>
    <row r="686" spans="1:5" x14ac:dyDescent="0.25">
      <c r="A686" s="41">
        <v>1876</v>
      </c>
      <c r="B686" s="42" t="s">
        <v>1032</v>
      </c>
      <c r="C686" s="43" t="s">
        <v>289</v>
      </c>
      <c r="D686" s="43" t="s">
        <v>333</v>
      </c>
      <c r="E686" s="43" t="s">
        <v>230</v>
      </c>
    </row>
    <row r="687" spans="1:5" x14ac:dyDescent="0.25">
      <c r="A687" s="41">
        <v>1883</v>
      </c>
      <c r="B687" s="42" t="s">
        <v>1033</v>
      </c>
      <c r="C687" s="43" t="s">
        <v>289</v>
      </c>
      <c r="D687" s="43" t="s">
        <v>433</v>
      </c>
      <c r="E687" s="43" t="s">
        <v>230</v>
      </c>
    </row>
    <row r="688" spans="1:5" x14ac:dyDescent="0.25">
      <c r="A688" s="41">
        <v>1904</v>
      </c>
      <c r="B688" s="42" t="s">
        <v>1034</v>
      </c>
      <c r="C688" s="43" t="s">
        <v>289</v>
      </c>
      <c r="D688" s="43" t="s">
        <v>333</v>
      </c>
      <c r="E688" s="43" t="s">
        <v>170</v>
      </c>
    </row>
    <row r="689" spans="1:5" x14ac:dyDescent="0.25">
      <c r="A689" s="41">
        <v>1911</v>
      </c>
      <c r="B689" s="42" t="s">
        <v>1035</v>
      </c>
      <c r="C689" s="43" t="s">
        <v>289</v>
      </c>
      <c r="D689" s="43" t="s">
        <v>314</v>
      </c>
      <c r="E689" s="43" t="s">
        <v>470</v>
      </c>
    </row>
    <row r="690" spans="1:5" x14ac:dyDescent="0.25">
      <c r="A690" s="41">
        <v>1912</v>
      </c>
      <c r="B690" s="42" t="s">
        <v>1036</v>
      </c>
      <c r="C690" s="43" t="s">
        <v>289</v>
      </c>
      <c r="D690" s="43" t="s">
        <v>314</v>
      </c>
      <c r="E690" s="43" t="s">
        <v>470</v>
      </c>
    </row>
    <row r="691" spans="1:5" x14ac:dyDescent="0.25">
      <c r="A691" s="41">
        <v>1928</v>
      </c>
      <c r="B691" s="42" t="s">
        <v>1037</v>
      </c>
      <c r="C691" s="43" t="s">
        <v>289</v>
      </c>
      <c r="D691" s="43" t="s">
        <v>694</v>
      </c>
      <c r="E691" s="43" t="s">
        <v>864</v>
      </c>
    </row>
    <row r="692" spans="1:5" x14ac:dyDescent="0.25">
      <c r="A692" s="41">
        <v>1929</v>
      </c>
      <c r="B692" s="42" t="s">
        <v>1038</v>
      </c>
      <c r="C692" s="43" t="s">
        <v>289</v>
      </c>
      <c r="D692" s="43" t="s">
        <v>694</v>
      </c>
      <c r="E692" s="43" t="s">
        <v>464</v>
      </c>
    </row>
    <row r="693" spans="1:5" x14ac:dyDescent="0.25">
      <c r="A693" s="41">
        <v>1930</v>
      </c>
      <c r="B693" s="42" t="s">
        <v>1039</v>
      </c>
      <c r="C693" s="43" t="s">
        <v>289</v>
      </c>
      <c r="D693" s="43" t="s">
        <v>694</v>
      </c>
      <c r="E693" s="43" t="s">
        <v>464</v>
      </c>
    </row>
    <row r="694" spans="1:5" x14ac:dyDescent="0.25">
      <c r="A694" s="41">
        <v>1933</v>
      </c>
      <c r="B694" s="42" t="s">
        <v>1040</v>
      </c>
      <c r="C694" s="43" t="s">
        <v>289</v>
      </c>
      <c r="D694" s="43" t="s">
        <v>1041</v>
      </c>
      <c r="E694" s="43" t="s">
        <v>454</v>
      </c>
    </row>
    <row r="695" spans="1:5" x14ac:dyDescent="0.25">
      <c r="A695" s="41">
        <v>1936</v>
      </c>
      <c r="B695" s="42" t="s">
        <v>1042</v>
      </c>
      <c r="C695" s="43" t="s">
        <v>289</v>
      </c>
      <c r="D695" s="43" t="s">
        <v>1041</v>
      </c>
      <c r="E695" s="43" t="s">
        <v>454</v>
      </c>
    </row>
    <row r="696" spans="1:5" x14ac:dyDescent="0.25">
      <c r="A696" s="41">
        <v>1941</v>
      </c>
      <c r="B696" s="42" t="s">
        <v>1043</v>
      </c>
      <c r="C696" s="43" t="s">
        <v>289</v>
      </c>
      <c r="D696" s="43" t="s">
        <v>290</v>
      </c>
      <c r="E696" s="43" t="s">
        <v>230</v>
      </c>
    </row>
    <row r="697" spans="1:5" x14ac:dyDescent="0.25">
      <c r="A697" s="41">
        <v>1944</v>
      </c>
      <c r="B697" s="42" t="s">
        <v>1044</v>
      </c>
      <c r="C697" s="43" t="s">
        <v>289</v>
      </c>
      <c r="D697" s="43" t="s">
        <v>795</v>
      </c>
      <c r="E697" s="43" t="s">
        <v>170</v>
      </c>
    </row>
    <row r="698" spans="1:5" x14ac:dyDescent="0.25">
      <c r="A698" s="41">
        <v>1975</v>
      </c>
      <c r="B698" s="42" t="s">
        <v>1045</v>
      </c>
      <c r="C698" s="43" t="s">
        <v>289</v>
      </c>
      <c r="D698" s="43" t="s">
        <v>694</v>
      </c>
      <c r="E698" s="43" t="s">
        <v>464</v>
      </c>
    </row>
    <row r="699" spans="1:5" x14ac:dyDescent="0.25">
      <c r="A699" s="41">
        <v>1976</v>
      </c>
      <c r="B699" s="42" t="s">
        <v>1046</v>
      </c>
      <c r="C699" s="43" t="s">
        <v>289</v>
      </c>
      <c r="D699" s="43" t="s">
        <v>795</v>
      </c>
      <c r="E699" s="43" t="s">
        <v>170</v>
      </c>
    </row>
    <row r="700" spans="1:5" x14ac:dyDescent="0.25">
      <c r="A700" s="41">
        <v>1977</v>
      </c>
      <c r="B700" s="42" t="s">
        <v>1047</v>
      </c>
      <c r="C700" s="43" t="s">
        <v>289</v>
      </c>
      <c r="D700" s="43" t="s">
        <v>795</v>
      </c>
      <c r="E700" s="43" t="s">
        <v>170</v>
      </c>
    </row>
    <row r="701" spans="1:5" x14ac:dyDescent="0.25">
      <c r="A701" s="41">
        <v>1979</v>
      </c>
      <c r="B701" s="42" t="s">
        <v>1048</v>
      </c>
      <c r="C701" s="43" t="s">
        <v>289</v>
      </c>
      <c r="D701" s="43" t="s">
        <v>333</v>
      </c>
      <c r="E701" s="43" t="s">
        <v>464</v>
      </c>
    </row>
    <row r="702" spans="1:5" x14ac:dyDescent="0.25">
      <c r="A702" s="41">
        <v>1980</v>
      </c>
      <c r="B702" s="42" t="s">
        <v>1049</v>
      </c>
      <c r="C702" s="43" t="s">
        <v>289</v>
      </c>
      <c r="D702" s="43" t="s">
        <v>333</v>
      </c>
      <c r="E702" s="43" t="s">
        <v>230</v>
      </c>
    </row>
    <row r="703" spans="1:5" x14ac:dyDescent="0.25">
      <c r="A703" s="41">
        <v>1981</v>
      </c>
      <c r="B703" s="42" t="s">
        <v>1050</v>
      </c>
      <c r="C703" s="43" t="s">
        <v>289</v>
      </c>
      <c r="D703" s="43" t="s">
        <v>333</v>
      </c>
      <c r="E703" s="43" t="s">
        <v>230</v>
      </c>
    </row>
    <row r="704" spans="1:5" x14ac:dyDescent="0.25">
      <c r="A704" s="41">
        <v>1984</v>
      </c>
      <c r="B704" s="42" t="s">
        <v>1051</v>
      </c>
      <c r="C704" s="43" t="s">
        <v>289</v>
      </c>
      <c r="D704" s="43" t="s">
        <v>333</v>
      </c>
      <c r="E704" s="43" t="s">
        <v>230</v>
      </c>
    </row>
    <row r="705" spans="1:5" x14ac:dyDescent="0.25">
      <c r="A705" s="41">
        <v>1985</v>
      </c>
      <c r="B705" s="42" t="s">
        <v>1052</v>
      </c>
      <c r="C705" s="43" t="s">
        <v>289</v>
      </c>
      <c r="D705" s="43" t="s">
        <v>694</v>
      </c>
      <c r="E705" s="43" t="s">
        <v>464</v>
      </c>
    </row>
    <row r="706" spans="1:5" x14ac:dyDescent="0.25">
      <c r="A706" s="41">
        <v>1988</v>
      </c>
      <c r="B706" s="42" t="s">
        <v>1053</v>
      </c>
      <c r="C706" s="43" t="s">
        <v>289</v>
      </c>
      <c r="D706" s="43" t="s">
        <v>795</v>
      </c>
      <c r="E706" s="43" t="s">
        <v>764</v>
      </c>
    </row>
    <row r="707" spans="1:5" x14ac:dyDescent="0.25">
      <c r="A707" s="41">
        <v>1989</v>
      </c>
      <c r="B707" s="42" t="s">
        <v>1054</v>
      </c>
      <c r="C707" s="43" t="s">
        <v>289</v>
      </c>
      <c r="D707" s="43" t="s">
        <v>795</v>
      </c>
      <c r="E707" s="43" t="s">
        <v>764</v>
      </c>
    </row>
    <row r="708" spans="1:5" x14ac:dyDescent="0.25">
      <c r="A708" s="41">
        <v>1992</v>
      </c>
      <c r="B708" s="42" t="s">
        <v>1055</v>
      </c>
      <c r="C708" s="43" t="s">
        <v>289</v>
      </c>
      <c r="D708" s="43" t="s">
        <v>327</v>
      </c>
      <c r="E708" s="43" t="s">
        <v>531</v>
      </c>
    </row>
    <row r="709" spans="1:5" x14ac:dyDescent="0.25">
      <c r="A709" s="41">
        <v>1993</v>
      </c>
      <c r="B709" s="42" t="s">
        <v>1056</v>
      </c>
      <c r="C709" s="43" t="s">
        <v>289</v>
      </c>
      <c r="D709" s="43" t="s">
        <v>996</v>
      </c>
      <c r="E709" s="43" t="s">
        <v>230</v>
      </c>
    </row>
    <row r="710" spans="1:5" x14ac:dyDescent="0.25">
      <c r="A710" s="41">
        <v>1994</v>
      </c>
      <c r="B710" s="42" t="s">
        <v>1057</v>
      </c>
      <c r="C710" s="43" t="s">
        <v>289</v>
      </c>
      <c r="D710" s="43" t="s">
        <v>996</v>
      </c>
      <c r="E710" s="43" t="s">
        <v>766</v>
      </c>
    </row>
    <row r="711" spans="1:5" x14ac:dyDescent="0.25">
      <c r="A711" s="41">
        <v>1995</v>
      </c>
      <c r="B711" s="42" t="s">
        <v>1058</v>
      </c>
      <c r="C711" s="43" t="s">
        <v>289</v>
      </c>
      <c r="D711" s="43" t="s">
        <v>996</v>
      </c>
      <c r="E711" s="43" t="s">
        <v>766</v>
      </c>
    </row>
    <row r="712" spans="1:5" x14ac:dyDescent="0.25">
      <c r="A712" s="41">
        <v>1997</v>
      </c>
      <c r="B712" s="42" t="s">
        <v>1059</v>
      </c>
      <c r="C712" s="43" t="s">
        <v>289</v>
      </c>
      <c r="D712" s="43" t="s">
        <v>996</v>
      </c>
      <c r="E712" s="43" t="s">
        <v>230</v>
      </c>
    </row>
    <row r="713" spans="1:5" x14ac:dyDescent="0.25">
      <c r="A713" s="41">
        <v>2001</v>
      </c>
      <c r="B713" s="42" t="s">
        <v>1060</v>
      </c>
      <c r="C713" s="43" t="s">
        <v>289</v>
      </c>
      <c r="D713" s="43" t="s">
        <v>795</v>
      </c>
      <c r="E713" s="43" t="s">
        <v>170</v>
      </c>
    </row>
    <row r="714" spans="1:5" x14ac:dyDescent="0.25">
      <c r="A714" s="41">
        <v>2003</v>
      </c>
      <c r="B714" s="42" t="s">
        <v>1061</v>
      </c>
      <c r="C714" s="43" t="s">
        <v>289</v>
      </c>
      <c r="D714" s="43" t="s">
        <v>795</v>
      </c>
      <c r="E714" s="43" t="s">
        <v>864</v>
      </c>
    </row>
    <row r="715" spans="1:5" x14ac:dyDescent="0.25">
      <c r="A715" s="41">
        <v>2004</v>
      </c>
      <c r="B715" s="42" t="s">
        <v>1062</v>
      </c>
      <c r="C715" s="43" t="s">
        <v>289</v>
      </c>
      <c r="D715" s="43" t="s">
        <v>795</v>
      </c>
      <c r="E715" s="43" t="s">
        <v>864</v>
      </c>
    </row>
    <row r="716" spans="1:5" x14ac:dyDescent="0.25">
      <c r="A716" s="41">
        <v>2007</v>
      </c>
      <c r="B716" s="42" t="s">
        <v>1063</v>
      </c>
      <c r="C716" s="43" t="s">
        <v>289</v>
      </c>
      <c r="D716" s="43" t="s">
        <v>316</v>
      </c>
      <c r="E716" s="43" t="s">
        <v>454</v>
      </c>
    </row>
    <row r="717" spans="1:5" x14ac:dyDescent="0.25">
      <c r="A717" s="41">
        <v>2010</v>
      </c>
      <c r="B717" s="42" t="s">
        <v>1064</v>
      </c>
      <c r="C717" s="43" t="s">
        <v>289</v>
      </c>
      <c r="D717" s="43" t="s">
        <v>468</v>
      </c>
      <c r="E717" s="43" t="s">
        <v>230</v>
      </c>
    </row>
    <row r="718" spans="1:5" x14ac:dyDescent="0.25">
      <c r="A718" s="41">
        <v>2012</v>
      </c>
      <c r="B718" s="42" t="s">
        <v>1065</v>
      </c>
      <c r="C718" s="43" t="s">
        <v>289</v>
      </c>
      <c r="D718" s="43" t="s">
        <v>694</v>
      </c>
      <c r="E718" s="43" t="s">
        <v>230</v>
      </c>
    </row>
    <row r="719" spans="1:5" x14ac:dyDescent="0.25">
      <c r="A719" s="41">
        <v>2014</v>
      </c>
      <c r="B719" s="42" t="s">
        <v>1066</v>
      </c>
      <c r="C719" s="43" t="s">
        <v>289</v>
      </c>
      <c r="D719" s="43" t="s">
        <v>694</v>
      </c>
      <c r="E719" s="43" t="s">
        <v>864</v>
      </c>
    </row>
    <row r="720" spans="1:5" x14ac:dyDescent="0.25">
      <c r="A720" s="41">
        <v>2015</v>
      </c>
      <c r="B720" s="42" t="s">
        <v>1067</v>
      </c>
      <c r="C720" s="43" t="s">
        <v>289</v>
      </c>
      <c r="D720" s="43" t="s">
        <v>795</v>
      </c>
      <c r="E720" s="43" t="s">
        <v>464</v>
      </c>
    </row>
    <row r="721" spans="1:5" x14ac:dyDescent="0.25">
      <c r="A721" s="41">
        <v>2017</v>
      </c>
      <c r="B721" s="42" t="s">
        <v>1068</v>
      </c>
      <c r="C721" s="43" t="s">
        <v>289</v>
      </c>
      <c r="D721" s="43" t="s">
        <v>694</v>
      </c>
      <c r="E721" s="43" t="s">
        <v>864</v>
      </c>
    </row>
    <row r="722" spans="1:5" x14ac:dyDescent="0.25">
      <c r="A722" s="41">
        <v>2020</v>
      </c>
      <c r="B722" s="42" t="s">
        <v>1069</v>
      </c>
      <c r="C722" s="43" t="s">
        <v>289</v>
      </c>
      <c r="D722" s="43" t="s">
        <v>795</v>
      </c>
      <c r="E722" s="43" t="s">
        <v>373</v>
      </c>
    </row>
    <row r="723" spans="1:5" x14ac:dyDescent="0.25">
      <c r="A723" s="41">
        <v>2021</v>
      </c>
      <c r="B723" s="42" t="s">
        <v>1070</v>
      </c>
      <c r="C723" s="43" t="s">
        <v>289</v>
      </c>
      <c r="D723" s="43" t="s">
        <v>795</v>
      </c>
      <c r="E723" s="43" t="s">
        <v>1071</v>
      </c>
    </row>
    <row r="724" spans="1:5" x14ac:dyDescent="0.25">
      <c r="A724" s="41">
        <v>2022</v>
      </c>
      <c r="B724" s="42" t="s">
        <v>1072</v>
      </c>
      <c r="C724" s="43" t="s">
        <v>289</v>
      </c>
      <c r="D724" s="43" t="s">
        <v>1073</v>
      </c>
      <c r="E724" s="43" t="s">
        <v>464</v>
      </c>
    </row>
    <row r="725" spans="1:5" x14ac:dyDescent="0.25">
      <c r="A725" s="41">
        <v>2026</v>
      </c>
      <c r="B725" s="42" t="s">
        <v>1074</v>
      </c>
      <c r="C725" s="43" t="s">
        <v>289</v>
      </c>
      <c r="D725" s="43" t="s">
        <v>1073</v>
      </c>
      <c r="E725" s="43" t="s">
        <v>464</v>
      </c>
    </row>
    <row r="726" spans="1:5" x14ac:dyDescent="0.25">
      <c r="A726" s="41">
        <v>2041</v>
      </c>
      <c r="B726" s="42" t="s">
        <v>1075</v>
      </c>
      <c r="C726" s="43" t="s">
        <v>289</v>
      </c>
      <c r="D726" s="43" t="s">
        <v>996</v>
      </c>
      <c r="E726" s="43" t="s">
        <v>230</v>
      </c>
    </row>
    <row r="727" spans="1:5" x14ac:dyDescent="0.25">
      <c r="A727" s="41">
        <v>2047</v>
      </c>
      <c r="B727" s="42" t="s">
        <v>1076</v>
      </c>
      <c r="C727" s="43" t="s">
        <v>289</v>
      </c>
      <c r="D727" s="43" t="s">
        <v>314</v>
      </c>
      <c r="E727" s="43" t="s">
        <v>230</v>
      </c>
    </row>
    <row r="728" spans="1:5" x14ac:dyDescent="0.25">
      <c r="A728" s="41">
        <v>2048</v>
      </c>
      <c r="B728" s="42" t="s">
        <v>1077</v>
      </c>
      <c r="C728" s="43" t="s">
        <v>289</v>
      </c>
      <c r="D728" s="43" t="s">
        <v>795</v>
      </c>
      <c r="E728" s="43" t="s">
        <v>764</v>
      </c>
    </row>
    <row r="729" spans="1:5" x14ac:dyDescent="0.25">
      <c r="A729" s="41">
        <v>2049</v>
      </c>
      <c r="B729" s="42" t="s">
        <v>1078</v>
      </c>
      <c r="C729" s="43" t="s">
        <v>289</v>
      </c>
      <c r="D729" s="43" t="s">
        <v>795</v>
      </c>
      <c r="E729" s="43" t="s">
        <v>230</v>
      </c>
    </row>
    <row r="730" spans="1:5" x14ac:dyDescent="0.25">
      <c r="A730" s="41">
        <v>2050</v>
      </c>
      <c r="B730" s="42" t="s">
        <v>1079</v>
      </c>
      <c r="C730" s="43" t="s">
        <v>289</v>
      </c>
      <c r="D730" s="43" t="s">
        <v>795</v>
      </c>
      <c r="E730" s="43" t="s">
        <v>230</v>
      </c>
    </row>
    <row r="731" spans="1:5" x14ac:dyDescent="0.25">
      <c r="A731" s="41">
        <v>2051</v>
      </c>
      <c r="B731" s="42" t="s">
        <v>1080</v>
      </c>
      <c r="C731" s="43" t="s">
        <v>289</v>
      </c>
      <c r="D731" s="43" t="s">
        <v>795</v>
      </c>
      <c r="E731" s="43" t="s">
        <v>436</v>
      </c>
    </row>
    <row r="732" spans="1:5" x14ac:dyDescent="0.25">
      <c r="A732" s="41">
        <v>2053</v>
      </c>
      <c r="B732" s="42" t="s">
        <v>1081</v>
      </c>
      <c r="C732" s="43" t="s">
        <v>289</v>
      </c>
      <c r="D732" s="43" t="s">
        <v>795</v>
      </c>
      <c r="E732" s="43" t="s">
        <v>230</v>
      </c>
    </row>
    <row r="733" spans="1:5" x14ac:dyDescent="0.25">
      <c r="A733" s="41">
        <v>2054</v>
      </c>
      <c r="B733" s="42" t="s">
        <v>1082</v>
      </c>
      <c r="C733" s="43" t="s">
        <v>289</v>
      </c>
      <c r="D733" s="43" t="s">
        <v>795</v>
      </c>
      <c r="E733" s="43" t="s">
        <v>230</v>
      </c>
    </row>
    <row r="734" spans="1:5" x14ac:dyDescent="0.25">
      <c r="A734" s="41">
        <v>2055</v>
      </c>
      <c r="B734" s="42" t="s">
        <v>1083</v>
      </c>
      <c r="C734" s="43" t="s">
        <v>289</v>
      </c>
      <c r="D734" s="43" t="s">
        <v>795</v>
      </c>
      <c r="E734" s="43" t="s">
        <v>230</v>
      </c>
    </row>
    <row r="735" spans="1:5" x14ac:dyDescent="0.25">
      <c r="A735" s="41">
        <v>2058</v>
      </c>
      <c r="B735" s="42" t="s">
        <v>248</v>
      </c>
      <c r="C735" s="43" t="s">
        <v>289</v>
      </c>
      <c r="D735" s="43" t="s">
        <v>795</v>
      </c>
      <c r="E735" s="43" t="s">
        <v>170</v>
      </c>
    </row>
    <row r="736" spans="1:5" x14ac:dyDescent="0.25">
      <c r="A736" s="41">
        <v>2059</v>
      </c>
      <c r="B736" s="42" t="s">
        <v>1084</v>
      </c>
      <c r="C736" s="43" t="s">
        <v>289</v>
      </c>
      <c r="D736" s="43" t="s">
        <v>694</v>
      </c>
      <c r="E736" s="43" t="s">
        <v>170</v>
      </c>
    </row>
    <row r="737" spans="1:5" x14ac:dyDescent="0.25">
      <c r="A737" s="41">
        <v>2060</v>
      </c>
      <c r="B737" s="42" t="s">
        <v>1085</v>
      </c>
      <c r="C737" s="43" t="s">
        <v>289</v>
      </c>
      <c r="D737" s="43" t="s">
        <v>694</v>
      </c>
      <c r="E737" s="43" t="s">
        <v>436</v>
      </c>
    </row>
    <row r="738" spans="1:5" x14ac:dyDescent="0.25">
      <c r="A738" s="41">
        <v>2062</v>
      </c>
      <c r="B738" s="42" t="s">
        <v>1086</v>
      </c>
      <c r="C738" s="43" t="s">
        <v>289</v>
      </c>
      <c r="D738" s="43" t="s">
        <v>499</v>
      </c>
      <c r="E738" s="43" t="s">
        <v>472</v>
      </c>
    </row>
    <row r="739" spans="1:5" x14ac:dyDescent="0.25">
      <c r="A739" s="41">
        <v>2072</v>
      </c>
      <c r="B739" s="42" t="s">
        <v>1087</v>
      </c>
      <c r="C739" s="43" t="s">
        <v>289</v>
      </c>
      <c r="D739" s="43" t="s">
        <v>1088</v>
      </c>
      <c r="E739" s="43" t="s">
        <v>170</v>
      </c>
    </row>
    <row r="740" spans="1:5" x14ac:dyDescent="0.25">
      <c r="A740" s="41">
        <v>2074</v>
      </c>
      <c r="B740" s="42" t="s">
        <v>1089</v>
      </c>
      <c r="C740" s="43" t="s">
        <v>289</v>
      </c>
      <c r="D740" s="43" t="s">
        <v>811</v>
      </c>
      <c r="E740" s="43" t="s">
        <v>230</v>
      </c>
    </row>
    <row r="741" spans="1:5" x14ac:dyDescent="0.25">
      <c r="A741" s="41">
        <v>2075</v>
      </c>
      <c r="B741" s="42" t="s">
        <v>1090</v>
      </c>
      <c r="C741" s="43" t="s">
        <v>289</v>
      </c>
      <c r="D741" s="43" t="s">
        <v>811</v>
      </c>
      <c r="E741" s="43" t="s">
        <v>230</v>
      </c>
    </row>
    <row r="742" spans="1:5" x14ac:dyDescent="0.25">
      <c r="A742" s="41">
        <v>2076</v>
      </c>
      <c r="B742" s="42" t="s">
        <v>1091</v>
      </c>
      <c r="C742" s="43" t="s">
        <v>289</v>
      </c>
      <c r="D742" s="43" t="s">
        <v>1092</v>
      </c>
      <c r="E742" s="43" t="s">
        <v>1093</v>
      </c>
    </row>
    <row r="743" spans="1:5" x14ac:dyDescent="0.25">
      <c r="A743" s="41">
        <v>2078</v>
      </c>
      <c r="B743" s="42" t="s">
        <v>1094</v>
      </c>
      <c r="C743" s="43" t="s">
        <v>289</v>
      </c>
      <c r="D743" s="43" t="s">
        <v>327</v>
      </c>
      <c r="E743" s="43" t="s">
        <v>230</v>
      </c>
    </row>
    <row r="744" spans="1:5" x14ac:dyDescent="0.25">
      <c r="A744" s="41">
        <v>2079</v>
      </c>
      <c r="B744" s="42" t="s">
        <v>1095</v>
      </c>
      <c r="C744" s="43" t="s">
        <v>289</v>
      </c>
      <c r="D744" s="43" t="s">
        <v>327</v>
      </c>
      <c r="E744" s="43" t="s">
        <v>230</v>
      </c>
    </row>
    <row r="745" spans="1:5" x14ac:dyDescent="0.25">
      <c r="A745" s="41">
        <v>2080</v>
      </c>
      <c r="B745" s="42" t="s">
        <v>1096</v>
      </c>
      <c r="C745" s="43" t="s">
        <v>289</v>
      </c>
      <c r="D745" s="43" t="s">
        <v>327</v>
      </c>
      <c r="E745" s="43" t="s">
        <v>230</v>
      </c>
    </row>
    <row r="746" spans="1:5" x14ac:dyDescent="0.25">
      <c r="A746" s="41">
        <v>2084</v>
      </c>
      <c r="B746" s="42" t="s">
        <v>1097</v>
      </c>
      <c r="C746" s="43" t="s">
        <v>289</v>
      </c>
      <c r="D746" s="43" t="s">
        <v>795</v>
      </c>
      <c r="E746" s="43" t="s">
        <v>230</v>
      </c>
    </row>
    <row r="747" spans="1:5" x14ac:dyDescent="0.25">
      <c r="A747" s="41">
        <v>2086</v>
      </c>
      <c r="B747" s="42" t="s">
        <v>1098</v>
      </c>
      <c r="C747" s="43" t="s">
        <v>289</v>
      </c>
      <c r="D747" s="43" t="s">
        <v>327</v>
      </c>
      <c r="E747" s="43" t="s">
        <v>230</v>
      </c>
    </row>
    <row r="748" spans="1:5" x14ac:dyDescent="0.25">
      <c r="A748" s="41">
        <v>2088</v>
      </c>
      <c r="B748" s="42" t="s">
        <v>1099</v>
      </c>
      <c r="C748" s="43" t="s">
        <v>289</v>
      </c>
      <c r="D748" s="43" t="s">
        <v>1100</v>
      </c>
      <c r="E748" s="43" t="s">
        <v>230</v>
      </c>
    </row>
    <row r="749" spans="1:5" x14ac:dyDescent="0.25">
      <c r="A749" s="41">
        <v>2091</v>
      </c>
      <c r="B749" s="42" t="s">
        <v>1101</v>
      </c>
      <c r="C749" s="43" t="s">
        <v>289</v>
      </c>
      <c r="D749" s="43" t="s">
        <v>795</v>
      </c>
      <c r="E749" s="43" t="s">
        <v>373</v>
      </c>
    </row>
    <row r="750" spans="1:5" x14ac:dyDescent="0.25">
      <c r="A750" s="41">
        <v>2093</v>
      </c>
      <c r="B750" s="42" t="s">
        <v>1102</v>
      </c>
      <c r="C750" s="43" t="s">
        <v>289</v>
      </c>
      <c r="D750" s="43" t="s">
        <v>795</v>
      </c>
      <c r="E750" s="43" t="s">
        <v>373</v>
      </c>
    </row>
    <row r="751" spans="1:5" x14ac:dyDescent="0.25">
      <c r="A751" s="41">
        <v>2094</v>
      </c>
      <c r="B751" s="42" t="s">
        <v>1103</v>
      </c>
      <c r="C751" s="43" t="s">
        <v>289</v>
      </c>
      <c r="D751" s="43" t="s">
        <v>327</v>
      </c>
      <c r="E751" s="43" t="s">
        <v>531</v>
      </c>
    </row>
    <row r="752" spans="1:5" x14ac:dyDescent="0.25">
      <c r="A752" s="41">
        <v>2096</v>
      </c>
      <c r="B752" s="42" t="s">
        <v>1104</v>
      </c>
      <c r="C752" s="43" t="s">
        <v>289</v>
      </c>
      <c r="D752" s="43" t="s">
        <v>327</v>
      </c>
      <c r="E752" s="43" t="s">
        <v>230</v>
      </c>
    </row>
    <row r="753" spans="1:5" x14ac:dyDescent="0.25">
      <c r="A753" s="41">
        <v>2100</v>
      </c>
      <c r="B753" s="42" t="s">
        <v>1105</v>
      </c>
      <c r="C753" s="43" t="s">
        <v>289</v>
      </c>
      <c r="D753" s="43" t="s">
        <v>327</v>
      </c>
      <c r="E753" s="43" t="s">
        <v>531</v>
      </c>
    </row>
    <row r="754" spans="1:5" x14ac:dyDescent="0.25">
      <c r="A754" s="41">
        <v>2112</v>
      </c>
      <c r="B754" s="42" t="s">
        <v>1106</v>
      </c>
      <c r="C754" s="43" t="s">
        <v>289</v>
      </c>
      <c r="D754" s="43" t="s">
        <v>327</v>
      </c>
      <c r="E754" s="43" t="s">
        <v>531</v>
      </c>
    </row>
    <row r="755" spans="1:5" x14ac:dyDescent="0.25">
      <c r="A755" s="41">
        <v>2114</v>
      </c>
      <c r="B755" s="42" t="s">
        <v>1107</v>
      </c>
      <c r="C755" s="43" t="s">
        <v>289</v>
      </c>
      <c r="D755" s="43" t="s">
        <v>474</v>
      </c>
      <c r="E755" s="43" t="s">
        <v>464</v>
      </c>
    </row>
    <row r="756" spans="1:5" x14ac:dyDescent="0.25">
      <c r="A756" s="41">
        <v>2116</v>
      </c>
      <c r="B756" s="42" t="s">
        <v>1108</v>
      </c>
      <c r="C756" s="43" t="s">
        <v>289</v>
      </c>
      <c r="D756" s="43" t="s">
        <v>474</v>
      </c>
      <c r="E756" s="43" t="s">
        <v>464</v>
      </c>
    </row>
    <row r="757" spans="1:5" x14ac:dyDescent="0.25">
      <c r="A757" s="41">
        <v>2119</v>
      </c>
      <c r="B757" s="42" t="s">
        <v>1109</v>
      </c>
      <c r="C757" s="43" t="s">
        <v>289</v>
      </c>
      <c r="D757" s="43" t="s">
        <v>468</v>
      </c>
      <c r="E757" s="43" t="s">
        <v>230</v>
      </c>
    </row>
    <row r="758" spans="1:5" x14ac:dyDescent="0.25">
      <c r="A758" s="41">
        <v>2120</v>
      </c>
      <c r="B758" s="42" t="s">
        <v>1110</v>
      </c>
      <c r="C758" s="43" t="s">
        <v>289</v>
      </c>
      <c r="D758" s="43" t="s">
        <v>468</v>
      </c>
      <c r="E758" s="43" t="s">
        <v>230</v>
      </c>
    </row>
    <row r="759" spans="1:5" x14ac:dyDescent="0.25">
      <c r="A759" s="41">
        <v>2125</v>
      </c>
      <c r="B759" s="42" t="s">
        <v>1111</v>
      </c>
      <c r="C759" s="43" t="s">
        <v>289</v>
      </c>
      <c r="D759" s="43" t="s">
        <v>1112</v>
      </c>
      <c r="E759" s="43" t="s">
        <v>230</v>
      </c>
    </row>
    <row r="760" spans="1:5" x14ac:dyDescent="0.25">
      <c r="A760" s="41">
        <v>2139</v>
      </c>
      <c r="B760" s="42" t="s">
        <v>1113</v>
      </c>
      <c r="C760" s="43" t="s">
        <v>289</v>
      </c>
      <c r="D760" s="43" t="s">
        <v>468</v>
      </c>
      <c r="E760" s="43" t="s">
        <v>230</v>
      </c>
    </row>
    <row r="761" spans="1:5" x14ac:dyDescent="0.25">
      <c r="A761" s="41">
        <v>2181</v>
      </c>
      <c r="B761" s="42" t="s">
        <v>1114</v>
      </c>
      <c r="C761" s="43" t="s">
        <v>289</v>
      </c>
      <c r="D761" s="43" t="s">
        <v>290</v>
      </c>
      <c r="E761" s="43" t="s">
        <v>230</v>
      </c>
    </row>
    <row r="762" spans="1:5" x14ac:dyDescent="0.25">
      <c r="A762" s="41">
        <v>2203</v>
      </c>
      <c r="B762" s="42" t="s">
        <v>1115</v>
      </c>
      <c r="C762" s="43" t="s">
        <v>289</v>
      </c>
      <c r="D762" s="43" t="s">
        <v>468</v>
      </c>
      <c r="E762" s="43" t="s">
        <v>230</v>
      </c>
    </row>
    <row r="763" spans="1:5" x14ac:dyDescent="0.25">
      <c r="A763" s="41">
        <v>2205</v>
      </c>
      <c r="B763" s="42" t="s">
        <v>1116</v>
      </c>
      <c r="C763" s="43" t="s">
        <v>289</v>
      </c>
      <c r="D763" s="43" t="s">
        <v>468</v>
      </c>
      <c r="E763" s="43" t="s">
        <v>230</v>
      </c>
    </row>
    <row r="764" spans="1:5" x14ac:dyDescent="0.25">
      <c r="A764" s="41">
        <v>2208</v>
      </c>
      <c r="B764" s="42" t="s">
        <v>1117</v>
      </c>
      <c r="C764" s="43" t="s">
        <v>289</v>
      </c>
      <c r="D764" s="43" t="s">
        <v>941</v>
      </c>
      <c r="E764" s="43" t="s">
        <v>230</v>
      </c>
    </row>
    <row r="765" spans="1:5" x14ac:dyDescent="0.25">
      <c r="A765" s="41">
        <v>2224</v>
      </c>
      <c r="B765" s="42" t="s">
        <v>1118</v>
      </c>
      <c r="C765" s="43" t="s">
        <v>289</v>
      </c>
      <c r="D765" s="43" t="s">
        <v>468</v>
      </c>
      <c r="E765" s="43" t="s">
        <v>230</v>
      </c>
    </row>
    <row r="766" spans="1:5" x14ac:dyDescent="0.25">
      <c r="A766" s="41">
        <v>2247</v>
      </c>
      <c r="B766" s="42" t="s">
        <v>1119</v>
      </c>
      <c r="C766" s="43" t="s">
        <v>289</v>
      </c>
      <c r="D766" s="43" t="s">
        <v>327</v>
      </c>
      <c r="E766" s="43" t="s">
        <v>1120</v>
      </c>
    </row>
    <row r="767" spans="1:5" x14ac:dyDescent="0.25">
      <c r="A767" s="41">
        <v>2269</v>
      </c>
      <c r="B767" s="42" t="s">
        <v>1121</v>
      </c>
      <c r="C767" s="43" t="s">
        <v>289</v>
      </c>
      <c r="D767" s="43" t="s">
        <v>327</v>
      </c>
      <c r="E767" s="43" t="s">
        <v>230</v>
      </c>
    </row>
    <row r="768" spans="1:5" x14ac:dyDescent="0.25">
      <c r="A768" s="41">
        <v>2312</v>
      </c>
      <c r="B768" s="42" t="s">
        <v>1122</v>
      </c>
      <c r="C768" s="43" t="s">
        <v>289</v>
      </c>
      <c r="D768" s="43" t="s">
        <v>468</v>
      </c>
      <c r="E768" s="43" t="s">
        <v>230</v>
      </c>
    </row>
    <row r="769" spans="1:5" x14ac:dyDescent="0.25">
      <c r="A769" s="41">
        <v>2323</v>
      </c>
      <c r="B769" s="42" t="s">
        <v>1123</v>
      </c>
      <c r="C769" s="43" t="s">
        <v>289</v>
      </c>
      <c r="D769" s="43" t="s">
        <v>316</v>
      </c>
      <c r="E769" s="43" t="s">
        <v>230</v>
      </c>
    </row>
    <row r="770" spans="1:5" x14ac:dyDescent="0.25">
      <c r="A770" s="41">
        <v>2328</v>
      </c>
      <c r="B770" s="42" t="s">
        <v>1124</v>
      </c>
      <c r="C770" s="43" t="s">
        <v>289</v>
      </c>
      <c r="D770" s="43" t="s">
        <v>316</v>
      </c>
      <c r="E770" s="43" t="s">
        <v>230</v>
      </c>
    </row>
    <row r="771" spans="1:5" x14ac:dyDescent="0.25">
      <c r="A771" s="41">
        <v>2329</v>
      </c>
      <c r="B771" s="42" t="s">
        <v>1125</v>
      </c>
      <c r="C771" s="43" t="s">
        <v>289</v>
      </c>
      <c r="D771" s="43" t="s">
        <v>316</v>
      </c>
      <c r="E771" s="43" t="s">
        <v>230</v>
      </c>
    </row>
    <row r="772" spans="1:5" x14ac:dyDescent="0.25">
      <c r="A772" s="41">
        <v>2344</v>
      </c>
      <c r="B772" s="42" t="s">
        <v>1126</v>
      </c>
      <c r="C772" s="43" t="s">
        <v>289</v>
      </c>
      <c r="D772" s="43" t="s">
        <v>468</v>
      </c>
      <c r="E772" s="43" t="s">
        <v>230</v>
      </c>
    </row>
    <row r="773" spans="1:5" x14ac:dyDescent="0.25">
      <c r="A773" s="41">
        <v>2373</v>
      </c>
      <c r="B773" s="42" t="s">
        <v>1127</v>
      </c>
      <c r="C773" s="43" t="s">
        <v>289</v>
      </c>
      <c r="D773" s="43" t="s">
        <v>474</v>
      </c>
      <c r="E773" s="43" t="s">
        <v>230</v>
      </c>
    </row>
    <row r="774" spans="1:5" x14ac:dyDescent="0.25">
      <c r="A774" s="41">
        <v>2386</v>
      </c>
      <c r="B774" s="42" t="s">
        <v>1128</v>
      </c>
      <c r="C774" s="43" t="s">
        <v>289</v>
      </c>
      <c r="D774" s="43" t="s">
        <v>314</v>
      </c>
      <c r="E774" s="43" t="s">
        <v>336</v>
      </c>
    </row>
    <row r="775" spans="1:5" x14ac:dyDescent="0.25">
      <c r="A775" s="41">
        <v>2410</v>
      </c>
      <c r="B775" s="42" t="s">
        <v>1129</v>
      </c>
      <c r="C775" s="43" t="s">
        <v>289</v>
      </c>
      <c r="D775" s="43" t="s">
        <v>468</v>
      </c>
      <c r="E775" s="43" t="s">
        <v>230</v>
      </c>
    </row>
    <row r="776" spans="1:5" x14ac:dyDescent="0.25">
      <c r="A776" s="41">
        <v>2433</v>
      </c>
      <c r="B776" s="42" t="s">
        <v>1130</v>
      </c>
      <c r="C776" s="43" t="s">
        <v>289</v>
      </c>
      <c r="D776" s="43" t="s">
        <v>468</v>
      </c>
      <c r="E776" s="43" t="s">
        <v>230</v>
      </c>
    </row>
    <row r="777" spans="1:5" x14ac:dyDescent="0.25">
      <c r="A777" s="41">
        <v>2449</v>
      </c>
      <c r="B777" s="42" t="s">
        <v>1131</v>
      </c>
      <c r="C777" s="43" t="s">
        <v>289</v>
      </c>
      <c r="D777" s="43" t="s">
        <v>468</v>
      </c>
      <c r="E777" s="43" t="s">
        <v>230</v>
      </c>
    </row>
    <row r="778" spans="1:5" x14ac:dyDescent="0.25">
      <c r="A778" s="41">
        <v>2462</v>
      </c>
      <c r="B778" s="42" t="s">
        <v>1132</v>
      </c>
      <c r="C778" s="43" t="s">
        <v>289</v>
      </c>
      <c r="D778" s="43" t="s">
        <v>410</v>
      </c>
      <c r="E778" s="43" t="s">
        <v>230</v>
      </c>
    </row>
    <row r="779" spans="1:5" x14ac:dyDescent="0.25">
      <c r="A779" s="41">
        <v>2469</v>
      </c>
      <c r="B779" s="42" t="s">
        <v>1133</v>
      </c>
      <c r="C779" s="43" t="s">
        <v>289</v>
      </c>
      <c r="D779" s="43" t="s">
        <v>468</v>
      </c>
      <c r="E779" s="43" t="s">
        <v>230</v>
      </c>
    </row>
    <row r="780" spans="1:5" x14ac:dyDescent="0.25">
      <c r="A780" s="41">
        <v>2495</v>
      </c>
      <c r="B780" s="42" t="s">
        <v>1134</v>
      </c>
      <c r="C780" s="43" t="s">
        <v>289</v>
      </c>
      <c r="D780" s="43" t="s">
        <v>468</v>
      </c>
      <c r="E780" s="43" t="s">
        <v>230</v>
      </c>
    </row>
    <row r="781" spans="1:5" x14ac:dyDescent="0.25">
      <c r="A781" s="41">
        <v>2497</v>
      </c>
      <c r="B781" s="42" t="s">
        <v>1135</v>
      </c>
      <c r="C781" s="43" t="s">
        <v>289</v>
      </c>
      <c r="D781" s="43" t="s">
        <v>468</v>
      </c>
      <c r="E781" s="43" t="s">
        <v>230</v>
      </c>
    </row>
    <row r="782" spans="1:5" x14ac:dyDescent="0.25">
      <c r="A782" s="41">
        <v>2505</v>
      </c>
      <c r="B782" s="42" t="s">
        <v>1136</v>
      </c>
      <c r="C782" s="43" t="s">
        <v>289</v>
      </c>
      <c r="D782" s="43" t="s">
        <v>468</v>
      </c>
      <c r="E782" s="43" t="s">
        <v>230</v>
      </c>
    </row>
    <row r="783" spans="1:5" x14ac:dyDescent="0.25">
      <c r="A783" s="41">
        <v>2519</v>
      </c>
      <c r="B783" s="42" t="s">
        <v>1137</v>
      </c>
      <c r="C783" s="43" t="s">
        <v>289</v>
      </c>
      <c r="D783" s="43" t="s">
        <v>1138</v>
      </c>
      <c r="E783" s="43" t="s">
        <v>230</v>
      </c>
    </row>
    <row r="784" spans="1:5" x14ac:dyDescent="0.25">
      <c r="A784" s="41">
        <v>2541</v>
      </c>
      <c r="B784" s="42" t="s">
        <v>1139</v>
      </c>
      <c r="C784" s="43" t="s">
        <v>289</v>
      </c>
      <c r="D784" s="43" t="s">
        <v>468</v>
      </c>
      <c r="E784" s="43" t="s">
        <v>230</v>
      </c>
    </row>
    <row r="785" spans="1:5" x14ac:dyDescent="0.25">
      <c r="A785" s="41">
        <v>2552</v>
      </c>
      <c r="B785" s="42" t="s">
        <v>1140</v>
      </c>
      <c r="C785" s="43" t="s">
        <v>289</v>
      </c>
      <c r="D785" s="43" t="s">
        <v>1141</v>
      </c>
      <c r="E785" s="43" t="s">
        <v>230</v>
      </c>
    </row>
    <row r="786" spans="1:5" x14ac:dyDescent="0.25">
      <c r="A786" s="41">
        <v>2553</v>
      </c>
      <c r="B786" s="42" t="s">
        <v>1142</v>
      </c>
      <c r="C786" s="43" t="s">
        <v>289</v>
      </c>
      <c r="D786" s="43" t="s">
        <v>1141</v>
      </c>
      <c r="E786" s="43" t="s">
        <v>230</v>
      </c>
    </row>
    <row r="787" spans="1:5" x14ac:dyDescent="0.25">
      <c r="A787" s="41">
        <v>2555</v>
      </c>
      <c r="B787" s="42" t="s">
        <v>1143</v>
      </c>
      <c r="C787" s="43" t="s">
        <v>289</v>
      </c>
      <c r="D787" s="43" t="s">
        <v>1141</v>
      </c>
      <c r="E787" s="43" t="s">
        <v>230</v>
      </c>
    </row>
    <row r="788" spans="1:5" x14ac:dyDescent="0.25">
      <c r="A788" s="41">
        <v>2557</v>
      </c>
      <c r="B788" s="42" t="s">
        <v>1144</v>
      </c>
      <c r="C788" s="43" t="s">
        <v>289</v>
      </c>
      <c r="D788" s="43" t="s">
        <v>1141</v>
      </c>
      <c r="E788" s="43" t="s">
        <v>230</v>
      </c>
    </row>
    <row r="789" spans="1:5" x14ac:dyDescent="0.25">
      <c r="A789" s="41">
        <v>2558</v>
      </c>
      <c r="B789" s="42" t="s">
        <v>1145</v>
      </c>
      <c r="C789" s="43" t="s">
        <v>289</v>
      </c>
      <c r="D789" s="43" t="s">
        <v>1141</v>
      </c>
      <c r="E789" s="43" t="s">
        <v>230</v>
      </c>
    </row>
    <row r="790" spans="1:5" x14ac:dyDescent="0.25">
      <c r="A790" s="41">
        <v>2559</v>
      </c>
      <c r="B790" s="42" t="s">
        <v>1146</v>
      </c>
      <c r="C790" s="43" t="s">
        <v>289</v>
      </c>
      <c r="D790" s="43" t="s">
        <v>1141</v>
      </c>
      <c r="E790" s="43" t="s">
        <v>230</v>
      </c>
    </row>
    <row r="791" spans="1:5" x14ac:dyDescent="0.25">
      <c r="A791" s="41">
        <v>2560</v>
      </c>
      <c r="B791" s="42" t="s">
        <v>1147</v>
      </c>
      <c r="C791" s="43" t="s">
        <v>289</v>
      </c>
      <c r="D791" s="43" t="s">
        <v>1141</v>
      </c>
      <c r="E791" s="43" t="s">
        <v>230</v>
      </c>
    </row>
    <row r="792" spans="1:5" x14ac:dyDescent="0.25">
      <c r="A792" s="41">
        <v>2561</v>
      </c>
      <c r="B792" s="42" t="s">
        <v>1148</v>
      </c>
      <c r="C792" s="43" t="s">
        <v>289</v>
      </c>
      <c r="D792" s="43" t="s">
        <v>333</v>
      </c>
      <c r="E792" s="43" t="s">
        <v>464</v>
      </c>
    </row>
    <row r="793" spans="1:5" x14ac:dyDescent="0.25">
      <c r="A793" s="41">
        <v>2563</v>
      </c>
      <c r="B793" s="42" t="s">
        <v>1149</v>
      </c>
      <c r="C793" s="43" t="s">
        <v>289</v>
      </c>
      <c r="D793" s="43" t="s">
        <v>996</v>
      </c>
      <c r="E793" s="43" t="s">
        <v>230</v>
      </c>
    </row>
    <row r="794" spans="1:5" x14ac:dyDescent="0.25">
      <c r="A794" s="41">
        <v>2564</v>
      </c>
      <c r="B794" s="42" t="s">
        <v>1150</v>
      </c>
      <c r="C794" s="43" t="s">
        <v>289</v>
      </c>
      <c r="D794" s="43" t="s">
        <v>996</v>
      </c>
      <c r="E794" s="43" t="s">
        <v>230</v>
      </c>
    </row>
    <row r="795" spans="1:5" x14ac:dyDescent="0.25">
      <c r="A795" s="41">
        <v>2566</v>
      </c>
      <c r="B795" s="42" t="s">
        <v>1151</v>
      </c>
      <c r="C795" s="43" t="s">
        <v>289</v>
      </c>
      <c r="D795" s="43" t="s">
        <v>996</v>
      </c>
      <c r="E795" s="43" t="s">
        <v>230</v>
      </c>
    </row>
    <row r="796" spans="1:5" x14ac:dyDescent="0.25">
      <c r="A796" s="41">
        <v>2567</v>
      </c>
      <c r="B796" s="42" t="s">
        <v>1152</v>
      </c>
      <c r="C796" s="43" t="s">
        <v>289</v>
      </c>
      <c r="D796" s="43" t="s">
        <v>996</v>
      </c>
      <c r="E796" s="43" t="s">
        <v>230</v>
      </c>
    </row>
    <row r="797" spans="1:5" x14ac:dyDescent="0.25">
      <c r="A797" s="41">
        <v>2568</v>
      </c>
      <c r="B797" s="42" t="s">
        <v>780</v>
      </c>
      <c r="C797" s="43" t="s">
        <v>289</v>
      </c>
      <c r="D797" s="43" t="s">
        <v>333</v>
      </c>
      <c r="E797" s="43" t="s">
        <v>373</v>
      </c>
    </row>
    <row r="798" spans="1:5" x14ac:dyDescent="0.25">
      <c r="A798" s="41">
        <v>2610</v>
      </c>
      <c r="B798" s="42" t="s">
        <v>1153</v>
      </c>
      <c r="C798" s="43" t="s">
        <v>289</v>
      </c>
      <c r="D798" s="43" t="s">
        <v>468</v>
      </c>
      <c r="E798" s="43" t="s">
        <v>230</v>
      </c>
    </row>
    <row r="799" spans="1:5" x14ac:dyDescent="0.25">
      <c r="A799" s="41">
        <v>2613</v>
      </c>
      <c r="B799" s="42" t="s">
        <v>1154</v>
      </c>
      <c r="C799" s="43" t="s">
        <v>289</v>
      </c>
      <c r="D799" s="43" t="s">
        <v>468</v>
      </c>
      <c r="E799" s="43" t="s">
        <v>230</v>
      </c>
    </row>
    <row r="800" spans="1:5" x14ac:dyDescent="0.25">
      <c r="A800" s="41">
        <v>2618</v>
      </c>
      <c r="B800" s="42" t="s">
        <v>1155</v>
      </c>
      <c r="C800" s="43" t="s">
        <v>289</v>
      </c>
      <c r="D800" s="43" t="s">
        <v>468</v>
      </c>
      <c r="E800" s="43" t="s">
        <v>230</v>
      </c>
    </row>
    <row r="801" spans="1:5" x14ac:dyDescent="0.25">
      <c r="A801" s="41">
        <v>2619</v>
      </c>
      <c r="B801" s="42" t="s">
        <v>1156</v>
      </c>
      <c r="C801" s="43" t="s">
        <v>289</v>
      </c>
      <c r="D801" s="43" t="s">
        <v>468</v>
      </c>
      <c r="E801" s="43" t="s">
        <v>230</v>
      </c>
    </row>
    <row r="802" spans="1:5" x14ac:dyDescent="0.25">
      <c r="A802" s="41">
        <v>2621</v>
      </c>
      <c r="B802" s="42" t="s">
        <v>1157</v>
      </c>
      <c r="C802" s="43" t="s">
        <v>289</v>
      </c>
      <c r="D802" s="43" t="s">
        <v>468</v>
      </c>
      <c r="E802" s="43" t="s">
        <v>230</v>
      </c>
    </row>
    <row r="803" spans="1:5" x14ac:dyDescent="0.25">
      <c r="A803" s="41">
        <v>2627</v>
      </c>
      <c r="B803" s="42" t="s">
        <v>1158</v>
      </c>
      <c r="C803" s="43" t="s">
        <v>289</v>
      </c>
      <c r="D803" s="43" t="s">
        <v>333</v>
      </c>
      <c r="E803" s="43" t="s">
        <v>464</v>
      </c>
    </row>
    <row r="804" spans="1:5" x14ac:dyDescent="0.25">
      <c r="A804" s="41">
        <v>2660</v>
      </c>
      <c r="B804" s="42" t="s">
        <v>1159</v>
      </c>
      <c r="C804" s="43" t="s">
        <v>289</v>
      </c>
      <c r="D804" s="43" t="s">
        <v>316</v>
      </c>
      <c r="E804" s="43" t="s">
        <v>373</v>
      </c>
    </row>
    <row r="805" spans="1:5" x14ac:dyDescent="0.25">
      <c r="A805" s="41">
        <v>2661</v>
      </c>
      <c r="B805" s="42" t="s">
        <v>1160</v>
      </c>
      <c r="C805" s="43" t="s">
        <v>289</v>
      </c>
      <c r="D805" s="43" t="s">
        <v>316</v>
      </c>
      <c r="E805" s="43" t="s">
        <v>230</v>
      </c>
    </row>
    <row r="806" spans="1:5" x14ac:dyDescent="0.25">
      <c r="A806" s="41">
        <v>2662</v>
      </c>
      <c r="B806" s="42" t="s">
        <v>1161</v>
      </c>
      <c r="C806" s="43" t="s">
        <v>289</v>
      </c>
      <c r="D806" s="43" t="s">
        <v>316</v>
      </c>
      <c r="E806" s="43" t="s">
        <v>230</v>
      </c>
    </row>
    <row r="807" spans="1:5" x14ac:dyDescent="0.25">
      <c r="A807" s="41">
        <v>2667</v>
      </c>
      <c r="B807" s="42" t="s">
        <v>1162</v>
      </c>
      <c r="C807" s="43" t="s">
        <v>289</v>
      </c>
      <c r="D807" s="43" t="s">
        <v>316</v>
      </c>
      <c r="E807" s="43" t="s">
        <v>230</v>
      </c>
    </row>
    <row r="808" spans="1:5" x14ac:dyDescent="0.25">
      <c r="A808" s="41">
        <v>2668</v>
      </c>
      <c r="B808" s="42" t="s">
        <v>1163</v>
      </c>
      <c r="C808" s="43" t="s">
        <v>289</v>
      </c>
      <c r="D808" s="43" t="s">
        <v>316</v>
      </c>
      <c r="E808" s="43" t="s">
        <v>230</v>
      </c>
    </row>
    <row r="809" spans="1:5" x14ac:dyDescent="0.25">
      <c r="A809" s="41">
        <v>2669</v>
      </c>
      <c r="B809" s="42" t="s">
        <v>1164</v>
      </c>
      <c r="C809" s="43" t="s">
        <v>289</v>
      </c>
      <c r="D809" s="43" t="s">
        <v>316</v>
      </c>
      <c r="E809" s="43" t="s">
        <v>230</v>
      </c>
    </row>
    <row r="810" spans="1:5" x14ac:dyDescent="0.25">
      <c r="A810" s="41">
        <v>2670</v>
      </c>
      <c r="B810" s="42" t="s">
        <v>1165</v>
      </c>
      <c r="C810" s="43" t="s">
        <v>289</v>
      </c>
      <c r="D810" s="43" t="s">
        <v>316</v>
      </c>
      <c r="E810" s="43" t="s">
        <v>230</v>
      </c>
    </row>
    <row r="811" spans="1:5" x14ac:dyDescent="0.25">
      <c r="A811" s="41">
        <v>2674</v>
      </c>
      <c r="B811" s="42" t="s">
        <v>1166</v>
      </c>
      <c r="C811" s="43" t="s">
        <v>289</v>
      </c>
      <c r="D811" s="43" t="s">
        <v>482</v>
      </c>
      <c r="E811" s="43" t="s">
        <v>483</v>
      </c>
    </row>
    <row r="812" spans="1:5" x14ac:dyDescent="0.25">
      <c r="A812" s="41">
        <v>2675</v>
      </c>
      <c r="B812" s="42" t="s">
        <v>1167</v>
      </c>
      <c r="C812" s="43" t="s">
        <v>289</v>
      </c>
      <c r="D812" s="43" t="s">
        <v>482</v>
      </c>
      <c r="E812" s="43" t="s">
        <v>483</v>
      </c>
    </row>
    <row r="813" spans="1:5" x14ac:dyDescent="0.25">
      <c r="A813" s="41">
        <v>2676</v>
      </c>
      <c r="B813" s="42" t="s">
        <v>1168</v>
      </c>
      <c r="C813" s="43" t="s">
        <v>289</v>
      </c>
      <c r="D813" s="43" t="s">
        <v>316</v>
      </c>
      <c r="E813" s="43" t="s">
        <v>230</v>
      </c>
    </row>
    <row r="814" spans="1:5" x14ac:dyDescent="0.25">
      <c r="A814" s="41">
        <v>2677</v>
      </c>
      <c r="B814" s="42" t="s">
        <v>1169</v>
      </c>
      <c r="C814" s="43" t="s">
        <v>289</v>
      </c>
      <c r="D814" s="43" t="s">
        <v>316</v>
      </c>
      <c r="E814" s="43" t="s">
        <v>230</v>
      </c>
    </row>
    <row r="815" spans="1:5" x14ac:dyDescent="0.25">
      <c r="A815" s="41">
        <v>2678</v>
      </c>
      <c r="B815" s="42" t="s">
        <v>1170</v>
      </c>
      <c r="C815" s="43" t="s">
        <v>289</v>
      </c>
      <c r="D815" s="43" t="s">
        <v>316</v>
      </c>
      <c r="E815" s="43" t="s">
        <v>230</v>
      </c>
    </row>
    <row r="816" spans="1:5" x14ac:dyDescent="0.25">
      <c r="A816" s="41">
        <v>2679</v>
      </c>
      <c r="B816" s="42" t="s">
        <v>1171</v>
      </c>
      <c r="C816" s="43" t="s">
        <v>289</v>
      </c>
      <c r="D816" s="43" t="s">
        <v>316</v>
      </c>
      <c r="E816" s="43" t="s">
        <v>230</v>
      </c>
    </row>
    <row r="817" spans="1:5" x14ac:dyDescent="0.25">
      <c r="A817" s="41">
        <v>2681</v>
      </c>
      <c r="B817" s="42" t="s">
        <v>1172</v>
      </c>
      <c r="C817" s="43" t="s">
        <v>289</v>
      </c>
      <c r="D817" s="43" t="s">
        <v>316</v>
      </c>
      <c r="E817" s="43" t="s">
        <v>230</v>
      </c>
    </row>
    <row r="818" spans="1:5" x14ac:dyDescent="0.25">
      <c r="A818" s="41">
        <v>2682</v>
      </c>
      <c r="B818" s="42" t="s">
        <v>1173</v>
      </c>
      <c r="C818" s="43" t="s">
        <v>289</v>
      </c>
      <c r="D818" s="43" t="s">
        <v>316</v>
      </c>
      <c r="E818" s="43" t="s">
        <v>230</v>
      </c>
    </row>
    <row r="819" spans="1:5" x14ac:dyDescent="0.25">
      <c r="A819" s="41">
        <v>2683</v>
      </c>
      <c r="B819" s="42" t="s">
        <v>1174</v>
      </c>
      <c r="C819" s="43" t="s">
        <v>289</v>
      </c>
      <c r="D819" s="43" t="s">
        <v>316</v>
      </c>
      <c r="E819" s="43" t="s">
        <v>230</v>
      </c>
    </row>
    <row r="820" spans="1:5" x14ac:dyDescent="0.25">
      <c r="A820" s="41">
        <v>2685</v>
      </c>
      <c r="B820" s="42" t="s">
        <v>1175</v>
      </c>
      <c r="C820" s="43" t="s">
        <v>289</v>
      </c>
      <c r="D820" s="43" t="s">
        <v>316</v>
      </c>
      <c r="E820" s="43" t="s">
        <v>230</v>
      </c>
    </row>
    <row r="821" spans="1:5" x14ac:dyDescent="0.25">
      <c r="A821" s="41">
        <v>2687</v>
      </c>
      <c r="B821" s="42" t="s">
        <v>1176</v>
      </c>
      <c r="C821" s="43" t="s">
        <v>289</v>
      </c>
      <c r="D821" s="43" t="s">
        <v>316</v>
      </c>
      <c r="E821" s="43" t="s">
        <v>217</v>
      </c>
    </row>
    <row r="822" spans="1:5" x14ac:dyDescent="0.25">
      <c r="A822" s="41">
        <v>2688</v>
      </c>
      <c r="B822" s="42" t="s">
        <v>1177</v>
      </c>
      <c r="C822" s="43" t="s">
        <v>289</v>
      </c>
      <c r="D822" s="43" t="s">
        <v>316</v>
      </c>
      <c r="E822" s="43" t="s">
        <v>217</v>
      </c>
    </row>
    <row r="823" spans="1:5" x14ac:dyDescent="0.25">
      <c r="A823" s="41">
        <v>2689</v>
      </c>
      <c r="B823" s="42" t="s">
        <v>1178</v>
      </c>
      <c r="C823" s="43" t="s">
        <v>289</v>
      </c>
      <c r="D823" s="43" t="s">
        <v>316</v>
      </c>
      <c r="E823" s="43" t="s">
        <v>217</v>
      </c>
    </row>
    <row r="824" spans="1:5" x14ac:dyDescent="0.25">
      <c r="A824" s="41">
        <v>2691</v>
      </c>
      <c r="B824" s="42" t="s">
        <v>1179</v>
      </c>
      <c r="C824" s="43" t="s">
        <v>289</v>
      </c>
      <c r="D824" s="43" t="s">
        <v>316</v>
      </c>
      <c r="E824" s="43" t="s">
        <v>217</v>
      </c>
    </row>
    <row r="825" spans="1:5" x14ac:dyDescent="0.25">
      <c r="A825" s="41">
        <v>2692</v>
      </c>
      <c r="B825" s="42" t="s">
        <v>1180</v>
      </c>
      <c r="C825" s="43" t="s">
        <v>289</v>
      </c>
      <c r="D825" s="43" t="s">
        <v>316</v>
      </c>
      <c r="E825" s="43" t="s">
        <v>217</v>
      </c>
    </row>
    <row r="826" spans="1:5" x14ac:dyDescent="0.25">
      <c r="A826" s="41">
        <v>2693</v>
      </c>
      <c r="B826" s="42" t="s">
        <v>1181</v>
      </c>
      <c r="C826" s="43" t="s">
        <v>289</v>
      </c>
      <c r="D826" s="43" t="s">
        <v>316</v>
      </c>
      <c r="E826" s="43" t="s">
        <v>217</v>
      </c>
    </row>
    <row r="827" spans="1:5" x14ac:dyDescent="0.25">
      <c r="A827" s="41">
        <v>2694</v>
      </c>
      <c r="B827" s="42" t="s">
        <v>1182</v>
      </c>
      <c r="C827" s="43" t="s">
        <v>289</v>
      </c>
      <c r="D827" s="43" t="s">
        <v>316</v>
      </c>
      <c r="E827" s="43" t="s">
        <v>217</v>
      </c>
    </row>
    <row r="828" spans="1:5" x14ac:dyDescent="0.25">
      <c r="A828" s="41">
        <v>2695</v>
      </c>
      <c r="B828" s="42" t="s">
        <v>1183</v>
      </c>
      <c r="C828" s="43" t="s">
        <v>289</v>
      </c>
      <c r="D828" s="43" t="s">
        <v>316</v>
      </c>
      <c r="E828" s="43" t="s">
        <v>217</v>
      </c>
    </row>
    <row r="829" spans="1:5" x14ac:dyDescent="0.25">
      <c r="A829" s="41">
        <v>2696</v>
      </c>
      <c r="B829" s="42" t="s">
        <v>1184</v>
      </c>
      <c r="C829" s="43" t="s">
        <v>289</v>
      </c>
      <c r="D829" s="43" t="s">
        <v>316</v>
      </c>
      <c r="E829" s="43" t="s">
        <v>217</v>
      </c>
    </row>
    <row r="830" spans="1:5" x14ac:dyDescent="0.25">
      <c r="A830" s="41">
        <v>2702</v>
      </c>
      <c r="B830" s="42" t="s">
        <v>1185</v>
      </c>
      <c r="C830" s="43" t="s">
        <v>289</v>
      </c>
      <c r="D830" s="43" t="s">
        <v>316</v>
      </c>
      <c r="E830" s="43" t="s">
        <v>531</v>
      </c>
    </row>
    <row r="831" spans="1:5" x14ac:dyDescent="0.25">
      <c r="A831" s="41">
        <v>2703</v>
      </c>
      <c r="B831" s="42" t="s">
        <v>1186</v>
      </c>
      <c r="C831" s="43" t="s">
        <v>289</v>
      </c>
      <c r="D831" s="43" t="s">
        <v>316</v>
      </c>
      <c r="E831" s="43" t="s">
        <v>531</v>
      </c>
    </row>
    <row r="832" spans="1:5" x14ac:dyDescent="0.25">
      <c r="A832" s="41">
        <v>2704</v>
      </c>
      <c r="B832" s="42" t="s">
        <v>1187</v>
      </c>
      <c r="C832" s="43" t="s">
        <v>289</v>
      </c>
      <c r="D832" s="43" t="s">
        <v>316</v>
      </c>
      <c r="E832" s="43" t="s">
        <v>531</v>
      </c>
    </row>
    <row r="833" spans="1:5" x14ac:dyDescent="0.25">
      <c r="A833" s="41">
        <v>2705</v>
      </c>
      <c r="B833" s="42" t="s">
        <v>1188</v>
      </c>
      <c r="C833" s="43" t="s">
        <v>289</v>
      </c>
      <c r="D833" s="43" t="s">
        <v>316</v>
      </c>
      <c r="E833" s="43" t="s">
        <v>531</v>
      </c>
    </row>
    <row r="834" spans="1:5" x14ac:dyDescent="0.25">
      <c r="A834" s="41">
        <v>2706</v>
      </c>
      <c r="B834" s="42" t="s">
        <v>1189</v>
      </c>
      <c r="C834" s="43" t="s">
        <v>289</v>
      </c>
      <c r="D834" s="43" t="s">
        <v>316</v>
      </c>
      <c r="E834" s="43" t="s">
        <v>531</v>
      </c>
    </row>
    <row r="835" spans="1:5" x14ac:dyDescent="0.25">
      <c r="A835" s="41">
        <v>2733</v>
      </c>
      <c r="B835" s="42" t="s">
        <v>1190</v>
      </c>
      <c r="C835" s="43" t="s">
        <v>289</v>
      </c>
      <c r="D835" s="43" t="s">
        <v>468</v>
      </c>
      <c r="E835" s="43" t="s">
        <v>230</v>
      </c>
    </row>
    <row r="836" spans="1:5" x14ac:dyDescent="0.25">
      <c r="A836" s="41">
        <v>2745</v>
      </c>
      <c r="B836" s="42" t="s">
        <v>1191</v>
      </c>
      <c r="C836" s="43" t="s">
        <v>289</v>
      </c>
      <c r="D836" s="43" t="s">
        <v>474</v>
      </c>
      <c r="E836" s="43" t="s">
        <v>230</v>
      </c>
    </row>
    <row r="837" spans="1:5" x14ac:dyDescent="0.25">
      <c r="A837" s="41">
        <v>2767</v>
      </c>
      <c r="B837" s="42" t="s">
        <v>1192</v>
      </c>
      <c r="C837" s="43" t="s">
        <v>289</v>
      </c>
      <c r="D837" s="43" t="s">
        <v>468</v>
      </c>
      <c r="E837" s="43" t="s">
        <v>230</v>
      </c>
    </row>
    <row r="838" spans="1:5" x14ac:dyDescent="0.25">
      <c r="A838" s="41">
        <v>2801</v>
      </c>
      <c r="B838" s="42" t="s">
        <v>1193</v>
      </c>
      <c r="C838" s="43" t="s">
        <v>289</v>
      </c>
      <c r="D838" s="43" t="s">
        <v>468</v>
      </c>
      <c r="E838" s="43" t="s">
        <v>230</v>
      </c>
    </row>
    <row r="839" spans="1:5" x14ac:dyDescent="0.25">
      <c r="A839" s="41">
        <v>2802</v>
      </c>
      <c r="B839" s="42" t="s">
        <v>1194</v>
      </c>
      <c r="C839" s="43" t="s">
        <v>289</v>
      </c>
      <c r="D839" s="43" t="s">
        <v>316</v>
      </c>
      <c r="E839" s="43" t="s">
        <v>336</v>
      </c>
    </row>
    <row r="840" spans="1:5" x14ac:dyDescent="0.25">
      <c r="A840" s="41">
        <v>2820</v>
      </c>
      <c r="B840" s="42" t="s">
        <v>1195</v>
      </c>
      <c r="C840" s="43" t="s">
        <v>289</v>
      </c>
      <c r="D840" s="43" t="s">
        <v>468</v>
      </c>
      <c r="E840" s="43" t="s">
        <v>230</v>
      </c>
    </row>
    <row r="841" spans="1:5" x14ac:dyDescent="0.25">
      <c r="A841" s="41">
        <v>2836</v>
      </c>
      <c r="B841" s="42" t="s">
        <v>1196</v>
      </c>
      <c r="C841" s="43" t="s">
        <v>289</v>
      </c>
      <c r="D841" s="43" t="s">
        <v>333</v>
      </c>
      <c r="E841" s="43" t="s">
        <v>170</v>
      </c>
    </row>
    <row r="842" spans="1:5" x14ac:dyDescent="0.25">
      <c r="A842" s="41">
        <v>2851</v>
      </c>
      <c r="B842" s="42" t="s">
        <v>1197</v>
      </c>
      <c r="C842" s="43" t="s">
        <v>289</v>
      </c>
      <c r="D842" s="43" t="s">
        <v>333</v>
      </c>
      <c r="E842" s="43" t="s">
        <v>464</v>
      </c>
    </row>
    <row r="843" spans="1:5" x14ac:dyDescent="0.25">
      <c r="A843" s="41">
        <v>2878</v>
      </c>
      <c r="B843" s="42" t="s">
        <v>1198</v>
      </c>
      <c r="C843" s="43" t="s">
        <v>289</v>
      </c>
      <c r="D843" s="43" t="s">
        <v>468</v>
      </c>
      <c r="E843" s="43" t="s">
        <v>230</v>
      </c>
    </row>
    <row r="844" spans="1:5" x14ac:dyDescent="0.25">
      <c r="A844" s="41">
        <v>2916</v>
      </c>
      <c r="B844" s="42" t="s">
        <v>1199</v>
      </c>
      <c r="C844" s="43" t="s">
        <v>289</v>
      </c>
      <c r="D844" s="43" t="s">
        <v>845</v>
      </c>
      <c r="E844" s="43" t="s">
        <v>230</v>
      </c>
    </row>
    <row r="845" spans="1:5" x14ac:dyDescent="0.25">
      <c r="A845" s="41">
        <v>2945</v>
      </c>
      <c r="B845" s="42" t="s">
        <v>1200</v>
      </c>
      <c r="C845" s="43" t="s">
        <v>289</v>
      </c>
      <c r="D845" s="43" t="s">
        <v>468</v>
      </c>
      <c r="E845" s="43" t="s">
        <v>230</v>
      </c>
    </row>
    <row r="846" spans="1:5" x14ac:dyDescent="0.25">
      <c r="A846" s="41">
        <v>2980</v>
      </c>
      <c r="B846" s="42" t="s">
        <v>1201</v>
      </c>
      <c r="C846" s="43" t="s">
        <v>289</v>
      </c>
      <c r="D846" s="43" t="s">
        <v>290</v>
      </c>
      <c r="E846" s="43" t="s">
        <v>230</v>
      </c>
    </row>
    <row r="847" spans="1:5" x14ac:dyDescent="0.25">
      <c r="A847" s="41">
        <v>2985</v>
      </c>
      <c r="B847" s="42" t="s">
        <v>1202</v>
      </c>
      <c r="C847" s="43" t="s">
        <v>289</v>
      </c>
      <c r="D847" s="43" t="s">
        <v>468</v>
      </c>
      <c r="E847" s="43" t="s">
        <v>230</v>
      </c>
    </row>
    <row r="848" spans="1:5" x14ac:dyDescent="0.25">
      <c r="A848" s="41">
        <v>3001</v>
      </c>
      <c r="B848" s="42" t="s">
        <v>1203</v>
      </c>
      <c r="C848" s="43" t="s">
        <v>289</v>
      </c>
      <c r="D848" s="43" t="s">
        <v>314</v>
      </c>
      <c r="E848" s="43" t="s">
        <v>230</v>
      </c>
    </row>
    <row r="849" spans="1:5" x14ac:dyDescent="0.25">
      <c r="A849" s="41">
        <v>3043</v>
      </c>
      <c r="B849" s="42" t="s">
        <v>1204</v>
      </c>
      <c r="C849" s="43" t="s">
        <v>289</v>
      </c>
      <c r="D849" s="43" t="s">
        <v>433</v>
      </c>
      <c r="E849" s="43" t="s">
        <v>230</v>
      </c>
    </row>
    <row r="850" spans="1:5" x14ac:dyDescent="0.25">
      <c r="A850" s="41">
        <v>3052</v>
      </c>
      <c r="B850" s="42" t="s">
        <v>1205</v>
      </c>
      <c r="C850" s="43" t="s">
        <v>289</v>
      </c>
      <c r="D850" s="43" t="s">
        <v>468</v>
      </c>
      <c r="E850" s="43" t="s">
        <v>230</v>
      </c>
    </row>
    <row r="851" spans="1:5" x14ac:dyDescent="0.25">
      <c r="A851" s="41">
        <v>3059</v>
      </c>
      <c r="B851" s="42" t="s">
        <v>1206</v>
      </c>
      <c r="C851" s="43" t="s">
        <v>289</v>
      </c>
      <c r="D851" s="43" t="s">
        <v>468</v>
      </c>
      <c r="E851" s="43" t="s">
        <v>230</v>
      </c>
    </row>
    <row r="852" spans="1:5" x14ac:dyDescent="0.25">
      <c r="A852" s="41">
        <v>3083</v>
      </c>
      <c r="B852" s="42" t="s">
        <v>1207</v>
      </c>
      <c r="C852" s="43" t="s">
        <v>289</v>
      </c>
      <c r="D852" s="43" t="s">
        <v>316</v>
      </c>
      <c r="E852" s="43" t="s">
        <v>230</v>
      </c>
    </row>
    <row r="853" spans="1:5" x14ac:dyDescent="0.25">
      <c r="A853" s="41">
        <v>3084</v>
      </c>
      <c r="B853" s="42" t="s">
        <v>1208</v>
      </c>
      <c r="C853" s="43" t="s">
        <v>289</v>
      </c>
      <c r="D853" s="43" t="s">
        <v>316</v>
      </c>
      <c r="E853" s="43" t="s">
        <v>230</v>
      </c>
    </row>
    <row r="854" spans="1:5" x14ac:dyDescent="0.25">
      <c r="A854" s="41">
        <v>3085</v>
      </c>
      <c r="B854" s="42" t="s">
        <v>1209</v>
      </c>
      <c r="C854" s="43" t="s">
        <v>289</v>
      </c>
      <c r="D854" s="43" t="s">
        <v>316</v>
      </c>
      <c r="E854" s="43" t="s">
        <v>230</v>
      </c>
    </row>
    <row r="855" spans="1:5" x14ac:dyDescent="0.25">
      <c r="A855" s="41">
        <v>3086</v>
      </c>
      <c r="B855" s="42" t="s">
        <v>1210</v>
      </c>
      <c r="C855" s="43" t="s">
        <v>289</v>
      </c>
      <c r="D855" s="43" t="s">
        <v>316</v>
      </c>
      <c r="E855" s="43" t="s">
        <v>230</v>
      </c>
    </row>
    <row r="856" spans="1:5" x14ac:dyDescent="0.25">
      <c r="A856" s="41">
        <v>3087</v>
      </c>
      <c r="B856" s="42" t="s">
        <v>1211</v>
      </c>
      <c r="C856" s="43" t="s">
        <v>289</v>
      </c>
      <c r="D856" s="43" t="s">
        <v>316</v>
      </c>
      <c r="E856" s="43" t="s">
        <v>230</v>
      </c>
    </row>
    <row r="857" spans="1:5" x14ac:dyDescent="0.25">
      <c r="A857" s="41">
        <v>3088</v>
      </c>
      <c r="B857" s="42" t="s">
        <v>1212</v>
      </c>
      <c r="C857" s="43" t="s">
        <v>289</v>
      </c>
      <c r="D857" s="43" t="s">
        <v>316</v>
      </c>
      <c r="E857" s="43" t="s">
        <v>170</v>
      </c>
    </row>
    <row r="858" spans="1:5" x14ac:dyDescent="0.25">
      <c r="A858" s="41">
        <v>3093</v>
      </c>
      <c r="B858" s="42" t="s">
        <v>1213</v>
      </c>
      <c r="C858" s="43" t="s">
        <v>289</v>
      </c>
      <c r="D858" s="43" t="s">
        <v>474</v>
      </c>
      <c r="E858" s="43" t="s">
        <v>230</v>
      </c>
    </row>
    <row r="859" spans="1:5" x14ac:dyDescent="0.25">
      <c r="A859" s="41">
        <v>3094</v>
      </c>
      <c r="B859" s="42" t="s">
        <v>1214</v>
      </c>
      <c r="C859" s="43" t="s">
        <v>289</v>
      </c>
      <c r="D859" s="43" t="s">
        <v>316</v>
      </c>
      <c r="E859" s="43" t="s">
        <v>230</v>
      </c>
    </row>
    <row r="860" spans="1:5" x14ac:dyDescent="0.25">
      <c r="A860" s="41">
        <v>3096</v>
      </c>
      <c r="B860" s="42" t="s">
        <v>1215</v>
      </c>
      <c r="C860" s="43" t="s">
        <v>289</v>
      </c>
      <c r="D860" s="43" t="s">
        <v>316</v>
      </c>
      <c r="E860" s="43" t="s">
        <v>1093</v>
      </c>
    </row>
    <row r="861" spans="1:5" x14ac:dyDescent="0.25">
      <c r="A861" s="41">
        <v>3098</v>
      </c>
      <c r="B861" s="42" t="s">
        <v>1216</v>
      </c>
      <c r="C861" s="43" t="s">
        <v>289</v>
      </c>
      <c r="D861" s="43" t="s">
        <v>316</v>
      </c>
      <c r="E861" s="43" t="s">
        <v>230</v>
      </c>
    </row>
    <row r="862" spans="1:5" x14ac:dyDescent="0.25">
      <c r="A862" s="41">
        <v>3099</v>
      </c>
      <c r="B862" s="42" t="s">
        <v>1217</v>
      </c>
      <c r="C862" s="43" t="s">
        <v>289</v>
      </c>
      <c r="D862" s="43" t="s">
        <v>941</v>
      </c>
      <c r="E862" s="43" t="s">
        <v>230</v>
      </c>
    </row>
    <row r="863" spans="1:5" x14ac:dyDescent="0.25">
      <c r="A863" s="41">
        <v>3100</v>
      </c>
      <c r="B863" s="42" t="s">
        <v>1218</v>
      </c>
      <c r="C863" s="43" t="s">
        <v>289</v>
      </c>
      <c r="D863" s="43" t="s">
        <v>941</v>
      </c>
      <c r="E863" s="43" t="s">
        <v>230</v>
      </c>
    </row>
    <row r="864" spans="1:5" x14ac:dyDescent="0.25">
      <c r="A864" s="41">
        <v>3104</v>
      </c>
      <c r="B864" s="42" t="s">
        <v>1219</v>
      </c>
      <c r="C864" s="43" t="s">
        <v>289</v>
      </c>
      <c r="D864" s="43" t="s">
        <v>941</v>
      </c>
      <c r="E864" s="43" t="s">
        <v>230</v>
      </c>
    </row>
    <row r="865" spans="1:5" x14ac:dyDescent="0.25">
      <c r="A865" s="41">
        <v>3105</v>
      </c>
      <c r="B865" s="42" t="s">
        <v>1220</v>
      </c>
      <c r="C865" s="43" t="s">
        <v>289</v>
      </c>
      <c r="D865" s="43" t="s">
        <v>941</v>
      </c>
      <c r="E865" s="43" t="s">
        <v>230</v>
      </c>
    </row>
    <row r="866" spans="1:5" x14ac:dyDescent="0.25">
      <c r="A866" s="41">
        <v>3106</v>
      </c>
      <c r="B866" s="42" t="s">
        <v>1221</v>
      </c>
      <c r="C866" s="43" t="s">
        <v>289</v>
      </c>
      <c r="D866" s="43" t="s">
        <v>941</v>
      </c>
      <c r="E866" s="43" t="s">
        <v>230</v>
      </c>
    </row>
    <row r="867" spans="1:5" x14ac:dyDescent="0.25">
      <c r="A867" s="41">
        <v>3107</v>
      </c>
      <c r="B867" s="42" t="s">
        <v>1222</v>
      </c>
      <c r="C867" s="43" t="s">
        <v>289</v>
      </c>
      <c r="D867" s="43" t="s">
        <v>941</v>
      </c>
      <c r="E867" s="43" t="s">
        <v>230</v>
      </c>
    </row>
    <row r="868" spans="1:5" x14ac:dyDescent="0.25">
      <c r="A868" s="41">
        <v>3108</v>
      </c>
      <c r="B868" s="42" t="s">
        <v>1223</v>
      </c>
      <c r="C868" s="43" t="s">
        <v>289</v>
      </c>
      <c r="D868" s="43" t="s">
        <v>941</v>
      </c>
      <c r="E868" s="43" t="s">
        <v>230</v>
      </c>
    </row>
    <row r="869" spans="1:5" x14ac:dyDescent="0.25">
      <c r="A869" s="41">
        <v>3113</v>
      </c>
      <c r="B869" s="42" t="s">
        <v>1224</v>
      </c>
      <c r="C869" s="43" t="s">
        <v>289</v>
      </c>
      <c r="D869" s="43" t="s">
        <v>795</v>
      </c>
      <c r="E869" s="43" t="s">
        <v>230</v>
      </c>
    </row>
    <row r="870" spans="1:5" x14ac:dyDescent="0.25">
      <c r="A870" s="41">
        <v>3116</v>
      </c>
      <c r="B870" s="42" t="s">
        <v>1225</v>
      </c>
      <c r="C870" s="43" t="s">
        <v>289</v>
      </c>
      <c r="D870" s="43" t="s">
        <v>795</v>
      </c>
      <c r="E870" s="43" t="s">
        <v>373</v>
      </c>
    </row>
    <row r="871" spans="1:5" x14ac:dyDescent="0.25">
      <c r="A871" s="41">
        <v>3119</v>
      </c>
      <c r="B871" s="42" t="s">
        <v>1226</v>
      </c>
      <c r="C871" s="43" t="s">
        <v>289</v>
      </c>
      <c r="D871" s="43" t="s">
        <v>1227</v>
      </c>
      <c r="E871" s="43" t="s">
        <v>230</v>
      </c>
    </row>
    <row r="872" spans="1:5" x14ac:dyDescent="0.25">
      <c r="A872" s="41">
        <v>3120</v>
      </c>
      <c r="B872" s="42" t="s">
        <v>1228</v>
      </c>
      <c r="C872" s="43" t="s">
        <v>289</v>
      </c>
      <c r="D872" s="43" t="s">
        <v>795</v>
      </c>
      <c r="E872" s="43" t="s">
        <v>230</v>
      </c>
    </row>
    <row r="873" spans="1:5" x14ac:dyDescent="0.25">
      <c r="A873" s="41">
        <v>3121</v>
      </c>
      <c r="B873" s="42" t="s">
        <v>1229</v>
      </c>
      <c r="C873" s="43" t="s">
        <v>289</v>
      </c>
      <c r="D873" s="43" t="s">
        <v>795</v>
      </c>
      <c r="E873" s="43" t="s">
        <v>170</v>
      </c>
    </row>
    <row r="874" spans="1:5" x14ac:dyDescent="0.25">
      <c r="A874" s="41">
        <v>3122</v>
      </c>
      <c r="B874" s="42" t="s">
        <v>1230</v>
      </c>
      <c r="C874" s="43" t="s">
        <v>289</v>
      </c>
      <c r="D874" s="43" t="s">
        <v>941</v>
      </c>
      <c r="E874" s="43" t="s">
        <v>230</v>
      </c>
    </row>
    <row r="875" spans="1:5" x14ac:dyDescent="0.25">
      <c r="A875" s="41">
        <v>3123</v>
      </c>
      <c r="B875" s="42" t="s">
        <v>1231</v>
      </c>
      <c r="C875" s="43" t="s">
        <v>289</v>
      </c>
      <c r="D875" s="43" t="s">
        <v>941</v>
      </c>
      <c r="E875" s="43" t="s">
        <v>230</v>
      </c>
    </row>
    <row r="876" spans="1:5" x14ac:dyDescent="0.25">
      <c r="A876" s="41">
        <v>3126</v>
      </c>
      <c r="B876" s="42" t="s">
        <v>1232</v>
      </c>
      <c r="C876" s="43" t="s">
        <v>289</v>
      </c>
      <c r="D876" s="43" t="s">
        <v>795</v>
      </c>
      <c r="E876" s="43" t="s">
        <v>170</v>
      </c>
    </row>
    <row r="877" spans="1:5" x14ac:dyDescent="0.25">
      <c r="A877" s="41">
        <v>3132</v>
      </c>
      <c r="B877" s="42" t="s">
        <v>1233</v>
      </c>
      <c r="C877" s="43" t="s">
        <v>289</v>
      </c>
      <c r="D877" s="43" t="s">
        <v>941</v>
      </c>
      <c r="E877" s="43" t="s">
        <v>230</v>
      </c>
    </row>
    <row r="878" spans="1:5" x14ac:dyDescent="0.25">
      <c r="A878" s="41">
        <v>3133</v>
      </c>
      <c r="B878" s="42" t="s">
        <v>1234</v>
      </c>
      <c r="C878" s="43" t="s">
        <v>289</v>
      </c>
      <c r="D878" s="43" t="s">
        <v>996</v>
      </c>
      <c r="E878" s="43" t="s">
        <v>230</v>
      </c>
    </row>
    <row r="879" spans="1:5" x14ac:dyDescent="0.25">
      <c r="A879" s="41">
        <v>3134</v>
      </c>
      <c r="B879" s="42" t="s">
        <v>1235</v>
      </c>
      <c r="C879" s="43" t="s">
        <v>289</v>
      </c>
      <c r="D879" s="43" t="s">
        <v>316</v>
      </c>
      <c r="E879" s="43" t="s">
        <v>1093</v>
      </c>
    </row>
    <row r="880" spans="1:5" x14ac:dyDescent="0.25">
      <c r="A880" s="41">
        <v>3135</v>
      </c>
      <c r="B880" s="42" t="s">
        <v>1236</v>
      </c>
      <c r="C880" s="43" t="s">
        <v>289</v>
      </c>
      <c r="D880" s="43" t="s">
        <v>316</v>
      </c>
      <c r="E880" s="43" t="s">
        <v>1093</v>
      </c>
    </row>
    <row r="881" spans="1:5" x14ac:dyDescent="0.25">
      <c r="A881" s="41">
        <v>3138</v>
      </c>
      <c r="B881" s="42" t="s">
        <v>1237</v>
      </c>
      <c r="C881" s="43" t="s">
        <v>289</v>
      </c>
      <c r="D881" s="43" t="s">
        <v>316</v>
      </c>
      <c r="E881" s="43" t="s">
        <v>1093</v>
      </c>
    </row>
    <row r="882" spans="1:5" x14ac:dyDescent="0.25">
      <c r="A882" s="41">
        <v>3139</v>
      </c>
      <c r="B882" s="42" t="s">
        <v>1238</v>
      </c>
      <c r="C882" s="43" t="s">
        <v>289</v>
      </c>
      <c r="D882" s="43" t="s">
        <v>316</v>
      </c>
      <c r="E882" s="43" t="s">
        <v>230</v>
      </c>
    </row>
    <row r="883" spans="1:5" x14ac:dyDescent="0.25">
      <c r="A883" s="41">
        <v>3140</v>
      </c>
      <c r="B883" s="42" t="s">
        <v>1239</v>
      </c>
      <c r="C883" s="43" t="s">
        <v>289</v>
      </c>
      <c r="D883" s="43" t="s">
        <v>316</v>
      </c>
      <c r="E883" s="43" t="s">
        <v>230</v>
      </c>
    </row>
    <row r="884" spans="1:5" x14ac:dyDescent="0.25">
      <c r="A884" s="41">
        <v>3141</v>
      </c>
      <c r="B884" s="42" t="s">
        <v>1240</v>
      </c>
      <c r="C884" s="43" t="s">
        <v>289</v>
      </c>
      <c r="D884" s="43" t="s">
        <v>494</v>
      </c>
      <c r="E884" s="43" t="s">
        <v>230</v>
      </c>
    </row>
    <row r="885" spans="1:5" x14ac:dyDescent="0.25">
      <c r="A885" s="41">
        <v>3144</v>
      </c>
      <c r="B885" s="42" t="s">
        <v>1241</v>
      </c>
      <c r="C885" s="43" t="s">
        <v>289</v>
      </c>
      <c r="D885" s="43" t="s">
        <v>316</v>
      </c>
      <c r="E885" s="43" t="s">
        <v>230</v>
      </c>
    </row>
    <row r="886" spans="1:5" x14ac:dyDescent="0.25">
      <c r="A886" s="41">
        <v>3148</v>
      </c>
      <c r="B886" s="42" t="s">
        <v>1242</v>
      </c>
      <c r="C886" s="43" t="s">
        <v>289</v>
      </c>
      <c r="D886" s="43" t="s">
        <v>474</v>
      </c>
      <c r="E886" s="43" t="s">
        <v>230</v>
      </c>
    </row>
    <row r="887" spans="1:5" x14ac:dyDescent="0.25">
      <c r="A887" s="41">
        <v>3149</v>
      </c>
      <c r="B887" s="42" t="s">
        <v>1243</v>
      </c>
      <c r="C887" s="43" t="s">
        <v>289</v>
      </c>
      <c r="D887" s="43" t="s">
        <v>327</v>
      </c>
      <c r="E887" s="43" t="s">
        <v>1244</v>
      </c>
    </row>
    <row r="888" spans="1:5" x14ac:dyDescent="0.25">
      <c r="A888" s="41">
        <v>3150</v>
      </c>
      <c r="B888" s="42" t="s">
        <v>1245</v>
      </c>
      <c r="C888" s="43" t="s">
        <v>289</v>
      </c>
      <c r="D888" s="43" t="s">
        <v>996</v>
      </c>
      <c r="E888" s="43" t="s">
        <v>230</v>
      </c>
    </row>
    <row r="889" spans="1:5" x14ac:dyDescent="0.25">
      <c r="A889" s="41">
        <v>3151</v>
      </c>
      <c r="B889" s="42" t="s">
        <v>1246</v>
      </c>
      <c r="C889" s="43" t="s">
        <v>289</v>
      </c>
      <c r="D889" s="43" t="s">
        <v>996</v>
      </c>
      <c r="E889" s="43" t="s">
        <v>230</v>
      </c>
    </row>
    <row r="890" spans="1:5" x14ac:dyDescent="0.25">
      <c r="A890" s="41">
        <v>3155</v>
      </c>
      <c r="B890" s="42" t="s">
        <v>1247</v>
      </c>
      <c r="C890" s="43" t="s">
        <v>289</v>
      </c>
      <c r="D890" s="43" t="s">
        <v>316</v>
      </c>
      <c r="E890" s="43" t="s">
        <v>230</v>
      </c>
    </row>
    <row r="891" spans="1:5" x14ac:dyDescent="0.25">
      <c r="A891" s="41">
        <v>3157</v>
      </c>
      <c r="B891" s="42" t="s">
        <v>1248</v>
      </c>
      <c r="C891" s="43" t="s">
        <v>289</v>
      </c>
      <c r="D891" s="43" t="s">
        <v>316</v>
      </c>
      <c r="E891" s="43" t="s">
        <v>436</v>
      </c>
    </row>
    <row r="892" spans="1:5" x14ac:dyDescent="0.25">
      <c r="A892" s="41">
        <v>3158</v>
      </c>
      <c r="B892" s="42" t="s">
        <v>1249</v>
      </c>
      <c r="C892" s="43" t="s">
        <v>289</v>
      </c>
      <c r="D892" s="43" t="s">
        <v>316</v>
      </c>
      <c r="E892" s="43" t="s">
        <v>436</v>
      </c>
    </row>
    <row r="893" spans="1:5" x14ac:dyDescent="0.25">
      <c r="A893" s="41">
        <v>3159</v>
      </c>
      <c r="B893" s="42" t="s">
        <v>1250</v>
      </c>
      <c r="C893" s="43" t="s">
        <v>289</v>
      </c>
      <c r="D893" s="43" t="s">
        <v>316</v>
      </c>
      <c r="E893" s="43" t="s">
        <v>436</v>
      </c>
    </row>
    <row r="894" spans="1:5" x14ac:dyDescent="0.25">
      <c r="A894" s="41">
        <v>3160</v>
      </c>
      <c r="B894" s="42" t="s">
        <v>1251</v>
      </c>
      <c r="C894" s="43" t="s">
        <v>289</v>
      </c>
      <c r="D894" s="43" t="s">
        <v>316</v>
      </c>
      <c r="E894" s="43" t="s">
        <v>230</v>
      </c>
    </row>
    <row r="895" spans="1:5" x14ac:dyDescent="0.25">
      <c r="A895" s="41">
        <v>3162</v>
      </c>
      <c r="B895" s="42" t="s">
        <v>1252</v>
      </c>
      <c r="C895" s="43" t="s">
        <v>289</v>
      </c>
      <c r="D895" s="43" t="s">
        <v>996</v>
      </c>
      <c r="E895" s="43" t="s">
        <v>1253</v>
      </c>
    </row>
    <row r="896" spans="1:5" x14ac:dyDescent="0.25">
      <c r="A896" s="41">
        <v>3163</v>
      </c>
      <c r="B896" s="42" t="s">
        <v>1254</v>
      </c>
      <c r="C896" s="43" t="s">
        <v>289</v>
      </c>
      <c r="D896" s="43" t="s">
        <v>996</v>
      </c>
      <c r="E896" s="43" t="s">
        <v>1253</v>
      </c>
    </row>
    <row r="897" spans="1:5" x14ac:dyDescent="0.25">
      <c r="A897" s="41">
        <v>3164</v>
      </c>
      <c r="B897" s="42" t="s">
        <v>1255</v>
      </c>
      <c r="C897" s="43" t="s">
        <v>289</v>
      </c>
      <c r="D897" s="43" t="s">
        <v>941</v>
      </c>
      <c r="E897" s="43" t="s">
        <v>230</v>
      </c>
    </row>
    <row r="898" spans="1:5" x14ac:dyDescent="0.25">
      <c r="A898" s="41">
        <v>3165</v>
      </c>
      <c r="B898" s="42" t="s">
        <v>1256</v>
      </c>
      <c r="C898" s="43" t="s">
        <v>289</v>
      </c>
      <c r="D898" s="43" t="s">
        <v>941</v>
      </c>
      <c r="E898" s="43" t="s">
        <v>230</v>
      </c>
    </row>
    <row r="899" spans="1:5" x14ac:dyDescent="0.25">
      <c r="A899" s="41">
        <v>3166</v>
      </c>
      <c r="B899" s="42" t="s">
        <v>1257</v>
      </c>
      <c r="C899" s="43" t="s">
        <v>289</v>
      </c>
      <c r="D899" s="43" t="s">
        <v>1227</v>
      </c>
      <c r="E899" s="43" t="s">
        <v>230</v>
      </c>
    </row>
    <row r="900" spans="1:5" x14ac:dyDescent="0.25">
      <c r="A900" s="41">
        <v>3171</v>
      </c>
      <c r="B900" s="42" t="s">
        <v>1258</v>
      </c>
      <c r="C900" s="43" t="s">
        <v>289</v>
      </c>
      <c r="D900" s="43" t="s">
        <v>1112</v>
      </c>
      <c r="E900" s="43" t="s">
        <v>769</v>
      </c>
    </row>
    <row r="901" spans="1:5" x14ac:dyDescent="0.25">
      <c r="A901" s="41">
        <v>3182</v>
      </c>
      <c r="B901" s="42" t="s">
        <v>1259</v>
      </c>
      <c r="C901" s="43" t="s">
        <v>289</v>
      </c>
      <c r="D901" s="43" t="s">
        <v>482</v>
      </c>
      <c r="E901" s="43" t="s">
        <v>483</v>
      </c>
    </row>
    <row r="902" spans="1:5" x14ac:dyDescent="0.25">
      <c r="A902" s="41">
        <v>3183</v>
      </c>
      <c r="B902" s="42" t="s">
        <v>1260</v>
      </c>
      <c r="C902" s="43" t="s">
        <v>289</v>
      </c>
      <c r="D902" s="43" t="s">
        <v>316</v>
      </c>
      <c r="E902" s="43" t="s">
        <v>230</v>
      </c>
    </row>
    <row r="903" spans="1:5" x14ac:dyDescent="0.25">
      <c r="A903" s="41">
        <v>3184</v>
      </c>
      <c r="B903" s="42" t="s">
        <v>1261</v>
      </c>
      <c r="C903" s="43" t="s">
        <v>289</v>
      </c>
      <c r="D903" s="43" t="s">
        <v>316</v>
      </c>
      <c r="E903" s="43" t="s">
        <v>230</v>
      </c>
    </row>
    <row r="904" spans="1:5" x14ac:dyDescent="0.25">
      <c r="A904" s="41">
        <v>3185</v>
      </c>
      <c r="B904" s="42" t="s">
        <v>1262</v>
      </c>
      <c r="C904" s="43" t="s">
        <v>289</v>
      </c>
      <c r="D904" s="43" t="s">
        <v>694</v>
      </c>
      <c r="E904" s="43" t="s">
        <v>230</v>
      </c>
    </row>
    <row r="905" spans="1:5" x14ac:dyDescent="0.25">
      <c r="A905" s="41">
        <v>3186</v>
      </c>
      <c r="B905" s="42" t="s">
        <v>1263</v>
      </c>
      <c r="C905" s="43" t="s">
        <v>289</v>
      </c>
      <c r="D905" s="43" t="s">
        <v>316</v>
      </c>
      <c r="E905" s="43" t="s">
        <v>230</v>
      </c>
    </row>
    <row r="906" spans="1:5" x14ac:dyDescent="0.25">
      <c r="A906" s="41">
        <v>3187</v>
      </c>
      <c r="B906" s="42" t="s">
        <v>1264</v>
      </c>
      <c r="C906" s="43" t="s">
        <v>289</v>
      </c>
      <c r="D906" s="43" t="s">
        <v>327</v>
      </c>
      <c r="E906" s="43" t="s">
        <v>230</v>
      </c>
    </row>
    <row r="907" spans="1:5" x14ac:dyDescent="0.25">
      <c r="A907" s="41">
        <v>3189</v>
      </c>
      <c r="B907" s="42" t="s">
        <v>1265</v>
      </c>
      <c r="C907" s="43" t="s">
        <v>289</v>
      </c>
      <c r="D907" s="43" t="s">
        <v>435</v>
      </c>
      <c r="E907" s="43" t="s">
        <v>170</v>
      </c>
    </row>
    <row r="908" spans="1:5" x14ac:dyDescent="0.25">
      <c r="A908" s="41">
        <v>3190</v>
      </c>
      <c r="B908" s="42" t="s">
        <v>1266</v>
      </c>
      <c r="C908" s="43" t="s">
        <v>289</v>
      </c>
      <c r="D908" s="43" t="s">
        <v>435</v>
      </c>
      <c r="E908" s="43" t="s">
        <v>464</v>
      </c>
    </row>
    <row r="909" spans="1:5" x14ac:dyDescent="0.25">
      <c r="A909" s="41">
        <v>3191</v>
      </c>
      <c r="B909" s="42" t="s">
        <v>1267</v>
      </c>
      <c r="C909" s="43" t="s">
        <v>289</v>
      </c>
      <c r="D909" s="43" t="s">
        <v>316</v>
      </c>
      <c r="E909" s="43" t="s">
        <v>230</v>
      </c>
    </row>
    <row r="910" spans="1:5" x14ac:dyDescent="0.25">
      <c r="A910" s="41">
        <v>3192</v>
      </c>
      <c r="B910" s="42" t="s">
        <v>1268</v>
      </c>
      <c r="C910" s="43" t="s">
        <v>289</v>
      </c>
      <c r="D910" s="43" t="s">
        <v>494</v>
      </c>
      <c r="E910" s="43" t="s">
        <v>472</v>
      </c>
    </row>
    <row r="911" spans="1:5" x14ac:dyDescent="0.25">
      <c r="A911" s="41">
        <v>3193</v>
      </c>
      <c r="B911" s="42" t="s">
        <v>1269</v>
      </c>
      <c r="C911" s="43" t="s">
        <v>289</v>
      </c>
      <c r="D911" s="43" t="s">
        <v>482</v>
      </c>
      <c r="E911" s="43" t="s">
        <v>472</v>
      </c>
    </row>
    <row r="912" spans="1:5" x14ac:dyDescent="0.25">
      <c r="A912" s="41">
        <v>3194</v>
      </c>
      <c r="B912" s="42" t="s">
        <v>1270</v>
      </c>
      <c r="C912" s="43" t="s">
        <v>289</v>
      </c>
      <c r="D912" s="43" t="s">
        <v>433</v>
      </c>
      <c r="E912" s="43" t="s">
        <v>454</v>
      </c>
    </row>
    <row r="913" spans="1:5" x14ac:dyDescent="0.25">
      <c r="A913" s="41">
        <v>3195</v>
      </c>
      <c r="B913" s="42" t="s">
        <v>1271</v>
      </c>
      <c r="C913" s="43" t="s">
        <v>289</v>
      </c>
      <c r="D913" s="43" t="s">
        <v>1227</v>
      </c>
      <c r="E913" s="43" t="s">
        <v>230</v>
      </c>
    </row>
    <row r="914" spans="1:5" x14ac:dyDescent="0.25">
      <c r="A914" s="41">
        <v>3198</v>
      </c>
      <c r="B914" s="42" t="s">
        <v>1272</v>
      </c>
      <c r="C914" s="43" t="s">
        <v>289</v>
      </c>
      <c r="D914" s="43" t="s">
        <v>333</v>
      </c>
      <c r="E914" s="43" t="s">
        <v>230</v>
      </c>
    </row>
    <row r="915" spans="1:5" x14ac:dyDescent="0.25">
      <c r="A915" s="41">
        <v>3199</v>
      </c>
      <c r="B915" s="42" t="s">
        <v>1273</v>
      </c>
      <c r="C915" s="43" t="s">
        <v>289</v>
      </c>
      <c r="D915" s="43" t="s">
        <v>694</v>
      </c>
      <c r="E915" s="43" t="s">
        <v>230</v>
      </c>
    </row>
    <row r="916" spans="1:5" x14ac:dyDescent="0.25">
      <c r="A916" s="41">
        <v>3201</v>
      </c>
      <c r="B916" s="42" t="s">
        <v>1274</v>
      </c>
      <c r="C916" s="43" t="s">
        <v>289</v>
      </c>
      <c r="D916" s="43" t="s">
        <v>333</v>
      </c>
      <c r="E916" s="43" t="s">
        <v>170</v>
      </c>
    </row>
    <row r="917" spans="1:5" x14ac:dyDescent="0.25">
      <c r="A917" s="41">
        <v>3202</v>
      </c>
      <c r="B917" s="42" t="s">
        <v>1275</v>
      </c>
      <c r="C917" s="43" t="s">
        <v>289</v>
      </c>
      <c r="D917" s="43" t="s">
        <v>523</v>
      </c>
      <c r="E917" s="43" t="s">
        <v>230</v>
      </c>
    </row>
    <row r="918" spans="1:5" x14ac:dyDescent="0.25">
      <c r="A918" s="41">
        <v>3204</v>
      </c>
      <c r="B918" s="42" t="s">
        <v>1276</v>
      </c>
      <c r="C918" s="43" t="s">
        <v>289</v>
      </c>
      <c r="D918" s="43" t="s">
        <v>523</v>
      </c>
      <c r="E918" s="43" t="s">
        <v>230</v>
      </c>
    </row>
    <row r="919" spans="1:5" x14ac:dyDescent="0.25">
      <c r="A919" s="41">
        <v>3205</v>
      </c>
      <c r="B919" s="42" t="s">
        <v>1277</v>
      </c>
      <c r="C919" s="43" t="s">
        <v>289</v>
      </c>
      <c r="D919" s="43" t="s">
        <v>523</v>
      </c>
      <c r="E919" s="43" t="s">
        <v>230</v>
      </c>
    </row>
    <row r="920" spans="1:5" x14ac:dyDescent="0.25">
      <c r="A920" s="41">
        <v>3206</v>
      </c>
      <c r="B920" s="42" t="s">
        <v>1278</v>
      </c>
      <c r="C920" s="43" t="s">
        <v>289</v>
      </c>
      <c r="D920" s="43" t="s">
        <v>523</v>
      </c>
      <c r="E920" s="43" t="s">
        <v>230</v>
      </c>
    </row>
    <row r="921" spans="1:5" x14ac:dyDescent="0.25">
      <c r="A921" s="41">
        <v>3207</v>
      </c>
      <c r="B921" s="42" t="s">
        <v>1279</v>
      </c>
      <c r="C921" s="43" t="s">
        <v>289</v>
      </c>
      <c r="D921" s="43" t="s">
        <v>523</v>
      </c>
      <c r="E921" s="43" t="s">
        <v>230</v>
      </c>
    </row>
    <row r="922" spans="1:5" x14ac:dyDescent="0.25">
      <c r="A922" s="41">
        <v>3208</v>
      </c>
      <c r="B922" s="42" t="s">
        <v>1280</v>
      </c>
      <c r="C922" s="43" t="s">
        <v>289</v>
      </c>
      <c r="D922" s="43" t="s">
        <v>523</v>
      </c>
      <c r="E922" s="43" t="s">
        <v>230</v>
      </c>
    </row>
    <row r="923" spans="1:5" x14ac:dyDescent="0.25">
      <c r="A923" s="41">
        <v>3209</v>
      </c>
      <c r="B923" s="42" t="s">
        <v>1281</v>
      </c>
      <c r="C923" s="43" t="s">
        <v>289</v>
      </c>
      <c r="D923" s="43" t="s">
        <v>523</v>
      </c>
      <c r="E923" s="43" t="s">
        <v>483</v>
      </c>
    </row>
    <row r="924" spans="1:5" x14ac:dyDescent="0.25">
      <c r="A924" s="41">
        <v>3210</v>
      </c>
      <c r="B924" s="42" t="s">
        <v>1282</v>
      </c>
      <c r="C924" s="43" t="s">
        <v>289</v>
      </c>
      <c r="D924" s="43" t="s">
        <v>523</v>
      </c>
      <c r="E924" s="43" t="s">
        <v>230</v>
      </c>
    </row>
    <row r="925" spans="1:5" x14ac:dyDescent="0.25">
      <c r="A925" s="41">
        <v>3212</v>
      </c>
      <c r="B925" s="42" t="s">
        <v>1283</v>
      </c>
      <c r="C925" s="43" t="s">
        <v>289</v>
      </c>
      <c r="D925" s="43" t="s">
        <v>523</v>
      </c>
      <c r="E925" s="43" t="s">
        <v>230</v>
      </c>
    </row>
    <row r="926" spans="1:5" x14ac:dyDescent="0.25">
      <c r="A926" s="41">
        <v>3213</v>
      </c>
      <c r="B926" s="42" t="s">
        <v>1284</v>
      </c>
      <c r="C926" s="43" t="s">
        <v>289</v>
      </c>
      <c r="D926" s="43" t="s">
        <v>523</v>
      </c>
      <c r="E926" s="43" t="s">
        <v>230</v>
      </c>
    </row>
    <row r="927" spans="1:5" x14ac:dyDescent="0.25">
      <c r="A927" s="41">
        <v>3215</v>
      </c>
      <c r="B927" s="42" t="s">
        <v>1285</v>
      </c>
      <c r="C927" s="43" t="s">
        <v>289</v>
      </c>
      <c r="D927" s="43" t="s">
        <v>523</v>
      </c>
      <c r="E927" s="43" t="s">
        <v>1071</v>
      </c>
    </row>
    <row r="928" spans="1:5" x14ac:dyDescent="0.25">
      <c r="A928" s="41">
        <v>3216</v>
      </c>
      <c r="B928" s="42" t="s">
        <v>1286</v>
      </c>
      <c r="C928" s="43" t="s">
        <v>289</v>
      </c>
      <c r="D928" s="43" t="s">
        <v>523</v>
      </c>
      <c r="E928" s="43" t="s">
        <v>483</v>
      </c>
    </row>
    <row r="929" spans="1:5" x14ac:dyDescent="0.25">
      <c r="A929" s="41">
        <v>3218</v>
      </c>
      <c r="B929" s="42" t="s">
        <v>1287</v>
      </c>
      <c r="C929" s="43" t="s">
        <v>289</v>
      </c>
      <c r="D929" s="43" t="s">
        <v>694</v>
      </c>
      <c r="E929" s="43" t="s">
        <v>217</v>
      </c>
    </row>
    <row r="930" spans="1:5" x14ac:dyDescent="0.25">
      <c r="A930" s="41">
        <v>3222</v>
      </c>
      <c r="B930" s="42" t="s">
        <v>1288</v>
      </c>
      <c r="C930" s="43" t="s">
        <v>289</v>
      </c>
      <c r="D930" s="43" t="s">
        <v>694</v>
      </c>
      <c r="E930" s="43" t="s">
        <v>230</v>
      </c>
    </row>
    <row r="931" spans="1:5" x14ac:dyDescent="0.25">
      <c r="A931" s="41">
        <v>3223</v>
      </c>
      <c r="B931" s="42" t="s">
        <v>1289</v>
      </c>
      <c r="C931" s="43" t="s">
        <v>289</v>
      </c>
      <c r="D931" s="43" t="s">
        <v>1290</v>
      </c>
      <c r="E931" s="43" t="s">
        <v>230</v>
      </c>
    </row>
    <row r="932" spans="1:5" x14ac:dyDescent="0.25">
      <c r="A932" s="41">
        <v>3224</v>
      </c>
      <c r="B932" s="42" t="s">
        <v>1291</v>
      </c>
      <c r="C932" s="43" t="s">
        <v>289</v>
      </c>
      <c r="D932" s="43" t="s">
        <v>1290</v>
      </c>
      <c r="E932" s="43" t="s">
        <v>230</v>
      </c>
    </row>
    <row r="933" spans="1:5" x14ac:dyDescent="0.25">
      <c r="A933" s="41">
        <v>3225</v>
      </c>
      <c r="B933" s="42" t="s">
        <v>1292</v>
      </c>
      <c r="C933" s="43" t="s">
        <v>289</v>
      </c>
      <c r="D933" s="43" t="s">
        <v>694</v>
      </c>
      <c r="E933" s="43" t="s">
        <v>230</v>
      </c>
    </row>
    <row r="934" spans="1:5" x14ac:dyDescent="0.25">
      <c r="A934" s="41">
        <v>3227</v>
      </c>
      <c r="B934" s="42" t="s">
        <v>1293</v>
      </c>
      <c r="C934" s="43" t="s">
        <v>289</v>
      </c>
      <c r="D934" s="43" t="s">
        <v>694</v>
      </c>
      <c r="E934" s="43" t="s">
        <v>230</v>
      </c>
    </row>
    <row r="935" spans="1:5" x14ac:dyDescent="0.25">
      <c r="A935" s="41">
        <v>3228</v>
      </c>
      <c r="B935" s="42" t="s">
        <v>1294</v>
      </c>
      <c r="C935" s="43" t="s">
        <v>289</v>
      </c>
      <c r="D935" s="43" t="s">
        <v>694</v>
      </c>
      <c r="E935" s="43" t="s">
        <v>230</v>
      </c>
    </row>
    <row r="936" spans="1:5" x14ac:dyDescent="0.25">
      <c r="A936" s="41">
        <v>3232</v>
      </c>
      <c r="B936" s="42" t="s">
        <v>1295</v>
      </c>
      <c r="C936" s="43" t="s">
        <v>289</v>
      </c>
      <c r="D936" s="43" t="s">
        <v>694</v>
      </c>
      <c r="E936" s="43" t="s">
        <v>170</v>
      </c>
    </row>
    <row r="937" spans="1:5" x14ac:dyDescent="0.25">
      <c r="A937" s="41">
        <v>3233</v>
      </c>
      <c r="B937" s="42" t="s">
        <v>1296</v>
      </c>
      <c r="C937" s="43" t="s">
        <v>289</v>
      </c>
      <c r="D937" s="43" t="s">
        <v>694</v>
      </c>
      <c r="E937" s="43" t="s">
        <v>230</v>
      </c>
    </row>
    <row r="938" spans="1:5" x14ac:dyDescent="0.25">
      <c r="A938" s="41">
        <v>3234</v>
      </c>
      <c r="B938" s="42" t="s">
        <v>1297</v>
      </c>
      <c r="C938" s="43" t="s">
        <v>289</v>
      </c>
      <c r="D938" s="43" t="s">
        <v>333</v>
      </c>
      <c r="E938" s="43" t="s">
        <v>170</v>
      </c>
    </row>
    <row r="939" spans="1:5" x14ac:dyDescent="0.25">
      <c r="A939" s="41">
        <v>3236</v>
      </c>
      <c r="B939" s="42" t="s">
        <v>1298</v>
      </c>
      <c r="C939" s="43" t="s">
        <v>289</v>
      </c>
      <c r="D939" s="43" t="s">
        <v>1100</v>
      </c>
      <c r="E939" s="43" t="s">
        <v>531</v>
      </c>
    </row>
    <row r="940" spans="1:5" x14ac:dyDescent="0.25">
      <c r="A940" s="41">
        <v>3242</v>
      </c>
      <c r="B940" s="42" t="s">
        <v>1299</v>
      </c>
      <c r="C940" s="43" t="s">
        <v>289</v>
      </c>
      <c r="D940" s="43" t="s">
        <v>316</v>
      </c>
      <c r="E940" s="43" t="s">
        <v>230</v>
      </c>
    </row>
    <row r="941" spans="1:5" x14ac:dyDescent="0.25">
      <c r="A941" s="41">
        <v>3244</v>
      </c>
      <c r="B941" s="42" t="s">
        <v>1300</v>
      </c>
      <c r="C941" s="43" t="s">
        <v>289</v>
      </c>
      <c r="D941" s="43" t="s">
        <v>316</v>
      </c>
      <c r="E941" s="43" t="s">
        <v>230</v>
      </c>
    </row>
    <row r="942" spans="1:5" x14ac:dyDescent="0.25">
      <c r="A942" s="41">
        <v>3245</v>
      </c>
      <c r="B942" s="42" t="s">
        <v>1301</v>
      </c>
      <c r="C942" s="43" t="s">
        <v>289</v>
      </c>
      <c r="D942" s="43" t="s">
        <v>316</v>
      </c>
      <c r="E942" s="43" t="s">
        <v>230</v>
      </c>
    </row>
    <row r="943" spans="1:5" x14ac:dyDescent="0.25">
      <c r="A943" s="41">
        <v>3246</v>
      </c>
      <c r="B943" s="42" t="s">
        <v>1302</v>
      </c>
      <c r="C943" s="43" t="s">
        <v>289</v>
      </c>
      <c r="D943" s="43" t="s">
        <v>316</v>
      </c>
      <c r="E943" s="43" t="s">
        <v>230</v>
      </c>
    </row>
    <row r="944" spans="1:5" x14ac:dyDescent="0.25">
      <c r="A944" s="41">
        <v>3249</v>
      </c>
      <c r="B944" s="42" t="s">
        <v>1303</v>
      </c>
      <c r="C944" s="43" t="s">
        <v>289</v>
      </c>
      <c r="D944" s="43" t="s">
        <v>316</v>
      </c>
      <c r="E944" s="43" t="s">
        <v>230</v>
      </c>
    </row>
    <row r="945" spans="1:5" x14ac:dyDescent="0.25">
      <c r="A945" s="41">
        <v>3250</v>
      </c>
      <c r="B945" s="42" t="s">
        <v>1304</v>
      </c>
      <c r="C945" s="43" t="s">
        <v>289</v>
      </c>
      <c r="D945" s="43" t="s">
        <v>316</v>
      </c>
      <c r="E945" s="43" t="s">
        <v>230</v>
      </c>
    </row>
    <row r="946" spans="1:5" x14ac:dyDescent="0.25">
      <c r="A946" s="41">
        <v>3251</v>
      </c>
      <c r="B946" s="42" t="s">
        <v>1305</v>
      </c>
      <c r="C946" s="43" t="s">
        <v>289</v>
      </c>
      <c r="D946" s="43" t="s">
        <v>316</v>
      </c>
      <c r="E946" s="43" t="s">
        <v>230</v>
      </c>
    </row>
    <row r="947" spans="1:5" x14ac:dyDescent="0.25">
      <c r="A947" s="41">
        <v>3252</v>
      </c>
      <c r="B947" s="42" t="s">
        <v>1306</v>
      </c>
      <c r="C947" s="43" t="s">
        <v>289</v>
      </c>
      <c r="D947" s="43" t="s">
        <v>316</v>
      </c>
      <c r="E947" s="43" t="s">
        <v>230</v>
      </c>
    </row>
    <row r="948" spans="1:5" x14ac:dyDescent="0.25">
      <c r="A948" s="41">
        <v>3253</v>
      </c>
      <c r="B948" s="42" t="s">
        <v>1307</v>
      </c>
      <c r="C948" s="43" t="s">
        <v>289</v>
      </c>
      <c r="D948" s="43" t="s">
        <v>442</v>
      </c>
      <c r="E948" s="43" t="s">
        <v>531</v>
      </c>
    </row>
    <row r="949" spans="1:5" x14ac:dyDescent="0.25">
      <c r="A949" s="41">
        <v>3259</v>
      </c>
      <c r="B949" s="42" t="s">
        <v>1308</v>
      </c>
      <c r="C949" s="43" t="s">
        <v>289</v>
      </c>
      <c r="D949" s="43" t="s">
        <v>466</v>
      </c>
      <c r="E949" s="43" t="s">
        <v>230</v>
      </c>
    </row>
    <row r="950" spans="1:5" x14ac:dyDescent="0.25">
      <c r="A950" s="41">
        <v>3260</v>
      </c>
      <c r="B950" s="42" t="s">
        <v>1309</v>
      </c>
      <c r="C950" s="43" t="s">
        <v>289</v>
      </c>
      <c r="D950" s="43" t="s">
        <v>466</v>
      </c>
      <c r="E950" s="43" t="s">
        <v>230</v>
      </c>
    </row>
    <row r="951" spans="1:5" x14ac:dyDescent="0.25">
      <c r="A951" s="41">
        <v>3261</v>
      </c>
      <c r="B951" s="42" t="s">
        <v>1310</v>
      </c>
      <c r="C951" s="43" t="s">
        <v>289</v>
      </c>
      <c r="D951" s="43" t="s">
        <v>316</v>
      </c>
      <c r="E951" s="43" t="s">
        <v>230</v>
      </c>
    </row>
    <row r="952" spans="1:5" x14ac:dyDescent="0.25">
      <c r="A952" s="41">
        <v>3267</v>
      </c>
      <c r="B952" s="42" t="s">
        <v>1311</v>
      </c>
      <c r="C952" s="43" t="s">
        <v>289</v>
      </c>
      <c r="D952" s="43" t="s">
        <v>410</v>
      </c>
      <c r="E952" s="43" t="s">
        <v>230</v>
      </c>
    </row>
    <row r="953" spans="1:5" x14ac:dyDescent="0.25">
      <c r="A953" s="41">
        <v>3269</v>
      </c>
      <c r="B953" s="42" t="s">
        <v>1312</v>
      </c>
      <c r="C953" s="43" t="s">
        <v>289</v>
      </c>
      <c r="D953" s="43" t="s">
        <v>694</v>
      </c>
      <c r="E953" s="43" t="s">
        <v>230</v>
      </c>
    </row>
    <row r="954" spans="1:5" x14ac:dyDescent="0.25">
      <c r="A954" s="41">
        <v>3270</v>
      </c>
      <c r="B954" s="42" t="s">
        <v>1313</v>
      </c>
      <c r="C954" s="43" t="s">
        <v>289</v>
      </c>
      <c r="D954" s="43" t="s">
        <v>1314</v>
      </c>
      <c r="E954" s="43" t="s">
        <v>230</v>
      </c>
    </row>
    <row r="955" spans="1:5" x14ac:dyDescent="0.25">
      <c r="A955" s="41">
        <v>3271</v>
      </c>
      <c r="B955" s="42" t="s">
        <v>1315</v>
      </c>
      <c r="C955" s="43" t="s">
        <v>289</v>
      </c>
      <c r="D955" s="43" t="s">
        <v>1314</v>
      </c>
      <c r="E955" s="43" t="s">
        <v>230</v>
      </c>
    </row>
    <row r="956" spans="1:5" x14ac:dyDescent="0.25">
      <c r="A956" s="41">
        <v>3272</v>
      </c>
      <c r="B956" s="42" t="s">
        <v>1316</v>
      </c>
      <c r="C956" s="43" t="s">
        <v>289</v>
      </c>
      <c r="D956" s="43" t="s">
        <v>1314</v>
      </c>
      <c r="E956" s="43" t="s">
        <v>230</v>
      </c>
    </row>
    <row r="957" spans="1:5" x14ac:dyDescent="0.25">
      <c r="A957" s="41">
        <v>3291</v>
      </c>
      <c r="B957" s="42" t="s">
        <v>1317</v>
      </c>
      <c r="C957" s="43" t="s">
        <v>289</v>
      </c>
      <c r="D957" s="43" t="s">
        <v>468</v>
      </c>
      <c r="E957" s="43" t="s">
        <v>230</v>
      </c>
    </row>
    <row r="958" spans="1:5" x14ac:dyDescent="0.25">
      <c r="A958" s="41">
        <v>3292</v>
      </c>
      <c r="B958" s="42" t="s">
        <v>1318</v>
      </c>
      <c r="C958" s="43" t="s">
        <v>289</v>
      </c>
      <c r="D958" s="43" t="s">
        <v>468</v>
      </c>
      <c r="E958" s="43" t="s">
        <v>230</v>
      </c>
    </row>
    <row r="959" spans="1:5" x14ac:dyDescent="0.25">
      <c r="A959" s="41">
        <v>3293</v>
      </c>
      <c r="B959" s="42" t="s">
        <v>1319</v>
      </c>
      <c r="C959" s="43" t="s">
        <v>289</v>
      </c>
      <c r="D959" s="43" t="s">
        <v>468</v>
      </c>
      <c r="E959" s="43" t="s">
        <v>230</v>
      </c>
    </row>
    <row r="960" spans="1:5" x14ac:dyDescent="0.25">
      <c r="A960" s="41">
        <v>3326</v>
      </c>
      <c r="B960" s="42" t="s">
        <v>1320</v>
      </c>
      <c r="C960" s="43" t="s">
        <v>289</v>
      </c>
      <c r="D960" s="43" t="s">
        <v>327</v>
      </c>
      <c r="E960" s="43" t="s">
        <v>230</v>
      </c>
    </row>
    <row r="961" spans="1:5" x14ac:dyDescent="0.25">
      <c r="A961" s="41">
        <v>3348</v>
      </c>
      <c r="B961" s="42" t="s">
        <v>1321</v>
      </c>
      <c r="C961" s="43" t="s">
        <v>289</v>
      </c>
      <c r="D961" s="43" t="s">
        <v>316</v>
      </c>
      <c r="E961" s="43" t="s">
        <v>230</v>
      </c>
    </row>
    <row r="962" spans="1:5" x14ac:dyDescent="0.25">
      <c r="A962" s="41">
        <v>3351</v>
      </c>
      <c r="B962" s="42" t="s">
        <v>1322</v>
      </c>
      <c r="C962" s="43" t="s">
        <v>289</v>
      </c>
      <c r="D962" s="43" t="s">
        <v>410</v>
      </c>
      <c r="E962" s="43" t="s">
        <v>230</v>
      </c>
    </row>
    <row r="963" spans="1:5" x14ac:dyDescent="0.25">
      <c r="A963" s="41">
        <v>3385</v>
      </c>
      <c r="B963" s="42" t="s">
        <v>1323</v>
      </c>
      <c r="C963" s="43" t="s">
        <v>289</v>
      </c>
      <c r="D963" s="43" t="s">
        <v>694</v>
      </c>
      <c r="E963" s="43" t="s">
        <v>217</v>
      </c>
    </row>
    <row r="964" spans="1:5" x14ac:dyDescent="0.25">
      <c r="A964" s="41">
        <v>3420</v>
      </c>
      <c r="B964" s="42" t="s">
        <v>1324</v>
      </c>
      <c r="C964" s="43" t="s">
        <v>289</v>
      </c>
      <c r="D964" s="43" t="s">
        <v>316</v>
      </c>
      <c r="E964" s="43" t="s">
        <v>230</v>
      </c>
    </row>
    <row r="965" spans="1:5" x14ac:dyDescent="0.25">
      <c r="A965" s="41">
        <v>3445</v>
      </c>
      <c r="B965" s="42" t="s">
        <v>1325</v>
      </c>
      <c r="C965" s="43" t="s">
        <v>289</v>
      </c>
      <c r="D965" s="43" t="s">
        <v>1326</v>
      </c>
      <c r="E965" s="43" t="s">
        <v>230</v>
      </c>
    </row>
    <row r="966" spans="1:5" x14ac:dyDescent="0.25">
      <c r="A966" s="41">
        <v>3450</v>
      </c>
      <c r="B966" s="42" t="s">
        <v>1327</v>
      </c>
      <c r="C966" s="43" t="s">
        <v>289</v>
      </c>
      <c r="D966" s="43" t="s">
        <v>316</v>
      </c>
      <c r="E966" s="43" t="s">
        <v>230</v>
      </c>
    </row>
    <row r="967" spans="1:5" x14ac:dyDescent="0.25">
      <c r="A967" s="41">
        <v>3458</v>
      </c>
      <c r="B967" s="42" t="s">
        <v>1328</v>
      </c>
      <c r="C967" s="43" t="s">
        <v>289</v>
      </c>
      <c r="D967" s="43" t="s">
        <v>633</v>
      </c>
      <c r="E967" s="43" t="s">
        <v>454</v>
      </c>
    </row>
    <row r="968" spans="1:5" x14ac:dyDescent="0.25">
      <c r="A968" s="41">
        <v>3466</v>
      </c>
      <c r="B968" s="42" t="s">
        <v>1329</v>
      </c>
      <c r="C968" s="43" t="s">
        <v>289</v>
      </c>
      <c r="D968" s="43" t="s">
        <v>316</v>
      </c>
      <c r="E968" s="43" t="s">
        <v>454</v>
      </c>
    </row>
    <row r="969" spans="1:5" x14ac:dyDescent="0.25">
      <c r="A969" s="41">
        <v>3506</v>
      </c>
      <c r="B969" s="42" t="s">
        <v>1330</v>
      </c>
      <c r="C969" s="43" t="s">
        <v>289</v>
      </c>
      <c r="D969" s="43" t="s">
        <v>316</v>
      </c>
      <c r="E969" s="43" t="s">
        <v>230</v>
      </c>
    </row>
    <row r="970" spans="1:5" x14ac:dyDescent="0.25">
      <c r="A970" s="41">
        <v>3527</v>
      </c>
      <c r="B970" s="42" t="s">
        <v>1331</v>
      </c>
      <c r="C970" s="43" t="s">
        <v>289</v>
      </c>
      <c r="D970" s="43" t="s">
        <v>316</v>
      </c>
      <c r="E970" s="43" t="s">
        <v>230</v>
      </c>
    </row>
    <row r="971" spans="1:5" x14ac:dyDescent="0.25">
      <c r="A971" s="41">
        <v>3534</v>
      </c>
      <c r="B971" s="42" t="s">
        <v>1332</v>
      </c>
      <c r="C971" s="43" t="s">
        <v>289</v>
      </c>
      <c r="D971" s="43" t="s">
        <v>316</v>
      </c>
      <c r="E971" s="43" t="s">
        <v>230</v>
      </c>
    </row>
    <row r="972" spans="1:5" x14ac:dyDescent="0.25">
      <c r="A972" s="41">
        <v>3535</v>
      </c>
      <c r="B972" s="42" t="s">
        <v>1333</v>
      </c>
      <c r="C972" s="43" t="s">
        <v>289</v>
      </c>
      <c r="D972" s="43" t="s">
        <v>440</v>
      </c>
      <c r="E972" s="43" t="s">
        <v>230</v>
      </c>
    </row>
    <row r="973" spans="1:5" x14ac:dyDescent="0.25">
      <c r="A973" s="41">
        <v>3537</v>
      </c>
      <c r="B973" s="42" t="s">
        <v>1334</v>
      </c>
      <c r="C973" s="43" t="s">
        <v>289</v>
      </c>
      <c r="D973" s="43" t="s">
        <v>440</v>
      </c>
      <c r="E973" s="43" t="s">
        <v>230</v>
      </c>
    </row>
    <row r="974" spans="1:5" x14ac:dyDescent="0.25">
      <c r="A974" s="41">
        <v>3541</v>
      </c>
      <c r="B974" s="42" t="s">
        <v>1335</v>
      </c>
      <c r="C974" s="43" t="s">
        <v>289</v>
      </c>
      <c r="D974" s="43" t="s">
        <v>440</v>
      </c>
      <c r="E974" s="43" t="s">
        <v>230</v>
      </c>
    </row>
    <row r="975" spans="1:5" x14ac:dyDescent="0.25">
      <c r="A975" s="41">
        <v>3544</v>
      </c>
      <c r="B975" s="42" t="s">
        <v>1336</v>
      </c>
      <c r="C975" s="43" t="s">
        <v>289</v>
      </c>
      <c r="D975" s="43" t="s">
        <v>845</v>
      </c>
      <c r="E975" s="43" t="s">
        <v>230</v>
      </c>
    </row>
    <row r="976" spans="1:5" x14ac:dyDescent="0.25">
      <c r="A976" s="41">
        <v>3564</v>
      </c>
      <c r="B976" s="42" t="s">
        <v>1337</v>
      </c>
      <c r="C976" s="43" t="s">
        <v>289</v>
      </c>
      <c r="D976" s="43" t="s">
        <v>316</v>
      </c>
      <c r="E976" s="43" t="s">
        <v>230</v>
      </c>
    </row>
    <row r="977" spans="1:5" x14ac:dyDescent="0.25">
      <c r="A977" s="41">
        <v>3580</v>
      </c>
      <c r="B977" s="42" t="s">
        <v>1338</v>
      </c>
      <c r="C977" s="43" t="s">
        <v>289</v>
      </c>
      <c r="D977" s="43" t="s">
        <v>316</v>
      </c>
      <c r="E977" s="43" t="s">
        <v>336</v>
      </c>
    </row>
    <row r="978" spans="1:5" x14ac:dyDescent="0.25">
      <c r="A978" s="41">
        <v>3587</v>
      </c>
      <c r="B978" s="42" t="s">
        <v>1339</v>
      </c>
      <c r="C978" s="43" t="s">
        <v>289</v>
      </c>
      <c r="D978" s="43" t="s">
        <v>316</v>
      </c>
      <c r="E978" s="43" t="s">
        <v>230</v>
      </c>
    </row>
    <row r="979" spans="1:5" x14ac:dyDescent="0.25">
      <c r="A979" s="41">
        <v>3592</v>
      </c>
      <c r="B979" s="42" t="s">
        <v>1340</v>
      </c>
      <c r="C979" s="43" t="s">
        <v>289</v>
      </c>
      <c r="D979" s="43" t="s">
        <v>327</v>
      </c>
      <c r="E979" s="43" t="s">
        <v>230</v>
      </c>
    </row>
    <row r="980" spans="1:5" x14ac:dyDescent="0.25">
      <c r="A980" s="41">
        <v>3593</v>
      </c>
      <c r="B980" s="42" t="s">
        <v>1341</v>
      </c>
      <c r="C980" s="43" t="s">
        <v>289</v>
      </c>
      <c r="D980" s="43" t="s">
        <v>327</v>
      </c>
      <c r="E980" s="43" t="s">
        <v>230</v>
      </c>
    </row>
    <row r="981" spans="1:5" x14ac:dyDescent="0.25">
      <c r="A981" s="41">
        <v>3594</v>
      </c>
      <c r="B981" s="42" t="s">
        <v>1342</v>
      </c>
      <c r="C981" s="43" t="s">
        <v>289</v>
      </c>
      <c r="D981" s="43" t="s">
        <v>433</v>
      </c>
      <c r="E981" s="43" t="s">
        <v>531</v>
      </c>
    </row>
    <row r="982" spans="1:5" x14ac:dyDescent="0.25">
      <c r="A982" s="41">
        <v>3595</v>
      </c>
      <c r="B982" s="42" t="s">
        <v>1343</v>
      </c>
      <c r="C982" s="43" t="s">
        <v>289</v>
      </c>
      <c r="D982" s="43" t="s">
        <v>290</v>
      </c>
      <c r="E982" s="43" t="s">
        <v>230</v>
      </c>
    </row>
    <row r="983" spans="1:5" x14ac:dyDescent="0.25">
      <c r="A983" s="41">
        <v>3597</v>
      </c>
      <c r="B983" s="42" t="s">
        <v>1344</v>
      </c>
      <c r="C983" s="43" t="s">
        <v>289</v>
      </c>
      <c r="D983" s="43" t="s">
        <v>433</v>
      </c>
      <c r="E983" s="43" t="s">
        <v>230</v>
      </c>
    </row>
    <row r="984" spans="1:5" x14ac:dyDescent="0.25">
      <c r="A984" s="41">
        <v>3604</v>
      </c>
      <c r="B984" s="42" t="s">
        <v>1345</v>
      </c>
      <c r="C984" s="43" t="s">
        <v>289</v>
      </c>
      <c r="D984" s="43" t="s">
        <v>813</v>
      </c>
      <c r="E984" s="43" t="s">
        <v>230</v>
      </c>
    </row>
    <row r="985" spans="1:5" x14ac:dyDescent="0.25">
      <c r="A985" s="41">
        <v>3612</v>
      </c>
      <c r="B985" s="42" t="s">
        <v>1346</v>
      </c>
      <c r="C985" s="43" t="s">
        <v>289</v>
      </c>
      <c r="D985" s="43" t="s">
        <v>316</v>
      </c>
      <c r="E985" s="43" t="s">
        <v>230</v>
      </c>
    </row>
    <row r="986" spans="1:5" x14ac:dyDescent="0.25">
      <c r="A986" s="41">
        <v>3621</v>
      </c>
      <c r="B986" s="42" t="s">
        <v>1347</v>
      </c>
      <c r="C986" s="43" t="s">
        <v>289</v>
      </c>
      <c r="D986" s="43" t="s">
        <v>316</v>
      </c>
      <c r="E986" s="43" t="s">
        <v>230</v>
      </c>
    </row>
    <row r="987" spans="1:5" x14ac:dyDescent="0.25">
      <c r="A987" s="41">
        <v>3623</v>
      </c>
      <c r="B987" s="42" t="s">
        <v>1348</v>
      </c>
      <c r="C987" s="43" t="s">
        <v>289</v>
      </c>
      <c r="D987" s="43" t="s">
        <v>316</v>
      </c>
      <c r="E987" s="43" t="s">
        <v>230</v>
      </c>
    </row>
    <row r="988" spans="1:5" x14ac:dyDescent="0.25">
      <c r="A988" s="41">
        <v>3627</v>
      </c>
      <c r="B988" s="42" t="s">
        <v>1349</v>
      </c>
      <c r="C988" s="43" t="s">
        <v>289</v>
      </c>
      <c r="D988" s="43" t="s">
        <v>316</v>
      </c>
      <c r="E988" s="43" t="s">
        <v>230</v>
      </c>
    </row>
    <row r="989" spans="1:5" x14ac:dyDescent="0.25">
      <c r="A989" s="41">
        <v>3628</v>
      </c>
      <c r="B989" s="42" t="s">
        <v>1350</v>
      </c>
      <c r="C989" s="43" t="s">
        <v>289</v>
      </c>
      <c r="D989" s="43" t="s">
        <v>316</v>
      </c>
      <c r="E989" s="43" t="s">
        <v>230</v>
      </c>
    </row>
    <row r="990" spans="1:5" x14ac:dyDescent="0.25">
      <c r="A990" s="41">
        <v>3634</v>
      </c>
      <c r="B990" s="42" t="s">
        <v>1351</v>
      </c>
      <c r="C990" s="43" t="s">
        <v>289</v>
      </c>
      <c r="D990" s="43" t="s">
        <v>482</v>
      </c>
      <c r="E990" s="43" t="s">
        <v>472</v>
      </c>
    </row>
    <row r="991" spans="1:5" x14ac:dyDescent="0.25">
      <c r="A991" s="41">
        <v>3635</v>
      </c>
      <c r="B991" s="42" t="s">
        <v>1352</v>
      </c>
      <c r="C991" s="43" t="s">
        <v>289</v>
      </c>
      <c r="D991" s="43" t="s">
        <v>482</v>
      </c>
      <c r="E991" s="43" t="s">
        <v>472</v>
      </c>
    </row>
    <row r="992" spans="1:5" x14ac:dyDescent="0.25">
      <c r="A992" s="41">
        <v>3636</v>
      </c>
      <c r="B992" s="42" t="s">
        <v>1353</v>
      </c>
      <c r="C992" s="43" t="s">
        <v>289</v>
      </c>
      <c r="D992" s="43" t="s">
        <v>482</v>
      </c>
      <c r="E992" s="43" t="s">
        <v>472</v>
      </c>
    </row>
    <row r="993" spans="1:5" x14ac:dyDescent="0.25">
      <c r="A993" s="41">
        <v>3637</v>
      </c>
      <c r="B993" s="42" t="s">
        <v>1354</v>
      </c>
      <c r="C993" s="43" t="s">
        <v>289</v>
      </c>
      <c r="D993" s="43" t="s">
        <v>482</v>
      </c>
      <c r="E993" s="43" t="s">
        <v>472</v>
      </c>
    </row>
    <row r="994" spans="1:5" x14ac:dyDescent="0.25">
      <c r="A994" s="41">
        <v>3645</v>
      </c>
      <c r="B994" s="42" t="s">
        <v>1355</v>
      </c>
      <c r="C994" s="43" t="s">
        <v>289</v>
      </c>
      <c r="D994" s="43" t="s">
        <v>316</v>
      </c>
      <c r="E994" s="43" t="s">
        <v>230</v>
      </c>
    </row>
    <row r="995" spans="1:5" x14ac:dyDescent="0.25">
      <c r="A995" s="41">
        <v>3647</v>
      </c>
      <c r="B995" s="42" t="s">
        <v>1356</v>
      </c>
      <c r="C995" s="43" t="s">
        <v>289</v>
      </c>
      <c r="D995" s="43" t="s">
        <v>316</v>
      </c>
      <c r="E995" s="43" t="s">
        <v>464</v>
      </c>
    </row>
    <row r="996" spans="1:5" x14ac:dyDescent="0.25">
      <c r="A996" s="41">
        <v>3648</v>
      </c>
      <c r="B996" s="42" t="s">
        <v>1357</v>
      </c>
      <c r="C996" s="43" t="s">
        <v>289</v>
      </c>
      <c r="D996" s="43" t="s">
        <v>316</v>
      </c>
      <c r="E996" s="43" t="s">
        <v>464</v>
      </c>
    </row>
    <row r="997" spans="1:5" x14ac:dyDescent="0.25">
      <c r="A997" s="41">
        <v>3649</v>
      </c>
      <c r="B997" s="42" t="s">
        <v>1358</v>
      </c>
      <c r="C997" s="43" t="s">
        <v>289</v>
      </c>
      <c r="D997" s="43" t="s">
        <v>316</v>
      </c>
      <c r="E997" s="43" t="s">
        <v>464</v>
      </c>
    </row>
    <row r="998" spans="1:5" x14ac:dyDescent="0.25">
      <c r="A998" s="41">
        <v>3653</v>
      </c>
      <c r="B998" s="42" t="s">
        <v>1359</v>
      </c>
      <c r="C998" s="43" t="s">
        <v>289</v>
      </c>
      <c r="D998" s="43" t="s">
        <v>694</v>
      </c>
      <c r="E998" s="43" t="s">
        <v>170</v>
      </c>
    </row>
    <row r="999" spans="1:5" x14ac:dyDescent="0.25">
      <c r="A999" s="41">
        <v>3654</v>
      </c>
      <c r="B999" s="42" t="s">
        <v>1360</v>
      </c>
      <c r="C999" s="43" t="s">
        <v>289</v>
      </c>
      <c r="D999" s="43" t="s">
        <v>694</v>
      </c>
      <c r="E999" s="43" t="s">
        <v>464</v>
      </c>
    </row>
    <row r="1000" spans="1:5" x14ac:dyDescent="0.25">
      <c r="A1000" s="41">
        <v>3656</v>
      </c>
      <c r="B1000" s="42" t="s">
        <v>1361</v>
      </c>
      <c r="C1000" s="43" t="s">
        <v>289</v>
      </c>
      <c r="D1000" s="43" t="s">
        <v>694</v>
      </c>
      <c r="E1000" s="43" t="s">
        <v>464</v>
      </c>
    </row>
    <row r="1001" spans="1:5" x14ac:dyDescent="0.25">
      <c r="A1001" s="41">
        <v>3663</v>
      </c>
      <c r="B1001" s="42" t="s">
        <v>1362</v>
      </c>
      <c r="C1001" s="43" t="s">
        <v>289</v>
      </c>
      <c r="D1001" s="43" t="s">
        <v>433</v>
      </c>
      <c r="E1001" s="43" t="s">
        <v>170</v>
      </c>
    </row>
    <row r="1002" spans="1:5" x14ac:dyDescent="0.25">
      <c r="A1002" s="41">
        <v>3666</v>
      </c>
      <c r="B1002" s="42" t="s">
        <v>1363</v>
      </c>
      <c r="C1002" s="43" t="s">
        <v>289</v>
      </c>
      <c r="D1002" s="43" t="s">
        <v>694</v>
      </c>
      <c r="E1002" s="43" t="s">
        <v>464</v>
      </c>
    </row>
    <row r="1003" spans="1:5" x14ac:dyDescent="0.25">
      <c r="A1003" s="41">
        <v>3667</v>
      </c>
      <c r="B1003" s="42" t="s">
        <v>1364</v>
      </c>
      <c r="C1003" s="43" t="s">
        <v>289</v>
      </c>
      <c r="D1003" s="43" t="s">
        <v>314</v>
      </c>
      <c r="E1003" s="43" t="s">
        <v>531</v>
      </c>
    </row>
    <row r="1004" spans="1:5" x14ac:dyDescent="0.25">
      <c r="A1004" s="41">
        <v>3669</v>
      </c>
      <c r="B1004" s="42" t="s">
        <v>1365</v>
      </c>
      <c r="C1004" s="43" t="s">
        <v>289</v>
      </c>
      <c r="D1004" s="43" t="s">
        <v>333</v>
      </c>
      <c r="E1004" s="43" t="s">
        <v>230</v>
      </c>
    </row>
    <row r="1005" spans="1:5" x14ac:dyDescent="0.25">
      <c r="A1005" s="41">
        <v>3670</v>
      </c>
      <c r="B1005" s="42" t="s">
        <v>1366</v>
      </c>
      <c r="C1005" s="43" t="s">
        <v>289</v>
      </c>
      <c r="D1005" s="43" t="s">
        <v>314</v>
      </c>
      <c r="E1005" s="43" t="s">
        <v>230</v>
      </c>
    </row>
    <row r="1006" spans="1:5" x14ac:dyDescent="0.25">
      <c r="A1006" s="41">
        <v>3673</v>
      </c>
      <c r="B1006" s="42" t="s">
        <v>1367</v>
      </c>
      <c r="C1006" s="43" t="s">
        <v>289</v>
      </c>
      <c r="D1006" s="43" t="s">
        <v>941</v>
      </c>
      <c r="E1006" s="43" t="s">
        <v>464</v>
      </c>
    </row>
    <row r="1007" spans="1:5" x14ac:dyDescent="0.25">
      <c r="A1007" s="41">
        <v>3674</v>
      </c>
      <c r="B1007" s="42" t="s">
        <v>1368</v>
      </c>
      <c r="C1007" s="43" t="s">
        <v>289</v>
      </c>
      <c r="D1007" s="43" t="s">
        <v>474</v>
      </c>
      <c r="E1007" s="43" t="s">
        <v>404</v>
      </c>
    </row>
    <row r="1008" spans="1:5" x14ac:dyDescent="0.25">
      <c r="A1008" s="41">
        <v>3691</v>
      </c>
      <c r="B1008" s="42" t="s">
        <v>1369</v>
      </c>
      <c r="C1008" s="43" t="s">
        <v>289</v>
      </c>
      <c r="D1008" s="43" t="s">
        <v>290</v>
      </c>
      <c r="E1008" s="43" t="s">
        <v>230</v>
      </c>
    </row>
    <row r="1009" spans="1:5" x14ac:dyDescent="0.25">
      <c r="A1009" s="41">
        <v>3695</v>
      </c>
      <c r="B1009" s="42" t="s">
        <v>1370</v>
      </c>
      <c r="C1009" s="43" t="s">
        <v>289</v>
      </c>
      <c r="D1009" s="43" t="s">
        <v>433</v>
      </c>
      <c r="E1009" s="43" t="s">
        <v>454</v>
      </c>
    </row>
    <row r="1010" spans="1:5" x14ac:dyDescent="0.25">
      <c r="A1010" s="41">
        <v>3697</v>
      </c>
      <c r="B1010" s="42" t="s">
        <v>1371</v>
      </c>
      <c r="C1010" s="43" t="s">
        <v>289</v>
      </c>
      <c r="D1010" s="43" t="s">
        <v>433</v>
      </c>
      <c r="E1010" s="43" t="s">
        <v>230</v>
      </c>
    </row>
    <row r="1011" spans="1:5" x14ac:dyDescent="0.25">
      <c r="A1011" s="41">
        <v>3698</v>
      </c>
      <c r="B1011" s="42" t="s">
        <v>1372</v>
      </c>
      <c r="C1011" s="43" t="s">
        <v>289</v>
      </c>
      <c r="D1011" s="43" t="s">
        <v>316</v>
      </c>
      <c r="E1011" s="43" t="s">
        <v>230</v>
      </c>
    </row>
    <row r="1012" spans="1:5" x14ac:dyDescent="0.25">
      <c r="A1012" s="41">
        <v>3700</v>
      </c>
      <c r="B1012" s="42" t="s">
        <v>1373</v>
      </c>
      <c r="C1012" s="43" t="s">
        <v>289</v>
      </c>
      <c r="D1012" s="43" t="s">
        <v>316</v>
      </c>
      <c r="E1012" s="43" t="s">
        <v>230</v>
      </c>
    </row>
    <row r="1013" spans="1:5" x14ac:dyDescent="0.25">
      <c r="A1013" s="41">
        <v>3703</v>
      </c>
      <c r="B1013" s="42" t="s">
        <v>1374</v>
      </c>
      <c r="C1013" s="43" t="s">
        <v>289</v>
      </c>
      <c r="D1013" s="43" t="s">
        <v>795</v>
      </c>
      <c r="E1013" s="43" t="s">
        <v>1071</v>
      </c>
    </row>
    <row r="1014" spans="1:5" x14ac:dyDescent="0.25">
      <c r="A1014" s="41">
        <v>3704</v>
      </c>
      <c r="B1014" s="42" t="s">
        <v>1375</v>
      </c>
      <c r="C1014" s="43" t="s">
        <v>289</v>
      </c>
      <c r="D1014" s="43" t="s">
        <v>795</v>
      </c>
      <c r="E1014" s="43" t="s">
        <v>230</v>
      </c>
    </row>
    <row r="1015" spans="1:5" x14ac:dyDescent="0.25">
      <c r="A1015" s="41">
        <v>3716</v>
      </c>
      <c r="B1015" s="42" t="s">
        <v>1376</v>
      </c>
      <c r="C1015" s="43" t="s">
        <v>289</v>
      </c>
      <c r="D1015" s="43" t="s">
        <v>1377</v>
      </c>
      <c r="E1015" s="43" t="s">
        <v>454</v>
      </c>
    </row>
    <row r="1016" spans="1:5" x14ac:dyDescent="0.25">
      <c r="A1016" s="41">
        <v>3721</v>
      </c>
      <c r="B1016" s="42" t="s">
        <v>1378</v>
      </c>
      <c r="C1016" s="43" t="s">
        <v>289</v>
      </c>
      <c r="D1016" s="43" t="s">
        <v>290</v>
      </c>
      <c r="E1016" s="43" t="s">
        <v>230</v>
      </c>
    </row>
    <row r="1017" spans="1:5" x14ac:dyDescent="0.25">
      <c r="A1017" s="41">
        <v>3723</v>
      </c>
      <c r="B1017" s="42" t="s">
        <v>1379</v>
      </c>
      <c r="C1017" s="43" t="s">
        <v>289</v>
      </c>
      <c r="D1017" s="43" t="s">
        <v>941</v>
      </c>
      <c r="E1017" s="43" t="s">
        <v>454</v>
      </c>
    </row>
    <row r="1018" spans="1:5" x14ac:dyDescent="0.25">
      <c r="A1018" s="41">
        <v>3724</v>
      </c>
      <c r="B1018" s="42" t="s">
        <v>1380</v>
      </c>
      <c r="C1018" s="43" t="s">
        <v>289</v>
      </c>
      <c r="D1018" s="43" t="s">
        <v>811</v>
      </c>
      <c r="E1018" s="43" t="s">
        <v>230</v>
      </c>
    </row>
    <row r="1019" spans="1:5" x14ac:dyDescent="0.25">
      <c r="A1019" s="41">
        <v>3725</v>
      </c>
      <c r="B1019" s="42" t="s">
        <v>1381</v>
      </c>
      <c r="C1019" s="43" t="s">
        <v>289</v>
      </c>
      <c r="D1019" s="43" t="s">
        <v>811</v>
      </c>
      <c r="E1019" s="43" t="s">
        <v>230</v>
      </c>
    </row>
    <row r="1020" spans="1:5" x14ac:dyDescent="0.25">
      <c r="A1020" s="41">
        <v>3727</v>
      </c>
      <c r="B1020" s="42" t="s">
        <v>1382</v>
      </c>
      <c r="C1020" s="43" t="s">
        <v>289</v>
      </c>
      <c r="D1020" s="43" t="s">
        <v>316</v>
      </c>
      <c r="E1020" s="43" t="s">
        <v>230</v>
      </c>
    </row>
    <row r="1021" spans="1:5" x14ac:dyDescent="0.25">
      <c r="A1021" s="41">
        <v>3728</v>
      </c>
      <c r="B1021" s="42" t="s">
        <v>1383</v>
      </c>
      <c r="C1021" s="43" t="s">
        <v>289</v>
      </c>
      <c r="D1021" s="43" t="s">
        <v>327</v>
      </c>
      <c r="E1021" s="43" t="s">
        <v>230</v>
      </c>
    </row>
    <row r="1022" spans="1:5" x14ac:dyDescent="0.25">
      <c r="A1022" s="41">
        <v>3729</v>
      </c>
      <c r="B1022" s="42" t="s">
        <v>1384</v>
      </c>
      <c r="C1022" s="43" t="s">
        <v>289</v>
      </c>
      <c r="D1022" s="43" t="s">
        <v>811</v>
      </c>
      <c r="E1022" s="43" t="s">
        <v>230</v>
      </c>
    </row>
    <row r="1023" spans="1:5" x14ac:dyDescent="0.25">
      <c r="A1023" s="41">
        <v>3733</v>
      </c>
      <c r="B1023" s="42" t="s">
        <v>1385</v>
      </c>
      <c r="C1023" s="43" t="s">
        <v>289</v>
      </c>
      <c r="D1023" s="43" t="s">
        <v>333</v>
      </c>
      <c r="E1023" s="43" t="s">
        <v>230</v>
      </c>
    </row>
    <row r="1024" spans="1:5" x14ac:dyDescent="0.25">
      <c r="A1024" s="41">
        <v>3740</v>
      </c>
      <c r="B1024" s="42" t="s">
        <v>1386</v>
      </c>
      <c r="C1024" s="43" t="s">
        <v>289</v>
      </c>
      <c r="D1024" s="43" t="s">
        <v>316</v>
      </c>
      <c r="E1024" s="43" t="s">
        <v>230</v>
      </c>
    </row>
    <row r="1025" spans="1:5" x14ac:dyDescent="0.25">
      <c r="A1025" s="41">
        <v>3742</v>
      </c>
      <c r="B1025" s="42" t="s">
        <v>1387</v>
      </c>
      <c r="C1025" s="43" t="s">
        <v>289</v>
      </c>
      <c r="D1025" s="43" t="s">
        <v>327</v>
      </c>
      <c r="E1025" s="43" t="s">
        <v>230</v>
      </c>
    </row>
    <row r="1026" spans="1:5" x14ac:dyDescent="0.25">
      <c r="A1026" s="41">
        <v>3743</v>
      </c>
      <c r="B1026" s="42" t="s">
        <v>1388</v>
      </c>
      <c r="C1026" s="43" t="s">
        <v>289</v>
      </c>
      <c r="D1026" s="43" t="s">
        <v>327</v>
      </c>
      <c r="E1026" s="43" t="s">
        <v>230</v>
      </c>
    </row>
    <row r="1027" spans="1:5" x14ac:dyDescent="0.25">
      <c r="A1027" s="41">
        <v>3744</v>
      </c>
      <c r="B1027" s="42" t="s">
        <v>1389</v>
      </c>
      <c r="C1027" s="43" t="s">
        <v>289</v>
      </c>
      <c r="D1027" s="43" t="s">
        <v>327</v>
      </c>
      <c r="E1027" s="43" t="s">
        <v>230</v>
      </c>
    </row>
    <row r="1028" spans="1:5" x14ac:dyDescent="0.25">
      <c r="A1028" s="41">
        <v>3745</v>
      </c>
      <c r="B1028" s="42" t="s">
        <v>1390</v>
      </c>
      <c r="C1028" s="43" t="s">
        <v>289</v>
      </c>
      <c r="D1028" s="43" t="s">
        <v>327</v>
      </c>
      <c r="E1028" s="43" t="s">
        <v>230</v>
      </c>
    </row>
    <row r="1029" spans="1:5" x14ac:dyDescent="0.25">
      <c r="A1029" s="41">
        <v>3746</v>
      </c>
      <c r="B1029" s="42" t="s">
        <v>1391</v>
      </c>
      <c r="C1029" s="43" t="s">
        <v>289</v>
      </c>
      <c r="D1029" s="43" t="s">
        <v>327</v>
      </c>
      <c r="E1029" s="43" t="s">
        <v>864</v>
      </c>
    </row>
    <row r="1030" spans="1:5" x14ac:dyDescent="0.25">
      <c r="A1030" s="41">
        <v>3747</v>
      </c>
      <c r="B1030" s="42" t="s">
        <v>1392</v>
      </c>
      <c r="C1030" s="43" t="s">
        <v>289</v>
      </c>
      <c r="D1030" s="43" t="s">
        <v>327</v>
      </c>
      <c r="E1030" s="43" t="s">
        <v>864</v>
      </c>
    </row>
    <row r="1031" spans="1:5" x14ac:dyDescent="0.25">
      <c r="A1031" s="41">
        <v>3758</v>
      </c>
      <c r="B1031" s="42" t="s">
        <v>1393</v>
      </c>
      <c r="C1031" s="43" t="s">
        <v>289</v>
      </c>
      <c r="D1031" s="43" t="s">
        <v>314</v>
      </c>
      <c r="E1031" s="43" t="s">
        <v>230</v>
      </c>
    </row>
    <row r="1032" spans="1:5" x14ac:dyDescent="0.25">
      <c r="A1032" s="41">
        <v>3759</v>
      </c>
      <c r="B1032" s="42" t="s">
        <v>1394</v>
      </c>
      <c r="C1032" s="43" t="s">
        <v>289</v>
      </c>
      <c r="D1032" s="43" t="s">
        <v>316</v>
      </c>
      <c r="E1032" s="43" t="s">
        <v>769</v>
      </c>
    </row>
    <row r="1033" spans="1:5" x14ac:dyDescent="0.25">
      <c r="A1033" s="41">
        <v>3774</v>
      </c>
      <c r="B1033" s="42" t="s">
        <v>1395</v>
      </c>
      <c r="C1033" s="43" t="s">
        <v>289</v>
      </c>
      <c r="D1033" s="43" t="s">
        <v>333</v>
      </c>
      <c r="E1033" s="43" t="s">
        <v>230</v>
      </c>
    </row>
    <row r="1034" spans="1:5" x14ac:dyDescent="0.25">
      <c r="A1034" s="41">
        <v>3775</v>
      </c>
      <c r="B1034" s="42" t="s">
        <v>1396</v>
      </c>
      <c r="C1034" s="43" t="s">
        <v>289</v>
      </c>
      <c r="D1034" s="43" t="s">
        <v>333</v>
      </c>
      <c r="E1034" s="43" t="s">
        <v>230</v>
      </c>
    </row>
    <row r="1035" spans="1:5" x14ac:dyDescent="0.25">
      <c r="A1035" s="41">
        <v>3780</v>
      </c>
      <c r="B1035" s="42" t="s">
        <v>1397</v>
      </c>
      <c r="C1035" s="43" t="s">
        <v>289</v>
      </c>
      <c r="D1035" s="43" t="s">
        <v>333</v>
      </c>
      <c r="E1035" s="43" t="s">
        <v>230</v>
      </c>
    </row>
    <row r="1036" spans="1:5" x14ac:dyDescent="0.25">
      <c r="A1036" s="41">
        <v>3783</v>
      </c>
      <c r="B1036" s="42" t="s">
        <v>1398</v>
      </c>
      <c r="C1036" s="43" t="s">
        <v>289</v>
      </c>
      <c r="D1036" s="43" t="s">
        <v>333</v>
      </c>
      <c r="E1036" s="43" t="s">
        <v>230</v>
      </c>
    </row>
    <row r="1037" spans="1:5" x14ac:dyDescent="0.25">
      <c r="A1037" s="41">
        <v>3785</v>
      </c>
      <c r="B1037" s="42" t="s">
        <v>1399</v>
      </c>
      <c r="C1037" s="43" t="s">
        <v>289</v>
      </c>
      <c r="D1037" s="43" t="s">
        <v>694</v>
      </c>
      <c r="E1037" s="43" t="s">
        <v>230</v>
      </c>
    </row>
    <row r="1038" spans="1:5" x14ac:dyDescent="0.25">
      <c r="A1038" s="41">
        <v>3788</v>
      </c>
      <c r="B1038" s="42" t="s">
        <v>1400</v>
      </c>
      <c r="C1038" s="43" t="s">
        <v>289</v>
      </c>
      <c r="D1038" s="43" t="s">
        <v>333</v>
      </c>
      <c r="E1038" s="43" t="s">
        <v>230</v>
      </c>
    </row>
    <row r="1039" spans="1:5" x14ac:dyDescent="0.25">
      <c r="A1039" s="41">
        <v>3790</v>
      </c>
      <c r="B1039" s="42" t="s">
        <v>1401</v>
      </c>
      <c r="C1039" s="43" t="s">
        <v>289</v>
      </c>
      <c r="D1039" s="43" t="s">
        <v>694</v>
      </c>
      <c r="E1039" s="43" t="s">
        <v>531</v>
      </c>
    </row>
    <row r="1040" spans="1:5" x14ac:dyDescent="0.25">
      <c r="A1040" s="41">
        <v>3791</v>
      </c>
      <c r="B1040" s="42" t="s">
        <v>1402</v>
      </c>
      <c r="C1040" s="43" t="s">
        <v>289</v>
      </c>
      <c r="D1040" s="43" t="s">
        <v>694</v>
      </c>
      <c r="E1040" s="43" t="s">
        <v>170</v>
      </c>
    </row>
    <row r="1041" spans="1:5" x14ac:dyDescent="0.25">
      <c r="A1041" s="41">
        <v>3792</v>
      </c>
      <c r="B1041" s="42" t="s">
        <v>1403</v>
      </c>
      <c r="C1041" s="43" t="s">
        <v>289</v>
      </c>
      <c r="D1041" s="43" t="s">
        <v>694</v>
      </c>
      <c r="E1041" s="43" t="s">
        <v>464</v>
      </c>
    </row>
    <row r="1042" spans="1:5" x14ac:dyDescent="0.25">
      <c r="A1042" s="41">
        <v>3801</v>
      </c>
      <c r="B1042" s="42" t="s">
        <v>1404</v>
      </c>
      <c r="C1042" s="43" t="s">
        <v>289</v>
      </c>
      <c r="D1042" s="43" t="s">
        <v>694</v>
      </c>
      <c r="E1042" s="43" t="s">
        <v>464</v>
      </c>
    </row>
    <row r="1043" spans="1:5" x14ac:dyDescent="0.25">
      <c r="A1043" s="41">
        <v>3810</v>
      </c>
      <c r="B1043" s="42" t="s">
        <v>1405</v>
      </c>
      <c r="C1043" s="43" t="s">
        <v>289</v>
      </c>
      <c r="D1043" s="43" t="s">
        <v>333</v>
      </c>
      <c r="E1043" s="43" t="s">
        <v>531</v>
      </c>
    </row>
    <row r="1044" spans="1:5" x14ac:dyDescent="0.25">
      <c r="A1044" s="41">
        <v>3811</v>
      </c>
      <c r="B1044" s="42" t="s">
        <v>1406</v>
      </c>
      <c r="C1044" s="43" t="s">
        <v>289</v>
      </c>
      <c r="D1044" s="43" t="s">
        <v>333</v>
      </c>
      <c r="E1044" s="43" t="s">
        <v>531</v>
      </c>
    </row>
    <row r="1045" spans="1:5" x14ac:dyDescent="0.25">
      <c r="A1045" s="41">
        <v>3815</v>
      </c>
      <c r="B1045" s="42" t="s">
        <v>1407</v>
      </c>
      <c r="C1045" s="43" t="s">
        <v>289</v>
      </c>
      <c r="D1045" s="43" t="s">
        <v>327</v>
      </c>
      <c r="E1045" s="43" t="s">
        <v>230</v>
      </c>
    </row>
    <row r="1046" spans="1:5" x14ac:dyDescent="0.25">
      <c r="A1046" s="41">
        <v>3819</v>
      </c>
      <c r="B1046" s="42" t="s">
        <v>1408</v>
      </c>
      <c r="C1046" s="43" t="s">
        <v>289</v>
      </c>
      <c r="D1046" s="43" t="s">
        <v>1227</v>
      </c>
      <c r="E1046" s="43" t="s">
        <v>454</v>
      </c>
    </row>
    <row r="1047" spans="1:5" x14ac:dyDescent="0.25">
      <c r="A1047" s="41">
        <v>3820</v>
      </c>
      <c r="B1047" s="42" t="s">
        <v>1409</v>
      </c>
      <c r="C1047" s="43" t="s">
        <v>289</v>
      </c>
      <c r="D1047" s="43" t="s">
        <v>941</v>
      </c>
      <c r="E1047" s="43" t="s">
        <v>454</v>
      </c>
    </row>
    <row r="1048" spans="1:5" x14ac:dyDescent="0.25">
      <c r="A1048" s="41">
        <v>3823</v>
      </c>
      <c r="B1048" s="42" t="s">
        <v>1410</v>
      </c>
      <c r="C1048" s="43" t="s">
        <v>289</v>
      </c>
      <c r="D1048" s="43" t="s">
        <v>494</v>
      </c>
      <c r="E1048" s="43" t="s">
        <v>230</v>
      </c>
    </row>
    <row r="1049" spans="1:5" x14ac:dyDescent="0.25">
      <c r="A1049" s="41">
        <v>3826</v>
      </c>
      <c r="B1049" s="42" t="s">
        <v>1411</v>
      </c>
      <c r="C1049" s="43" t="s">
        <v>289</v>
      </c>
      <c r="D1049" s="43" t="s">
        <v>327</v>
      </c>
      <c r="E1049" s="43" t="s">
        <v>531</v>
      </c>
    </row>
    <row r="1050" spans="1:5" x14ac:dyDescent="0.25">
      <c r="A1050" s="41">
        <v>3828</v>
      </c>
      <c r="B1050" s="42" t="s">
        <v>1412</v>
      </c>
      <c r="C1050" s="43" t="s">
        <v>289</v>
      </c>
      <c r="D1050" s="43" t="s">
        <v>327</v>
      </c>
      <c r="E1050" s="43" t="s">
        <v>531</v>
      </c>
    </row>
    <row r="1051" spans="1:5" x14ac:dyDescent="0.25">
      <c r="A1051" s="41">
        <v>3831</v>
      </c>
      <c r="B1051" s="42" t="s">
        <v>1413</v>
      </c>
      <c r="C1051" s="43" t="s">
        <v>289</v>
      </c>
      <c r="D1051" s="43" t="s">
        <v>327</v>
      </c>
      <c r="E1051" s="43" t="s">
        <v>230</v>
      </c>
    </row>
    <row r="1052" spans="1:5" x14ac:dyDescent="0.25">
      <c r="A1052" s="41">
        <v>3832</v>
      </c>
      <c r="B1052" s="42" t="s">
        <v>1414</v>
      </c>
      <c r="C1052" s="43" t="s">
        <v>289</v>
      </c>
      <c r="D1052" s="43" t="s">
        <v>327</v>
      </c>
      <c r="E1052" s="43" t="s">
        <v>464</v>
      </c>
    </row>
    <row r="1053" spans="1:5" x14ac:dyDescent="0.25">
      <c r="A1053" s="41">
        <v>3834</v>
      </c>
      <c r="B1053" s="42" t="s">
        <v>1415</v>
      </c>
      <c r="C1053" s="43" t="s">
        <v>289</v>
      </c>
      <c r="D1053" s="43" t="s">
        <v>327</v>
      </c>
      <c r="E1053" s="43" t="s">
        <v>464</v>
      </c>
    </row>
    <row r="1054" spans="1:5" x14ac:dyDescent="0.25">
      <c r="A1054" s="41">
        <v>3836</v>
      </c>
      <c r="B1054" s="42" t="s">
        <v>1416</v>
      </c>
      <c r="C1054" s="43" t="s">
        <v>289</v>
      </c>
      <c r="D1054" s="43" t="s">
        <v>327</v>
      </c>
      <c r="E1054" s="43" t="s">
        <v>864</v>
      </c>
    </row>
    <row r="1055" spans="1:5" x14ac:dyDescent="0.25">
      <c r="A1055" s="41">
        <v>3840</v>
      </c>
      <c r="B1055" s="42" t="s">
        <v>1417</v>
      </c>
      <c r="C1055" s="43" t="s">
        <v>289</v>
      </c>
      <c r="D1055" s="43" t="s">
        <v>316</v>
      </c>
      <c r="E1055" s="43" t="s">
        <v>230</v>
      </c>
    </row>
    <row r="1056" spans="1:5" x14ac:dyDescent="0.25">
      <c r="A1056" s="41">
        <v>3841</v>
      </c>
      <c r="B1056" s="42" t="s">
        <v>1418</v>
      </c>
      <c r="C1056" s="43" t="s">
        <v>289</v>
      </c>
      <c r="D1056" s="43" t="s">
        <v>333</v>
      </c>
      <c r="E1056" s="43" t="s">
        <v>531</v>
      </c>
    </row>
    <row r="1057" spans="1:5" x14ac:dyDescent="0.25">
      <c r="A1057" s="41">
        <v>3845</v>
      </c>
      <c r="B1057" s="42" t="s">
        <v>1419</v>
      </c>
      <c r="C1057" s="43" t="s">
        <v>289</v>
      </c>
      <c r="D1057" s="43" t="s">
        <v>327</v>
      </c>
      <c r="E1057" s="43" t="s">
        <v>464</v>
      </c>
    </row>
    <row r="1058" spans="1:5" x14ac:dyDescent="0.25">
      <c r="A1058" s="41">
        <v>3846</v>
      </c>
      <c r="B1058" s="42" t="s">
        <v>1420</v>
      </c>
      <c r="C1058" s="43" t="s">
        <v>289</v>
      </c>
      <c r="D1058" s="43" t="s">
        <v>327</v>
      </c>
      <c r="E1058" s="43" t="s">
        <v>464</v>
      </c>
    </row>
    <row r="1059" spans="1:5" x14ac:dyDescent="0.25">
      <c r="A1059" s="41">
        <v>3847</v>
      </c>
      <c r="B1059" s="42" t="s">
        <v>1421</v>
      </c>
      <c r="C1059" s="43" t="s">
        <v>289</v>
      </c>
      <c r="D1059" s="43" t="s">
        <v>468</v>
      </c>
      <c r="E1059" s="43" t="s">
        <v>464</v>
      </c>
    </row>
    <row r="1060" spans="1:5" x14ac:dyDescent="0.25">
      <c r="A1060" s="41">
        <v>3848</v>
      </c>
      <c r="B1060" s="42" t="s">
        <v>1422</v>
      </c>
      <c r="C1060" s="43" t="s">
        <v>289</v>
      </c>
      <c r="D1060" s="43" t="s">
        <v>327</v>
      </c>
      <c r="E1060" s="43" t="s">
        <v>464</v>
      </c>
    </row>
    <row r="1061" spans="1:5" x14ac:dyDescent="0.25">
      <c r="A1061" s="41">
        <v>3849</v>
      </c>
      <c r="B1061" s="42" t="s">
        <v>1423</v>
      </c>
      <c r="C1061" s="43" t="s">
        <v>289</v>
      </c>
      <c r="D1061" s="43" t="s">
        <v>327</v>
      </c>
      <c r="E1061" s="43" t="s">
        <v>464</v>
      </c>
    </row>
    <row r="1062" spans="1:5" x14ac:dyDescent="0.25">
      <c r="A1062" s="41">
        <v>3850</v>
      </c>
      <c r="B1062" s="42" t="s">
        <v>1424</v>
      </c>
      <c r="C1062" s="43" t="s">
        <v>289</v>
      </c>
      <c r="D1062" s="43" t="s">
        <v>333</v>
      </c>
      <c r="E1062" s="43" t="s">
        <v>464</v>
      </c>
    </row>
    <row r="1063" spans="1:5" x14ac:dyDescent="0.25">
      <c r="A1063" s="41">
        <v>3854</v>
      </c>
      <c r="B1063" s="42" t="s">
        <v>1425</v>
      </c>
      <c r="C1063" s="43" t="s">
        <v>289</v>
      </c>
      <c r="D1063" s="43" t="s">
        <v>327</v>
      </c>
      <c r="E1063" s="43" t="s">
        <v>230</v>
      </c>
    </row>
    <row r="1064" spans="1:5" x14ac:dyDescent="0.25">
      <c r="A1064" s="41">
        <v>3855</v>
      </c>
      <c r="B1064" s="42" t="s">
        <v>1426</v>
      </c>
      <c r="C1064" s="43" t="s">
        <v>289</v>
      </c>
      <c r="D1064" s="43" t="s">
        <v>327</v>
      </c>
      <c r="E1064" s="43" t="s">
        <v>230</v>
      </c>
    </row>
    <row r="1065" spans="1:5" x14ac:dyDescent="0.25">
      <c r="A1065" s="41">
        <v>3856</v>
      </c>
      <c r="B1065" s="42" t="s">
        <v>1427</v>
      </c>
      <c r="C1065" s="43" t="s">
        <v>289</v>
      </c>
      <c r="D1065" s="43" t="s">
        <v>327</v>
      </c>
      <c r="E1065" s="43" t="s">
        <v>230</v>
      </c>
    </row>
    <row r="1066" spans="1:5" x14ac:dyDescent="0.25">
      <c r="A1066" s="41">
        <v>3857</v>
      </c>
      <c r="B1066" s="42" t="s">
        <v>1428</v>
      </c>
      <c r="C1066" s="43" t="s">
        <v>289</v>
      </c>
      <c r="D1066" s="43" t="s">
        <v>1041</v>
      </c>
      <c r="E1066" s="43" t="s">
        <v>336</v>
      </c>
    </row>
    <row r="1067" spans="1:5" x14ac:dyDescent="0.25">
      <c r="A1067" s="41">
        <v>3858</v>
      </c>
      <c r="B1067" s="42" t="s">
        <v>1429</v>
      </c>
      <c r="C1067" s="43" t="s">
        <v>289</v>
      </c>
      <c r="D1067" s="43" t="s">
        <v>1041</v>
      </c>
      <c r="E1067" s="43" t="s">
        <v>336</v>
      </c>
    </row>
    <row r="1068" spans="1:5" x14ac:dyDescent="0.25">
      <c r="A1068" s="41">
        <v>3863</v>
      </c>
      <c r="B1068" s="42" t="s">
        <v>1430</v>
      </c>
      <c r="C1068" s="43" t="s">
        <v>289</v>
      </c>
      <c r="D1068" s="43" t="s">
        <v>327</v>
      </c>
      <c r="E1068" s="43" t="s">
        <v>464</v>
      </c>
    </row>
    <row r="1069" spans="1:5" x14ac:dyDescent="0.25">
      <c r="A1069" s="41">
        <v>3864</v>
      </c>
      <c r="B1069" s="42" t="s">
        <v>1431</v>
      </c>
      <c r="C1069" s="43" t="s">
        <v>289</v>
      </c>
      <c r="D1069" s="43" t="s">
        <v>327</v>
      </c>
      <c r="E1069" s="43" t="s">
        <v>464</v>
      </c>
    </row>
    <row r="1070" spans="1:5" x14ac:dyDescent="0.25">
      <c r="A1070" s="41">
        <v>3865</v>
      </c>
      <c r="B1070" s="42" t="s">
        <v>1432</v>
      </c>
      <c r="C1070" s="43" t="s">
        <v>289</v>
      </c>
      <c r="D1070" s="43" t="s">
        <v>327</v>
      </c>
      <c r="E1070" s="43" t="s">
        <v>464</v>
      </c>
    </row>
    <row r="1071" spans="1:5" x14ac:dyDescent="0.25">
      <c r="A1071" s="41">
        <v>3867</v>
      </c>
      <c r="B1071" s="42" t="s">
        <v>1433</v>
      </c>
      <c r="C1071" s="43" t="s">
        <v>289</v>
      </c>
      <c r="D1071" s="43" t="s">
        <v>1041</v>
      </c>
      <c r="E1071" s="43" t="s">
        <v>454</v>
      </c>
    </row>
    <row r="1072" spans="1:5" x14ac:dyDescent="0.25">
      <c r="A1072" s="41">
        <v>3879</v>
      </c>
      <c r="B1072" s="42" t="s">
        <v>1434</v>
      </c>
      <c r="C1072" s="43" t="s">
        <v>289</v>
      </c>
      <c r="D1072" s="43" t="s">
        <v>966</v>
      </c>
      <c r="E1072" s="43" t="s">
        <v>336</v>
      </c>
    </row>
    <row r="1073" spans="1:5" x14ac:dyDescent="0.25">
      <c r="A1073" s="41">
        <v>3881</v>
      </c>
      <c r="B1073" s="42" t="s">
        <v>1435</v>
      </c>
      <c r="C1073" s="43" t="s">
        <v>289</v>
      </c>
      <c r="D1073" s="43" t="s">
        <v>327</v>
      </c>
      <c r="E1073" s="43" t="s">
        <v>766</v>
      </c>
    </row>
    <row r="1074" spans="1:5" x14ac:dyDescent="0.25">
      <c r="A1074" s="41">
        <v>3884</v>
      </c>
      <c r="B1074" s="42" t="s">
        <v>1436</v>
      </c>
      <c r="C1074" s="43" t="s">
        <v>289</v>
      </c>
      <c r="D1074" s="43" t="s">
        <v>694</v>
      </c>
      <c r="E1074" s="43" t="s">
        <v>230</v>
      </c>
    </row>
    <row r="1075" spans="1:5" x14ac:dyDescent="0.25">
      <c r="A1075" s="41">
        <v>3885</v>
      </c>
      <c r="B1075" s="42" t="s">
        <v>1437</v>
      </c>
      <c r="C1075" s="43" t="s">
        <v>289</v>
      </c>
      <c r="D1075" s="43" t="s">
        <v>333</v>
      </c>
      <c r="E1075" s="43" t="s">
        <v>230</v>
      </c>
    </row>
    <row r="1076" spans="1:5" x14ac:dyDescent="0.25">
      <c r="A1076" s="41">
        <v>3887</v>
      </c>
      <c r="B1076" s="42" t="s">
        <v>1438</v>
      </c>
      <c r="C1076" s="43" t="s">
        <v>289</v>
      </c>
      <c r="D1076" s="43" t="s">
        <v>1041</v>
      </c>
      <c r="E1076" s="43" t="s">
        <v>454</v>
      </c>
    </row>
    <row r="1077" spans="1:5" x14ac:dyDescent="0.25">
      <c r="A1077" s="41">
        <v>3889</v>
      </c>
      <c r="B1077" s="42" t="s">
        <v>1439</v>
      </c>
      <c r="C1077" s="43" t="s">
        <v>289</v>
      </c>
      <c r="D1077" s="43" t="s">
        <v>795</v>
      </c>
      <c r="E1077" s="43" t="s">
        <v>373</v>
      </c>
    </row>
    <row r="1078" spans="1:5" x14ac:dyDescent="0.25">
      <c r="A1078" s="41">
        <v>3890</v>
      </c>
      <c r="B1078" s="42" t="s">
        <v>1440</v>
      </c>
      <c r="C1078" s="43" t="s">
        <v>289</v>
      </c>
      <c r="D1078" s="43" t="s">
        <v>795</v>
      </c>
      <c r="E1078" s="43" t="s">
        <v>373</v>
      </c>
    </row>
    <row r="1079" spans="1:5" x14ac:dyDescent="0.25">
      <c r="A1079" s="41">
        <v>3891</v>
      </c>
      <c r="B1079" s="42" t="s">
        <v>1441</v>
      </c>
      <c r="C1079" s="43" t="s">
        <v>289</v>
      </c>
      <c r="D1079" s="43" t="s">
        <v>795</v>
      </c>
      <c r="E1079" s="43" t="s">
        <v>1071</v>
      </c>
    </row>
    <row r="1080" spans="1:5" x14ac:dyDescent="0.25">
      <c r="A1080" s="41">
        <v>3892</v>
      </c>
      <c r="B1080" s="42" t="s">
        <v>1442</v>
      </c>
      <c r="C1080" s="43" t="s">
        <v>289</v>
      </c>
      <c r="D1080" s="43" t="s">
        <v>694</v>
      </c>
      <c r="E1080" s="43" t="s">
        <v>464</v>
      </c>
    </row>
    <row r="1081" spans="1:5" x14ac:dyDescent="0.25">
      <c r="A1081" s="41">
        <v>3894</v>
      </c>
      <c r="B1081" s="42" t="s">
        <v>1443</v>
      </c>
      <c r="C1081" s="43" t="s">
        <v>289</v>
      </c>
      <c r="D1081" s="43" t="s">
        <v>333</v>
      </c>
      <c r="E1081" s="43" t="s">
        <v>170</v>
      </c>
    </row>
    <row r="1082" spans="1:5" x14ac:dyDescent="0.25">
      <c r="A1082" s="41">
        <v>3895</v>
      </c>
      <c r="B1082" s="42" t="s">
        <v>1444</v>
      </c>
      <c r="C1082" s="43" t="s">
        <v>289</v>
      </c>
      <c r="D1082" s="43" t="s">
        <v>327</v>
      </c>
      <c r="E1082" s="43" t="s">
        <v>464</v>
      </c>
    </row>
    <row r="1083" spans="1:5" x14ac:dyDescent="0.25">
      <c r="A1083" s="41">
        <v>3896</v>
      </c>
      <c r="B1083" s="42" t="s">
        <v>1445</v>
      </c>
      <c r="C1083" s="43" t="s">
        <v>289</v>
      </c>
      <c r="D1083" s="43" t="s">
        <v>499</v>
      </c>
      <c r="E1083" s="43" t="s">
        <v>464</v>
      </c>
    </row>
    <row r="1084" spans="1:5" x14ac:dyDescent="0.25">
      <c r="A1084" s="41">
        <v>3901</v>
      </c>
      <c r="B1084" s="42" t="s">
        <v>1446</v>
      </c>
      <c r="C1084" s="43" t="s">
        <v>289</v>
      </c>
      <c r="D1084" s="43" t="s">
        <v>333</v>
      </c>
      <c r="E1084" s="43" t="s">
        <v>464</v>
      </c>
    </row>
    <row r="1085" spans="1:5" x14ac:dyDescent="0.25">
      <c r="A1085" s="41">
        <v>3905</v>
      </c>
      <c r="B1085" s="42" t="s">
        <v>1447</v>
      </c>
      <c r="C1085" s="43" t="s">
        <v>289</v>
      </c>
      <c r="D1085" s="43" t="s">
        <v>487</v>
      </c>
      <c r="E1085" s="43" t="s">
        <v>464</v>
      </c>
    </row>
    <row r="1086" spans="1:5" x14ac:dyDescent="0.25">
      <c r="A1086" s="41">
        <v>3907</v>
      </c>
      <c r="B1086" s="42" t="s">
        <v>1448</v>
      </c>
      <c r="C1086" s="43" t="s">
        <v>289</v>
      </c>
      <c r="D1086" s="43" t="s">
        <v>1112</v>
      </c>
      <c r="E1086" s="43" t="s">
        <v>464</v>
      </c>
    </row>
    <row r="1087" spans="1:5" x14ac:dyDescent="0.25">
      <c r="A1087" s="41">
        <v>3908</v>
      </c>
      <c r="B1087" s="42" t="s">
        <v>1449</v>
      </c>
      <c r="C1087" s="43" t="s">
        <v>289</v>
      </c>
      <c r="D1087" s="43" t="s">
        <v>487</v>
      </c>
      <c r="E1087" s="43" t="s">
        <v>464</v>
      </c>
    </row>
    <row r="1088" spans="1:5" x14ac:dyDescent="0.25">
      <c r="A1088" s="41">
        <v>3909</v>
      </c>
      <c r="B1088" s="42" t="s">
        <v>1450</v>
      </c>
      <c r="C1088" s="43" t="s">
        <v>289</v>
      </c>
      <c r="D1088" s="43" t="s">
        <v>487</v>
      </c>
      <c r="E1088" s="43" t="s">
        <v>464</v>
      </c>
    </row>
    <row r="1089" spans="1:5" x14ac:dyDescent="0.25">
      <c r="A1089" s="41">
        <v>3911</v>
      </c>
      <c r="B1089" s="42" t="s">
        <v>1451</v>
      </c>
      <c r="C1089" s="43" t="s">
        <v>289</v>
      </c>
      <c r="D1089" s="43" t="s">
        <v>327</v>
      </c>
      <c r="E1089" s="43" t="s">
        <v>464</v>
      </c>
    </row>
    <row r="1090" spans="1:5" x14ac:dyDescent="0.25">
      <c r="A1090" s="41">
        <v>3914</v>
      </c>
      <c r="B1090" s="42" t="s">
        <v>1452</v>
      </c>
      <c r="C1090" s="43" t="s">
        <v>289</v>
      </c>
      <c r="D1090" s="43" t="s">
        <v>327</v>
      </c>
      <c r="E1090" s="43" t="s">
        <v>170</v>
      </c>
    </row>
    <row r="1091" spans="1:5" x14ac:dyDescent="0.25">
      <c r="A1091" s="41">
        <v>3915</v>
      </c>
      <c r="B1091" s="42" t="s">
        <v>1453</v>
      </c>
      <c r="C1091" s="43" t="s">
        <v>289</v>
      </c>
      <c r="D1091" s="43" t="s">
        <v>327</v>
      </c>
      <c r="E1091" s="43" t="s">
        <v>170</v>
      </c>
    </row>
    <row r="1092" spans="1:5" x14ac:dyDescent="0.25">
      <c r="A1092" s="41">
        <v>3916</v>
      </c>
      <c r="B1092" s="42" t="s">
        <v>1454</v>
      </c>
      <c r="C1092" s="43" t="s">
        <v>289</v>
      </c>
      <c r="D1092" s="43" t="s">
        <v>327</v>
      </c>
      <c r="E1092" s="43" t="s">
        <v>170</v>
      </c>
    </row>
    <row r="1093" spans="1:5" x14ac:dyDescent="0.25">
      <c r="A1093" s="41">
        <v>3917</v>
      </c>
      <c r="B1093" s="42" t="s">
        <v>1455</v>
      </c>
      <c r="C1093" s="43" t="s">
        <v>289</v>
      </c>
      <c r="D1093" s="43" t="s">
        <v>327</v>
      </c>
      <c r="E1093" s="43" t="s">
        <v>170</v>
      </c>
    </row>
    <row r="1094" spans="1:5" x14ac:dyDescent="0.25">
      <c r="A1094" s="41">
        <v>3918</v>
      </c>
      <c r="B1094" s="42" t="s">
        <v>1456</v>
      </c>
      <c r="C1094" s="43" t="s">
        <v>289</v>
      </c>
      <c r="D1094" s="43" t="s">
        <v>327</v>
      </c>
      <c r="E1094" s="43" t="s">
        <v>170</v>
      </c>
    </row>
    <row r="1095" spans="1:5" x14ac:dyDescent="0.25">
      <c r="A1095" s="41">
        <v>3928</v>
      </c>
      <c r="B1095" s="42" t="s">
        <v>1457</v>
      </c>
      <c r="C1095" s="43" t="s">
        <v>289</v>
      </c>
      <c r="D1095" s="43" t="s">
        <v>327</v>
      </c>
      <c r="E1095" s="43" t="s">
        <v>464</v>
      </c>
    </row>
    <row r="1096" spans="1:5" x14ac:dyDescent="0.25">
      <c r="A1096" s="41">
        <v>3933</v>
      </c>
      <c r="B1096" s="42" t="s">
        <v>1458</v>
      </c>
      <c r="C1096" s="43" t="s">
        <v>289</v>
      </c>
      <c r="D1096" s="43" t="s">
        <v>327</v>
      </c>
      <c r="E1096" s="43" t="s">
        <v>464</v>
      </c>
    </row>
    <row r="1097" spans="1:5" x14ac:dyDescent="0.25">
      <c r="A1097" s="41">
        <v>3947</v>
      </c>
      <c r="B1097" s="42" t="s">
        <v>1459</v>
      </c>
      <c r="C1097" s="43" t="s">
        <v>289</v>
      </c>
      <c r="D1097" s="43" t="s">
        <v>1041</v>
      </c>
      <c r="E1097" s="43" t="s">
        <v>464</v>
      </c>
    </row>
    <row r="1098" spans="1:5" x14ac:dyDescent="0.25">
      <c r="A1098" s="41">
        <v>3949</v>
      </c>
      <c r="B1098" s="42" t="s">
        <v>1460</v>
      </c>
      <c r="C1098" s="43" t="s">
        <v>289</v>
      </c>
      <c r="D1098" s="43" t="s">
        <v>1290</v>
      </c>
      <c r="E1098" s="43" t="s">
        <v>464</v>
      </c>
    </row>
    <row r="1099" spans="1:5" x14ac:dyDescent="0.25">
      <c r="A1099" s="41">
        <v>3951</v>
      </c>
      <c r="B1099" s="42" t="s">
        <v>1461</v>
      </c>
      <c r="C1099" s="43" t="s">
        <v>289</v>
      </c>
      <c r="D1099" s="43" t="s">
        <v>482</v>
      </c>
      <c r="E1099" s="43" t="s">
        <v>472</v>
      </c>
    </row>
    <row r="1100" spans="1:5" x14ac:dyDescent="0.25">
      <c r="A1100" s="41">
        <v>3954</v>
      </c>
      <c r="B1100" s="42" t="s">
        <v>1462</v>
      </c>
      <c r="C1100" s="43" t="s">
        <v>289</v>
      </c>
      <c r="D1100" s="43" t="s">
        <v>763</v>
      </c>
      <c r="E1100" s="43" t="s">
        <v>464</v>
      </c>
    </row>
    <row r="1101" spans="1:5" x14ac:dyDescent="0.25">
      <c r="A1101" s="41">
        <v>3959</v>
      </c>
      <c r="B1101" s="42" t="s">
        <v>1463</v>
      </c>
      <c r="C1101" s="43" t="s">
        <v>289</v>
      </c>
      <c r="D1101" s="43" t="s">
        <v>333</v>
      </c>
      <c r="E1101" s="43" t="s">
        <v>464</v>
      </c>
    </row>
    <row r="1102" spans="1:5" x14ac:dyDescent="0.25">
      <c r="A1102" s="41">
        <v>3961</v>
      </c>
      <c r="B1102" s="42" t="s">
        <v>1464</v>
      </c>
      <c r="C1102" s="43" t="s">
        <v>289</v>
      </c>
      <c r="D1102" s="43" t="s">
        <v>333</v>
      </c>
      <c r="E1102" s="43" t="s">
        <v>464</v>
      </c>
    </row>
    <row r="1103" spans="1:5" x14ac:dyDescent="0.25">
      <c r="A1103" s="41">
        <v>3965</v>
      </c>
      <c r="B1103" s="42" t="s">
        <v>1465</v>
      </c>
      <c r="C1103" s="43" t="s">
        <v>289</v>
      </c>
      <c r="D1103" s="43" t="s">
        <v>327</v>
      </c>
      <c r="E1103" s="43" t="s">
        <v>464</v>
      </c>
    </row>
    <row r="1104" spans="1:5" x14ac:dyDescent="0.25">
      <c r="A1104" s="41">
        <v>3966</v>
      </c>
      <c r="B1104" s="42" t="s">
        <v>1466</v>
      </c>
      <c r="C1104" s="43" t="s">
        <v>289</v>
      </c>
      <c r="D1104" s="43" t="s">
        <v>327</v>
      </c>
      <c r="E1104" s="43" t="s">
        <v>464</v>
      </c>
    </row>
    <row r="1105" spans="1:5" x14ac:dyDescent="0.25">
      <c r="A1105" s="41">
        <v>3967</v>
      </c>
      <c r="B1105" s="42" t="s">
        <v>1467</v>
      </c>
      <c r="C1105" s="43" t="s">
        <v>289</v>
      </c>
      <c r="D1105" s="43" t="s">
        <v>327</v>
      </c>
      <c r="E1105" s="43" t="s">
        <v>464</v>
      </c>
    </row>
    <row r="1106" spans="1:5" x14ac:dyDescent="0.25">
      <c r="A1106" s="41">
        <v>3968</v>
      </c>
      <c r="B1106" s="42" t="s">
        <v>1468</v>
      </c>
      <c r="C1106" s="43" t="s">
        <v>289</v>
      </c>
      <c r="D1106" s="43" t="s">
        <v>327</v>
      </c>
      <c r="E1106" s="43" t="s">
        <v>464</v>
      </c>
    </row>
    <row r="1107" spans="1:5" x14ac:dyDescent="0.25">
      <c r="A1107" s="41">
        <v>3969</v>
      </c>
      <c r="B1107" s="42" t="s">
        <v>1469</v>
      </c>
      <c r="C1107" s="43" t="s">
        <v>289</v>
      </c>
      <c r="D1107" s="43" t="s">
        <v>327</v>
      </c>
      <c r="E1107" s="43" t="s">
        <v>464</v>
      </c>
    </row>
    <row r="1108" spans="1:5" x14ac:dyDescent="0.25">
      <c r="A1108" s="41">
        <v>3972</v>
      </c>
      <c r="B1108" s="42" t="s">
        <v>1470</v>
      </c>
      <c r="C1108" s="43" t="s">
        <v>289</v>
      </c>
      <c r="D1108" s="43" t="s">
        <v>327</v>
      </c>
      <c r="E1108" s="43" t="s">
        <v>464</v>
      </c>
    </row>
    <row r="1109" spans="1:5" x14ac:dyDescent="0.25">
      <c r="A1109" s="41">
        <v>3973</v>
      </c>
      <c r="B1109" s="42" t="s">
        <v>1471</v>
      </c>
      <c r="C1109" s="43" t="s">
        <v>289</v>
      </c>
      <c r="D1109" s="43" t="s">
        <v>327</v>
      </c>
      <c r="E1109" s="43" t="s">
        <v>464</v>
      </c>
    </row>
    <row r="1110" spans="1:5" x14ac:dyDescent="0.25">
      <c r="A1110" s="41">
        <v>3976</v>
      </c>
      <c r="B1110" s="42" t="s">
        <v>1472</v>
      </c>
      <c r="C1110" s="43" t="s">
        <v>289</v>
      </c>
      <c r="D1110" s="43" t="s">
        <v>327</v>
      </c>
      <c r="E1110" s="43" t="s">
        <v>464</v>
      </c>
    </row>
    <row r="1111" spans="1:5" x14ac:dyDescent="0.25">
      <c r="A1111" s="41">
        <v>3981</v>
      </c>
      <c r="B1111" s="42" t="s">
        <v>1473</v>
      </c>
      <c r="C1111" s="43" t="s">
        <v>289</v>
      </c>
      <c r="D1111" s="43" t="s">
        <v>327</v>
      </c>
      <c r="E1111" s="43" t="s">
        <v>464</v>
      </c>
    </row>
    <row r="1112" spans="1:5" x14ac:dyDescent="0.25">
      <c r="A1112" s="41">
        <v>3987</v>
      </c>
      <c r="B1112" s="42" t="s">
        <v>1474</v>
      </c>
      <c r="C1112" s="43" t="s">
        <v>289</v>
      </c>
      <c r="D1112" s="43" t="s">
        <v>333</v>
      </c>
      <c r="E1112" s="43" t="s">
        <v>464</v>
      </c>
    </row>
    <row r="1113" spans="1:5" x14ac:dyDescent="0.25">
      <c r="A1113" s="41">
        <v>3994</v>
      </c>
      <c r="B1113" s="42" t="s">
        <v>1475</v>
      </c>
      <c r="C1113" s="43" t="s">
        <v>289</v>
      </c>
      <c r="D1113" s="43" t="s">
        <v>329</v>
      </c>
      <c r="E1113" s="43" t="s">
        <v>464</v>
      </c>
    </row>
    <row r="1114" spans="1:5" x14ac:dyDescent="0.25">
      <c r="A1114" s="41">
        <v>4009</v>
      </c>
      <c r="B1114" s="42" t="s">
        <v>1476</v>
      </c>
      <c r="C1114" s="43" t="s">
        <v>289</v>
      </c>
      <c r="D1114" s="43" t="s">
        <v>1477</v>
      </c>
      <c r="E1114" s="43" t="s">
        <v>454</v>
      </c>
    </row>
    <row r="1115" spans="1:5" x14ac:dyDescent="0.25">
      <c r="A1115" s="41">
        <v>4011</v>
      </c>
      <c r="B1115" s="42" t="s">
        <v>1478</v>
      </c>
      <c r="C1115" s="43" t="s">
        <v>289</v>
      </c>
      <c r="D1115" s="43" t="s">
        <v>333</v>
      </c>
      <c r="E1115" s="43" t="s">
        <v>464</v>
      </c>
    </row>
    <row r="1116" spans="1:5" x14ac:dyDescent="0.25">
      <c r="A1116" s="41">
        <v>4012</v>
      </c>
      <c r="B1116" s="42" t="s">
        <v>1479</v>
      </c>
      <c r="C1116" s="43" t="s">
        <v>289</v>
      </c>
      <c r="D1116" s="43" t="s">
        <v>845</v>
      </c>
      <c r="E1116" s="43" t="s">
        <v>217</v>
      </c>
    </row>
    <row r="1117" spans="1:5" x14ac:dyDescent="0.25">
      <c r="A1117" s="41">
        <v>4013</v>
      </c>
      <c r="B1117" s="42" t="s">
        <v>1480</v>
      </c>
      <c r="C1117" s="43" t="s">
        <v>289</v>
      </c>
      <c r="D1117" s="43" t="s">
        <v>474</v>
      </c>
      <c r="E1117" s="43" t="s">
        <v>464</v>
      </c>
    </row>
    <row r="1118" spans="1:5" x14ac:dyDescent="0.25">
      <c r="A1118" s="41">
        <v>4020</v>
      </c>
      <c r="B1118" s="42" t="s">
        <v>1481</v>
      </c>
      <c r="C1118" s="43" t="s">
        <v>289</v>
      </c>
      <c r="D1118" s="43" t="s">
        <v>327</v>
      </c>
      <c r="E1118" s="43" t="s">
        <v>464</v>
      </c>
    </row>
    <row r="1119" spans="1:5" x14ac:dyDescent="0.25">
      <c r="A1119" s="41">
        <v>4021</v>
      </c>
      <c r="B1119" s="42" t="s">
        <v>1482</v>
      </c>
      <c r="C1119" s="43" t="s">
        <v>289</v>
      </c>
      <c r="D1119" s="43" t="s">
        <v>327</v>
      </c>
      <c r="E1119" s="43" t="s">
        <v>464</v>
      </c>
    </row>
    <row r="1120" spans="1:5" x14ac:dyDescent="0.25">
      <c r="A1120" s="41">
        <v>4022</v>
      </c>
      <c r="B1120" s="42" t="s">
        <v>1483</v>
      </c>
      <c r="C1120" s="43" t="s">
        <v>289</v>
      </c>
      <c r="D1120" s="43" t="s">
        <v>327</v>
      </c>
      <c r="E1120" s="43" t="s">
        <v>464</v>
      </c>
    </row>
    <row r="1121" spans="1:5" x14ac:dyDescent="0.25">
      <c r="A1121" s="41">
        <v>4023</v>
      </c>
      <c r="B1121" s="42" t="s">
        <v>1484</v>
      </c>
      <c r="C1121" s="43" t="s">
        <v>289</v>
      </c>
      <c r="D1121" s="43" t="s">
        <v>327</v>
      </c>
      <c r="E1121" s="43" t="s">
        <v>464</v>
      </c>
    </row>
    <row r="1122" spans="1:5" x14ac:dyDescent="0.25">
      <c r="A1122" s="41">
        <v>4024</v>
      </c>
      <c r="B1122" s="42" t="s">
        <v>1485</v>
      </c>
      <c r="C1122" s="43" t="s">
        <v>289</v>
      </c>
      <c r="D1122" s="43" t="s">
        <v>327</v>
      </c>
      <c r="E1122" s="43" t="s">
        <v>464</v>
      </c>
    </row>
    <row r="1123" spans="1:5" x14ac:dyDescent="0.25">
      <c r="A1123" s="41">
        <v>4025</v>
      </c>
      <c r="B1123" s="42" t="s">
        <v>1486</v>
      </c>
      <c r="C1123" s="43" t="s">
        <v>289</v>
      </c>
      <c r="D1123" s="43" t="s">
        <v>327</v>
      </c>
      <c r="E1123" s="43" t="s">
        <v>464</v>
      </c>
    </row>
    <row r="1124" spans="1:5" x14ac:dyDescent="0.25">
      <c r="A1124" s="41">
        <v>4030</v>
      </c>
      <c r="B1124" s="42" t="s">
        <v>1487</v>
      </c>
      <c r="C1124" s="43" t="s">
        <v>289</v>
      </c>
      <c r="D1124" s="43" t="s">
        <v>327</v>
      </c>
      <c r="E1124" s="43" t="s">
        <v>531</v>
      </c>
    </row>
    <row r="1125" spans="1:5" x14ac:dyDescent="0.25">
      <c r="A1125" s="41">
        <v>4031</v>
      </c>
      <c r="B1125" s="42" t="s">
        <v>1488</v>
      </c>
      <c r="C1125" s="43" t="s">
        <v>289</v>
      </c>
      <c r="D1125" s="43" t="s">
        <v>333</v>
      </c>
      <c r="E1125" s="43" t="s">
        <v>464</v>
      </c>
    </row>
    <row r="1126" spans="1:5" x14ac:dyDescent="0.25">
      <c r="A1126" s="41">
        <v>4033</v>
      </c>
      <c r="B1126" s="42" t="s">
        <v>1489</v>
      </c>
      <c r="C1126" s="43" t="s">
        <v>289</v>
      </c>
      <c r="D1126" s="43" t="s">
        <v>333</v>
      </c>
      <c r="E1126" s="43" t="s">
        <v>373</v>
      </c>
    </row>
    <row r="1127" spans="1:5" x14ac:dyDescent="0.25">
      <c r="A1127" s="41">
        <v>4034</v>
      </c>
      <c r="B1127" s="42" t="s">
        <v>1490</v>
      </c>
      <c r="C1127" s="43" t="s">
        <v>289</v>
      </c>
      <c r="D1127" s="43" t="s">
        <v>333</v>
      </c>
      <c r="E1127" s="43" t="s">
        <v>373</v>
      </c>
    </row>
    <row r="1128" spans="1:5" x14ac:dyDescent="0.25">
      <c r="A1128" s="41">
        <v>4035</v>
      </c>
      <c r="B1128" s="42" t="s">
        <v>1491</v>
      </c>
      <c r="C1128" s="43" t="s">
        <v>289</v>
      </c>
      <c r="D1128" s="43" t="s">
        <v>333</v>
      </c>
      <c r="E1128" s="43" t="s">
        <v>373</v>
      </c>
    </row>
    <row r="1129" spans="1:5" x14ac:dyDescent="0.25">
      <c r="A1129" s="41">
        <v>4036</v>
      </c>
      <c r="B1129" s="42" t="s">
        <v>1492</v>
      </c>
      <c r="C1129" s="43" t="s">
        <v>289</v>
      </c>
      <c r="D1129" s="43" t="s">
        <v>333</v>
      </c>
      <c r="E1129" s="43" t="s">
        <v>464</v>
      </c>
    </row>
    <row r="1130" spans="1:5" x14ac:dyDescent="0.25">
      <c r="A1130" s="41">
        <v>4039</v>
      </c>
      <c r="B1130" s="42" t="s">
        <v>1493</v>
      </c>
      <c r="C1130" s="43" t="s">
        <v>289</v>
      </c>
      <c r="D1130" s="43" t="s">
        <v>333</v>
      </c>
      <c r="E1130" s="43" t="s">
        <v>464</v>
      </c>
    </row>
    <row r="1131" spans="1:5" x14ac:dyDescent="0.25">
      <c r="A1131" s="41">
        <v>4040</v>
      </c>
      <c r="B1131" s="42" t="s">
        <v>1494</v>
      </c>
      <c r="C1131" s="43" t="s">
        <v>289</v>
      </c>
      <c r="D1131" s="43" t="s">
        <v>333</v>
      </c>
      <c r="E1131" s="43" t="s">
        <v>464</v>
      </c>
    </row>
    <row r="1132" spans="1:5" x14ac:dyDescent="0.25">
      <c r="A1132" s="41">
        <v>4044</v>
      </c>
      <c r="B1132" s="42" t="s">
        <v>1495</v>
      </c>
      <c r="C1132" s="43" t="s">
        <v>289</v>
      </c>
      <c r="D1132" s="43" t="s">
        <v>327</v>
      </c>
      <c r="E1132" s="43" t="s">
        <v>531</v>
      </c>
    </row>
    <row r="1133" spans="1:5" x14ac:dyDescent="0.25">
      <c r="A1133" s="41">
        <v>4045</v>
      </c>
      <c r="B1133" s="42" t="s">
        <v>1496</v>
      </c>
      <c r="C1133" s="43" t="s">
        <v>289</v>
      </c>
      <c r="D1133" s="43" t="s">
        <v>327</v>
      </c>
      <c r="E1133" s="43" t="s">
        <v>531</v>
      </c>
    </row>
    <row r="1134" spans="1:5" x14ac:dyDescent="0.25">
      <c r="A1134" s="41">
        <v>4050</v>
      </c>
      <c r="B1134" s="42" t="s">
        <v>1497</v>
      </c>
      <c r="C1134" s="43" t="s">
        <v>289</v>
      </c>
      <c r="D1134" s="43" t="s">
        <v>333</v>
      </c>
      <c r="E1134" s="43" t="s">
        <v>464</v>
      </c>
    </row>
    <row r="1135" spans="1:5" x14ac:dyDescent="0.25">
      <c r="A1135" s="41">
        <v>4051</v>
      </c>
      <c r="B1135" s="42" t="s">
        <v>1498</v>
      </c>
      <c r="C1135" s="43" t="s">
        <v>289</v>
      </c>
      <c r="D1135" s="43" t="s">
        <v>327</v>
      </c>
      <c r="E1135" s="43" t="s">
        <v>464</v>
      </c>
    </row>
    <row r="1136" spans="1:5" x14ac:dyDescent="0.25">
      <c r="A1136" s="41">
        <v>4052</v>
      </c>
      <c r="B1136" s="42" t="s">
        <v>1499</v>
      </c>
      <c r="C1136" s="43" t="s">
        <v>289</v>
      </c>
      <c r="D1136" s="43" t="s">
        <v>327</v>
      </c>
      <c r="E1136" s="43" t="s">
        <v>464</v>
      </c>
    </row>
    <row r="1137" spans="1:5" x14ac:dyDescent="0.25">
      <c r="A1137" s="41">
        <v>4053</v>
      </c>
      <c r="B1137" s="42" t="s">
        <v>1500</v>
      </c>
      <c r="C1137" s="43" t="s">
        <v>289</v>
      </c>
      <c r="D1137" s="43" t="s">
        <v>327</v>
      </c>
      <c r="E1137" s="43" t="s">
        <v>464</v>
      </c>
    </row>
    <row r="1138" spans="1:5" x14ac:dyDescent="0.25">
      <c r="A1138" s="41">
        <v>4054</v>
      </c>
      <c r="B1138" s="42" t="s">
        <v>1501</v>
      </c>
      <c r="C1138" s="43" t="s">
        <v>289</v>
      </c>
      <c r="D1138" s="43" t="s">
        <v>327</v>
      </c>
      <c r="E1138" s="43" t="s">
        <v>464</v>
      </c>
    </row>
    <row r="1139" spans="1:5" x14ac:dyDescent="0.25">
      <c r="A1139" s="41">
        <v>4055</v>
      </c>
      <c r="B1139" s="42" t="s">
        <v>1502</v>
      </c>
      <c r="C1139" s="43" t="s">
        <v>289</v>
      </c>
      <c r="D1139" s="43" t="s">
        <v>763</v>
      </c>
      <c r="E1139" s="43" t="s">
        <v>464</v>
      </c>
    </row>
    <row r="1140" spans="1:5" x14ac:dyDescent="0.25">
      <c r="A1140" s="41">
        <v>4056</v>
      </c>
      <c r="B1140" s="42" t="s">
        <v>1503</v>
      </c>
      <c r="C1140" s="43" t="s">
        <v>289</v>
      </c>
      <c r="D1140" s="43" t="s">
        <v>474</v>
      </c>
      <c r="E1140" s="43" t="s">
        <v>531</v>
      </c>
    </row>
    <row r="1141" spans="1:5" x14ac:dyDescent="0.25">
      <c r="A1141" s="41">
        <v>4058</v>
      </c>
      <c r="B1141" s="42" t="s">
        <v>1504</v>
      </c>
      <c r="C1141" s="43" t="s">
        <v>289</v>
      </c>
      <c r="D1141" s="43" t="s">
        <v>482</v>
      </c>
      <c r="E1141" s="43" t="s">
        <v>472</v>
      </c>
    </row>
    <row r="1142" spans="1:5" x14ac:dyDescent="0.25">
      <c r="A1142" s="41">
        <v>4059</v>
      </c>
      <c r="B1142" s="42" t="s">
        <v>1505</v>
      </c>
      <c r="C1142" s="43" t="s">
        <v>289</v>
      </c>
      <c r="D1142" s="43" t="s">
        <v>482</v>
      </c>
      <c r="E1142" s="43" t="s">
        <v>472</v>
      </c>
    </row>
    <row r="1143" spans="1:5" x14ac:dyDescent="0.25">
      <c r="A1143" s="41">
        <v>4061</v>
      </c>
      <c r="B1143" s="42" t="s">
        <v>1506</v>
      </c>
      <c r="C1143" s="43" t="s">
        <v>289</v>
      </c>
      <c r="D1143" s="43" t="s">
        <v>468</v>
      </c>
      <c r="E1143" s="43" t="s">
        <v>464</v>
      </c>
    </row>
    <row r="1144" spans="1:5" x14ac:dyDescent="0.25">
      <c r="A1144" s="41">
        <v>4062</v>
      </c>
      <c r="B1144" s="42" t="s">
        <v>1507</v>
      </c>
      <c r="C1144" s="43" t="s">
        <v>289</v>
      </c>
      <c r="D1144" s="43" t="s">
        <v>468</v>
      </c>
      <c r="E1144" s="43" t="s">
        <v>464</v>
      </c>
    </row>
    <row r="1145" spans="1:5" x14ac:dyDescent="0.25">
      <c r="A1145" s="41">
        <v>4063</v>
      </c>
      <c r="B1145" s="42" t="s">
        <v>1508</v>
      </c>
      <c r="C1145" s="43" t="s">
        <v>289</v>
      </c>
      <c r="D1145" s="43" t="s">
        <v>327</v>
      </c>
      <c r="E1145" s="43" t="s">
        <v>217</v>
      </c>
    </row>
    <row r="1146" spans="1:5" x14ac:dyDescent="0.25">
      <c r="A1146" s="41">
        <v>4064</v>
      </c>
      <c r="B1146" s="42" t="s">
        <v>1509</v>
      </c>
      <c r="C1146" s="43" t="s">
        <v>289</v>
      </c>
      <c r="D1146" s="43" t="s">
        <v>327</v>
      </c>
      <c r="E1146" s="43" t="s">
        <v>217</v>
      </c>
    </row>
    <row r="1147" spans="1:5" x14ac:dyDescent="0.25">
      <c r="A1147" s="41">
        <v>4065</v>
      </c>
      <c r="B1147" s="42" t="s">
        <v>1510</v>
      </c>
      <c r="C1147" s="43" t="s">
        <v>289</v>
      </c>
      <c r="D1147" s="43" t="s">
        <v>327</v>
      </c>
      <c r="E1147" s="43" t="s">
        <v>217</v>
      </c>
    </row>
    <row r="1148" spans="1:5" x14ac:dyDescent="0.25">
      <c r="A1148" s="41">
        <v>4066</v>
      </c>
      <c r="B1148" s="42" t="s">
        <v>1511</v>
      </c>
      <c r="C1148" s="43" t="s">
        <v>289</v>
      </c>
      <c r="D1148" s="43" t="s">
        <v>327</v>
      </c>
      <c r="E1148" s="43" t="s">
        <v>217</v>
      </c>
    </row>
    <row r="1149" spans="1:5" x14ac:dyDescent="0.25">
      <c r="A1149" s="41">
        <v>4067</v>
      </c>
      <c r="B1149" s="42" t="s">
        <v>1512</v>
      </c>
      <c r="C1149" s="43" t="s">
        <v>289</v>
      </c>
      <c r="D1149" s="43" t="s">
        <v>327</v>
      </c>
      <c r="E1149" s="43" t="s">
        <v>217</v>
      </c>
    </row>
    <row r="1150" spans="1:5" x14ac:dyDescent="0.25">
      <c r="A1150" s="41">
        <v>4069</v>
      </c>
      <c r="B1150" s="42" t="s">
        <v>1513</v>
      </c>
      <c r="C1150" s="43" t="s">
        <v>289</v>
      </c>
      <c r="D1150" s="43" t="s">
        <v>327</v>
      </c>
      <c r="E1150" s="43" t="s">
        <v>1514</v>
      </c>
    </row>
    <row r="1151" spans="1:5" x14ac:dyDescent="0.25">
      <c r="A1151" s="41">
        <v>4071</v>
      </c>
      <c r="B1151" s="42" t="s">
        <v>1515</v>
      </c>
      <c r="C1151" s="43" t="s">
        <v>289</v>
      </c>
      <c r="D1151" s="43" t="s">
        <v>327</v>
      </c>
      <c r="E1151" s="43" t="s">
        <v>464</v>
      </c>
    </row>
    <row r="1152" spans="1:5" x14ac:dyDescent="0.25">
      <c r="A1152" s="41">
        <v>4072</v>
      </c>
      <c r="B1152" s="42" t="s">
        <v>1516</v>
      </c>
      <c r="C1152" s="43" t="s">
        <v>289</v>
      </c>
      <c r="D1152" s="43" t="s">
        <v>327</v>
      </c>
      <c r="E1152" s="43" t="s">
        <v>464</v>
      </c>
    </row>
    <row r="1153" spans="1:5" x14ac:dyDescent="0.25">
      <c r="A1153" s="41">
        <v>4075</v>
      </c>
      <c r="B1153" s="42" t="s">
        <v>1517</v>
      </c>
      <c r="C1153" s="43" t="s">
        <v>289</v>
      </c>
      <c r="D1153" s="43" t="s">
        <v>327</v>
      </c>
      <c r="E1153" s="43" t="s">
        <v>464</v>
      </c>
    </row>
    <row r="1154" spans="1:5" x14ac:dyDescent="0.25">
      <c r="A1154" s="41">
        <v>4081</v>
      </c>
      <c r="B1154" s="42" t="s">
        <v>1518</v>
      </c>
      <c r="C1154" s="43" t="s">
        <v>289</v>
      </c>
      <c r="D1154" s="43" t="s">
        <v>327</v>
      </c>
      <c r="E1154" s="43" t="s">
        <v>464</v>
      </c>
    </row>
    <row r="1155" spans="1:5" x14ac:dyDescent="0.25">
      <c r="A1155" s="41">
        <v>4082</v>
      </c>
      <c r="B1155" s="42" t="s">
        <v>1519</v>
      </c>
      <c r="C1155" s="43" t="s">
        <v>289</v>
      </c>
      <c r="D1155" s="43" t="s">
        <v>327</v>
      </c>
      <c r="E1155" s="43" t="s">
        <v>464</v>
      </c>
    </row>
    <row r="1156" spans="1:5" x14ac:dyDescent="0.25">
      <c r="A1156" s="41">
        <v>4083</v>
      </c>
      <c r="B1156" s="42" t="s">
        <v>1520</v>
      </c>
      <c r="C1156" s="43" t="s">
        <v>289</v>
      </c>
      <c r="D1156" s="43" t="s">
        <v>327</v>
      </c>
      <c r="E1156" s="43" t="s">
        <v>464</v>
      </c>
    </row>
    <row r="1157" spans="1:5" x14ac:dyDescent="0.25">
      <c r="A1157" s="41">
        <v>4084</v>
      </c>
      <c r="B1157" s="42" t="s">
        <v>1521</v>
      </c>
      <c r="C1157" s="43" t="s">
        <v>289</v>
      </c>
      <c r="D1157" s="43" t="s">
        <v>327</v>
      </c>
      <c r="E1157" s="43" t="s">
        <v>464</v>
      </c>
    </row>
    <row r="1158" spans="1:5" x14ac:dyDescent="0.25">
      <c r="A1158" s="41">
        <v>4086</v>
      </c>
      <c r="B1158" s="42" t="s">
        <v>1522</v>
      </c>
      <c r="C1158" s="43" t="s">
        <v>289</v>
      </c>
      <c r="D1158" s="43" t="s">
        <v>327</v>
      </c>
      <c r="E1158" s="43" t="s">
        <v>464</v>
      </c>
    </row>
    <row r="1159" spans="1:5" x14ac:dyDescent="0.25">
      <c r="A1159" s="41">
        <v>4087</v>
      </c>
      <c r="B1159" s="42" t="s">
        <v>1523</v>
      </c>
      <c r="C1159" s="43" t="s">
        <v>289</v>
      </c>
      <c r="D1159" s="43" t="s">
        <v>327</v>
      </c>
      <c r="E1159" s="43" t="s">
        <v>464</v>
      </c>
    </row>
    <row r="1160" spans="1:5" x14ac:dyDescent="0.25">
      <c r="A1160" s="41">
        <v>4088</v>
      </c>
      <c r="B1160" s="42" t="s">
        <v>1524</v>
      </c>
      <c r="C1160" s="43" t="s">
        <v>289</v>
      </c>
      <c r="D1160" s="43" t="s">
        <v>327</v>
      </c>
      <c r="E1160" s="43" t="s">
        <v>464</v>
      </c>
    </row>
    <row r="1161" spans="1:5" x14ac:dyDescent="0.25">
      <c r="A1161" s="41">
        <v>4094</v>
      </c>
      <c r="B1161" s="42" t="s">
        <v>1525</v>
      </c>
      <c r="C1161" s="43" t="s">
        <v>289</v>
      </c>
      <c r="D1161" s="43" t="s">
        <v>1526</v>
      </c>
      <c r="E1161" s="43" t="s">
        <v>336</v>
      </c>
    </row>
    <row r="1162" spans="1:5" x14ac:dyDescent="0.25">
      <c r="A1162" s="41">
        <v>4096</v>
      </c>
      <c r="B1162" s="42" t="s">
        <v>1527</v>
      </c>
      <c r="C1162" s="43" t="s">
        <v>289</v>
      </c>
      <c r="D1162" s="43" t="s">
        <v>316</v>
      </c>
      <c r="E1162" s="43" t="s">
        <v>454</v>
      </c>
    </row>
    <row r="1163" spans="1:5" x14ac:dyDescent="0.25">
      <c r="A1163" s="41">
        <v>4101</v>
      </c>
      <c r="B1163" s="42" t="s">
        <v>1528</v>
      </c>
      <c r="C1163" s="43" t="s">
        <v>289</v>
      </c>
      <c r="D1163" s="43" t="s">
        <v>327</v>
      </c>
      <c r="E1163" s="43" t="s">
        <v>464</v>
      </c>
    </row>
    <row r="1164" spans="1:5" x14ac:dyDescent="0.25">
      <c r="A1164" s="41">
        <v>4102</v>
      </c>
      <c r="B1164" s="42" t="s">
        <v>1529</v>
      </c>
      <c r="C1164" s="43" t="s">
        <v>289</v>
      </c>
      <c r="D1164" s="43" t="s">
        <v>327</v>
      </c>
      <c r="E1164" s="43" t="s">
        <v>464</v>
      </c>
    </row>
    <row r="1165" spans="1:5" x14ac:dyDescent="0.25">
      <c r="A1165" s="41">
        <v>4104</v>
      </c>
      <c r="B1165" s="42" t="s">
        <v>1530</v>
      </c>
      <c r="C1165" s="43" t="s">
        <v>289</v>
      </c>
      <c r="D1165" s="43" t="s">
        <v>763</v>
      </c>
      <c r="E1165" s="43" t="s">
        <v>464</v>
      </c>
    </row>
    <row r="1166" spans="1:5" x14ac:dyDescent="0.25">
      <c r="A1166" s="41">
        <v>4105</v>
      </c>
      <c r="B1166" s="42" t="s">
        <v>1531</v>
      </c>
      <c r="C1166" s="43" t="s">
        <v>289</v>
      </c>
      <c r="D1166" s="43" t="s">
        <v>327</v>
      </c>
      <c r="E1166" s="43" t="s">
        <v>170</v>
      </c>
    </row>
    <row r="1167" spans="1:5" x14ac:dyDescent="0.25">
      <c r="A1167" s="41">
        <v>4106</v>
      </c>
      <c r="B1167" s="42" t="s">
        <v>1532</v>
      </c>
      <c r="C1167" s="43" t="s">
        <v>289</v>
      </c>
      <c r="D1167" s="43" t="s">
        <v>290</v>
      </c>
      <c r="E1167" s="43" t="s">
        <v>230</v>
      </c>
    </row>
    <row r="1168" spans="1:5" x14ac:dyDescent="0.25">
      <c r="A1168" s="41">
        <v>4107</v>
      </c>
      <c r="B1168" s="42" t="s">
        <v>1533</v>
      </c>
      <c r="C1168" s="43" t="s">
        <v>289</v>
      </c>
      <c r="D1168" s="43" t="s">
        <v>327</v>
      </c>
      <c r="E1168" s="43" t="s">
        <v>230</v>
      </c>
    </row>
    <row r="1169" spans="1:5" x14ac:dyDescent="0.25">
      <c r="A1169" s="41">
        <v>4108</v>
      </c>
      <c r="B1169" s="42" t="s">
        <v>1534</v>
      </c>
      <c r="C1169" s="43" t="s">
        <v>289</v>
      </c>
      <c r="D1169" s="43" t="s">
        <v>327</v>
      </c>
      <c r="E1169" s="43" t="s">
        <v>230</v>
      </c>
    </row>
    <row r="1170" spans="1:5" x14ac:dyDescent="0.25">
      <c r="A1170" s="41">
        <v>4109</v>
      </c>
      <c r="B1170" s="42" t="s">
        <v>1535</v>
      </c>
      <c r="C1170" s="43" t="s">
        <v>289</v>
      </c>
      <c r="D1170" s="43" t="s">
        <v>327</v>
      </c>
      <c r="E1170" s="43" t="s">
        <v>464</v>
      </c>
    </row>
    <row r="1171" spans="1:5" x14ac:dyDescent="0.25">
      <c r="A1171" s="41">
        <v>4111</v>
      </c>
      <c r="B1171" s="42" t="s">
        <v>1536</v>
      </c>
      <c r="C1171" s="43" t="s">
        <v>289</v>
      </c>
      <c r="D1171" s="43" t="s">
        <v>333</v>
      </c>
      <c r="E1171" s="43" t="s">
        <v>373</v>
      </c>
    </row>
    <row r="1172" spans="1:5" x14ac:dyDescent="0.25">
      <c r="A1172" s="41">
        <v>4113</v>
      </c>
      <c r="B1172" s="42" t="s">
        <v>1537</v>
      </c>
      <c r="C1172" s="43" t="s">
        <v>289</v>
      </c>
      <c r="D1172" s="43" t="s">
        <v>453</v>
      </c>
      <c r="E1172" s="43" t="s">
        <v>454</v>
      </c>
    </row>
    <row r="1173" spans="1:5" x14ac:dyDescent="0.25">
      <c r="A1173" s="41">
        <v>4123</v>
      </c>
      <c r="B1173" s="42" t="s">
        <v>1538</v>
      </c>
      <c r="C1173" s="43" t="s">
        <v>289</v>
      </c>
      <c r="D1173" s="43" t="s">
        <v>327</v>
      </c>
      <c r="E1173" s="43" t="s">
        <v>464</v>
      </c>
    </row>
    <row r="1174" spans="1:5" x14ac:dyDescent="0.25">
      <c r="A1174" s="41">
        <v>4125</v>
      </c>
      <c r="B1174" s="42" t="s">
        <v>1539</v>
      </c>
      <c r="C1174" s="43" t="s">
        <v>289</v>
      </c>
      <c r="D1174" s="43" t="s">
        <v>327</v>
      </c>
      <c r="E1174" s="43" t="s">
        <v>464</v>
      </c>
    </row>
    <row r="1175" spans="1:5" x14ac:dyDescent="0.25">
      <c r="A1175" s="41">
        <v>4129</v>
      </c>
      <c r="B1175" s="42" t="s">
        <v>1540</v>
      </c>
      <c r="C1175" s="43" t="s">
        <v>289</v>
      </c>
      <c r="D1175" s="43" t="s">
        <v>327</v>
      </c>
      <c r="E1175" s="43" t="s">
        <v>464</v>
      </c>
    </row>
    <row r="1176" spans="1:5" x14ac:dyDescent="0.25">
      <c r="A1176" s="41">
        <v>4132</v>
      </c>
      <c r="B1176" s="42" t="s">
        <v>1541</v>
      </c>
      <c r="C1176" s="43" t="s">
        <v>289</v>
      </c>
      <c r="D1176" s="43" t="s">
        <v>327</v>
      </c>
      <c r="E1176" s="43" t="s">
        <v>464</v>
      </c>
    </row>
    <row r="1177" spans="1:5" x14ac:dyDescent="0.25">
      <c r="A1177" s="41">
        <v>4136</v>
      </c>
      <c r="B1177" s="42" t="s">
        <v>1542</v>
      </c>
      <c r="C1177" s="43" t="s">
        <v>289</v>
      </c>
      <c r="D1177" s="43" t="s">
        <v>375</v>
      </c>
      <c r="E1177" s="43" t="s">
        <v>464</v>
      </c>
    </row>
    <row r="1178" spans="1:5" x14ac:dyDescent="0.25">
      <c r="A1178" s="41">
        <v>4139</v>
      </c>
      <c r="B1178" s="42" t="s">
        <v>1543</v>
      </c>
      <c r="C1178" s="43" t="s">
        <v>289</v>
      </c>
      <c r="D1178" s="43" t="s">
        <v>763</v>
      </c>
      <c r="E1178" s="43" t="s">
        <v>1071</v>
      </c>
    </row>
    <row r="1179" spans="1:5" x14ac:dyDescent="0.25">
      <c r="A1179" s="41">
        <v>4140</v>
      </c>
      <c r="B1179" s="42" t="s">
        <v>1544</v>
      </c>
      <c r="C1179" s="43" t="s">
        <v>289</v>
      </c>
      <c r="D1179" s="43" t="s">
        <v>763</v>
      </c>
      <c r="E1179" s="43" t="s">
        <v>1071</v>
      </c>
    </row>
    <row r="1180" spans="1:5" x14ac:dyDescent="0.25">
      <c r="A1180" s="41">
        <v>4147</v>
      </c>
      <c r="B1180" s="42" t="s">
        <v>1545</v>
      </c>
      <c r="C1180" s="43" t="s">
        <v>289</v>
      </c>
      <c r="D1180" s="43" t="s">
        <v>795</v>
      </c>
      <c r="E1180" s="43" t="s">
        <v>170</v>
      </c>
    </row>
    <row r="1181" spans="1:5" x14ac:dyDescent="0.25">
      <c r="A1181" s="41">
        <v>4149</v>
      </c>
      <c r="B1181" s="42" t="s">
        <v>1546</v>
      </c>
      <c r="C1181" s="43" t="s">
        <v>289</v>
      </c>
      <c r="D1181" s="43" t="s">
        <v>694</v>
      </c>
      <c r="E1181" s="43" t="s">
        <v>436</v>
      </c>
    </row>
    <row r="1182" spans="1:5" x14ac:dyDescent="0.25">
      <c r="A1182" s="41">
        <v>4150</v>
      </c>
      <c r="B1182" s="42" t="s">
        <v>1547</v>
      </c>
      <c r="C1182" s="43" t="s">
        <v>289</v>
      </c>
      <c r="D1182" s="43" t="s">
        <v>694</v>
      </c>
      <c r="E1182" s="43" t="s">
        <v>436</v>
      </c>
    </row>
    <row r="1183" spans="1:5" x14ac:dyDescent="0.25">
      <c r="A1183" s="41">
        <v>4151</v>
      </c>
      <c r="B1183" s="42" t="s">
        <v>1548</v>
      </c>
      <c r="C1183" s="43" t="s">
        <v>289</v>
      </c>
      <c r="D1183" s="43" t="s">
        <v>694</v>
      </c>
      <c r="E1183" s="43" t="s">
        <v>170</v>
      </c>
    </row>
    <row r="1184" spans="1:5" x14ac:dyDescent="0.25">
      <c r="A1184" s="41">
        <v>4152</v>
      </c>
      <c r="B1184" s="42" t="s">
        <v>1549</v>
      </c>
      <c r="C1184" s="43" t="s">
        <v>289</v>
      </c>
      <c r="D1184" s="43" t="s">
        <v>795</v>
      </c>
      <c r="E1184" s="43" t="s">
        <v>170</v>
      </c>
    </row>
    <row r="1185" spans="1:5" x14ac:dyDescent="0.25">
      <c r="A1185" s="41">
        <v>4154</v>
      </c>
      <c r="B1185" s="42" t="s">
        <v>1550</v>
      </c>
      <c r="C1185" s="43" t="s">
        <v>289</v>
      </c>
      <c r="D1185" s="43" t="s">
        <v>375</v>
      </c>
      <c r="E1185" s="43" t="s">
        <v>170</v>
      </c>
    </row>
    <row r="1186" spans="1:5" x14ac:dyDescent="0.25">
      <c r="A1186" s="41">
        <v>4155</v>
      </c>
      <c r="B1186" s="42" t="s">
        <v>1551</v>
      </c>
      <c r="C1186" s="43" t="s">
        <v>289</v>
      </c>
      <c r="D1186" s="43" t="s">
        <v>375</v>
      </c>
      <c r="E1186" s="43" t="s">
        <v>170</v>
      </c>
    </row>
    <row r="1187" spans="1:5" x14ac:dyDescent="0.25">
      <c r="A1187" s="41">
        <v>4156</v>
      </c>
      <c r="B1187" s="42" t="s">
        <v>1552</v>
      </c>
      <c r="C1187" s="43" t="s">
        <v>289</v>
      </c>
      <c r="D1187" s="43" t="s">
        <v>1100</v>
      </c>
      <c r="E1187" s="43" t="s">
        <v>373</v>
      </c>
    </row>
    <row r="1188" spans="1:5" x14ac:dyDescent="0.25">
      <c r="A1188" s="41">
        <v>4157</v>
      </c>
      <c r="B1188" s="42" t="s">
        <v>1553</v>
      </c>
      <c r="C1188" s="43" t="s">
        <v>289</v>
      </c>
      <c r="D1188" s="43" t="s">
        <v>1100</v>
      </c>
      <c r="E1188" s="43" t="s">
        <v>170</v>
      </c>
    </row>
    <row r="1189" spans="1:5" x14ac:dyDescent="0.25">
      <c r="A1189" s="41">
        <v>4158</v>
      </c>
      <c r="B1189" s="42" t="s">
        <v>1554</v>
      </c>
      <c r="C1189" s="43" t="s">
        <v>289</v>
      </c>
      <c r="D1189" s="43" t="s">
        <v>1100</v>
      </c>
      <c r="E1189" s="43" t="s">
        <v>170</v>
      </c>
    </row>
    <row r="1190" spans="1:5" x14ac:dyDescent="0.25">
      <c r="A1190" s="41">
        <v>4159</v>
      </c>
      <c r="B1190" s="42" t="s">
        <v>1555</v>
      </c>
      <c r="C1190" s="43" t="s">
        <v>289</v>
      </c>
      <c r="D1190" s="43" t="s">
        <v>1100</v>
      </c>
      <c r="E1190" s="43" t="s">
        <v>170</v>
      </c>
    </row>
    <row r="1191" spans="1:5" x14ac:dyDescent="0.25">
      <c r="A1191" s="41">
        <v>4160</v>
      </c>
      <c r="B1191" s="42" t="s">
        <v>1556</v>
      </c>
      <c r="C1191" s="43" t="s">
        <v>289</v>
      </c>
      <c r="D1191" s="43" t="s">
        <v>1100</v>
      </c>
      <c r="E1191" s="43" t="s">
        <v>170</v>
      </c>
    </row>
    <row r="1192" spans="1:5" x14ac:dyDescent="0.25">
      <c r="A1192" s="41">
        <v>4161</v>
      </c>
      <c r="B1192" s="42" t="s">
        <v>1557</v>
      </c>
      <c r="C1192" s="43" t="s">
        <v>289</v>
      </c>
      <c r="D1192" s="43" t="s">
        <v>1100</v>
      </c>
      <c r="E1192" s="43" t="s">
        <v>170</v>
      </c>
    </row>
    <row r="1193" spans="1:5" x14ac:dyDescent="0.25">
      <c r="A1193" s="41">
        <v>4162</v>
      </c>
      <c r="B1193" s="42" t="s">
        <v>1558</v>
      </c>
      <c r="C1193" s="43" t="s">
        <v>289</v>
      </c>
      <c r="D1193" s="43" t="s">
        <v>1100</v>
      </c>
      <c r="E1193" s="43" t="s">
        <v>170</v>
      </c>
    </row>
    <row r="1194" spans="1:5" x14ac:dyDescent="0.25">
      <c r="A1194" s="41">
        <v>4176</v>
      </c>
      <c r="B1194" s="42" t="s">
        <v>1559</v>
      </c>
      <c r="C1194" s="43" t="s">
        <v>289</v>
      </c>
      <c r="D1194" s="43" t="s">
        <v>327</v>
      </c>
      <c r="E1194" s="43" t="s">
        <v>230</v>
      </c>
    </row>
    <row r="1195" spans="1:5" x14ac:dyDescent="0.25">
      <c r="A1195" s="41">
        <v>4177</v>
      </c>
      <c r="B1195" s="42" t="s">
        <v>1560</v>
      </c>
      <c r="C1195" s="43" t="s">
        <v>289</v>
      </c>
      <c r="D1195" s="43" t="s">
        <v>327</v>
      </c>
      <c r="E1195" s="43" t="s">
        <v>230</v>
      </c>
    </row>
    <row r="1196" spans="1:5" x14ac:dyDescent="0.25">
      <c r="A1196" s="41">
        <v>4181</v>
      </c>
      <c r="B1196" s="42" t="s">
        <v>1561</v>
      </c>
      <c r="C1196" s="43" t="s">
        <v>289</v>
      </c>
      <c r="D1196" s="43" t="s">
        <v>327</v>
      </c>
      <c r="E1196" s="43" t="s">
        <v>230</v>
      </c>
    </row>
    <row r="1197" spans="1:5" x14ac:dyDescent="0.25">
      <c r="A1197" s="41">
        <v>4182</v>
      </c>
      <c r="B1197" s="42" t="s">
        <v>1562</v>
      </c>
      <c r="C1197" s="43" t="s">
        <v>289</v>
      </c>
      <c r="D1197" s="43" t="s">
        <v>327</v>
      </c>
      <c r="E1197" s="43" t="s">
        <v>230</v>
      </c>
    </row>
    <row r="1198" spans="1:5" x14ac:dyDescent="0.25">
      <c r="A1198" s="41">
        <v>4183</v>
      </c>
      <c r="B1198" s="42" t="s">
        <v>1563</v>
      </c>
      <c r="C1198" s="43" t="s">
        <v>289</v>
      </c>
      <c r="D1198" s="43" t="s">
        <v>327</v>
      </c>
      <c r="E1198" s="43" t="s">
        <v>230</v>
      </c>
    </row>
    <row r="1199" spans="1:5" x14ac:dyDescent="0.25">
      <c r="A1199" s="41">
        <v>4184</v>
      </c>
      <c r="B1199" s="42" t="s">
        <v>1564</v>
      </c>
      <c r="C1199" s="43" t="s">
        <v>289</v>
      </c>
      <c r="D1199" s="43" t="s">
        <v>327</v>
      </c>
      <c r="E1199" s="43" t="s">
        <v>230</v>
      </c>
    </row>
    <row r="1200" spans="1:5" x14ac:dyDescent="0.25">
      <c r="A1200" s="41">
        <v>4185</v>
      </c>
      <c r="B1200" s="42" t="s">
        <v>1565</v>
      </c>
      <c r="C1200" s="43" t="s">
        <v>289</v>
      </c>
      <c r="D1200" s="43" t="s">
        <v>327</v>
      </c>
      <c r="E1200" s="43" t="s">
        <v>230</v>
      </c>
    </row>
    <row r="1201" spans="1:5" x14ac:dyDescent="0.25">
      <c r="A1201" s="41">
        <v>4187</v>
      </c>
      <c r="B1201" s="42" t="s">
        <v>1566</v>
      </c>
      <c r="C1201" s="43" t="s">
        <v>289</v>
      </c>
      <c r="D1201" s="43" t="s">
        <v>327</v>
      </c>
      <c r="E1201" s="43" t="s">
        <v>230</v>
      </c>
    </row>
    <row r="1202" spans="1:5" x14ac:dyDescent="0.25">
      <c r="A1202" s="41">
        <v>4200</v>
      </c>
      <c r="B1202" s="42" t="s">
        <v>1567</v>
      </c>
      <c r="C1202" s="43" t="s">
        <v>289</v>
      </c>
      <c r="D1202" s="43" t="s">
        <v>333</v>
      </c>
      <c r="E1202" s="43" t="s">
        <v>230</v>
      </c>
    </row>
    <row r="1203" spans="1:5" x14ac:dyDescent="0.25">
      <c r="A1203" s="41">
        <v>4204</v>
      </c>
      <c r="B1203" s="42" t="s">
        <v>1568</v>
      </c>
      <c r="C1203" s="43" t="s">
        <v>289</v>
      </c>
      <c r="D1203" s="43" t="s">
        <v>468</v>
      </c>
      <c r="E1203" s="43" t="s">
        <v>230</v>
      </c>
    </row>
    <row r="1204" spans="1:5" x14ac:dyDescent="0.25">
      <c r="A1204" s="41">
        <v>4206</v>
      </c>
      <c r="B1204" s="42" t="s">
        <v>1569</v>
      </c>
      <c r="C1204" s="43" t="s">
        <v>289</v>
      </c>
      <c r="D1204" s="43" t="s">
        <v>438</v>
      </c>
      <c r="E1204" s="43" t="s">
        <v>230</v>
      </c>
    </row>
    <row r="1205" spans="1:5" x14ac:dyDescent="0.25">
      <c r="A1205" s="41">
        <v>4212</v>
      </c>
      <c r="B1205" s="42" t="s">
        <v>1570</v>
      </c>
      <c r="C1205" s="43" t="s">
        <v>289</v>
      </c>
      <c r="D1205" s="43" t="s">
        <v>327</v>
      </c>
      <c r="E1205" s="43" t="s">
        <v>864</v>
      </c>
    </row>
    <row r="1206" spans="1:5" x14ac:dyDescent="0.25">
      <c r="A1206" s="41">
        <v>4214</v>
      </c>
      <c r="B1206" s="42" t="s">
        <v>1571</v>
      </c>
      <c r="C1206" s="43" t="s">
        <v>289</v>
      </c>
      <c r="D1206" s="43" t="s">
        <v>795</v>
      </c>
      <c r="E1206" s="43" t="s">
        <v>373</v>
      </c>
    </row>
    <row r="1207" spans="1:5" x14ac:dyDescent="0.25">
      <c r="A1207" s="41">
        <v>4215</v>
      </c>
      <c r="B1207" s="42" t="s">
        <v>1572</v>
      </c>
      <c r="C1207" s="43" t="s">
        <v>289</v>
      </c>
      <c r="D1207" s="43" t="s">
        <v>327</v>
      </c>
      <c r="E1207" s="43" t="s">
        <v>464</v>
      </c>
    </row>
    <row r="1208" spans="1:5" x14ac:dyDescent="0.25">
      <c r="A1208" s="41">
        <v>4216</v>
      </c>
      <c r="B1208" s="42" t="s">
        <v>1573</v>
      </c>
      <c r="C1208" s="43" t="s">
        <v>289</v>
      </c>
      <c r="D1208" s="43" t="s">
        <v>509</v>
      </c>
      <c r="E1208" s="43" t="s">
        <v>230</v>
      </c>
    </row>
    <row r="1209" spans="1:5" x14ac:dyDescent="0.25">
      <c r="A1209" s="41">
        <v>4219</v>
      </c>
      <c r="B1209" s="42" t="s">
        <v>1574</v>
      </c>
      <c r="C1209" s="43" t="s">
        <v>289</v>
      </c>
      <c r="D1209" s="43" t="s">
        <v>1326</v>
      </c>
      <c r="E1209" s="43" t="s">
        <v>464</v>
      </c>
    </row>
    <row r="1210" spans="1:5" x14ac:dyDescent="0.25">
      <c r="A1210" s="41">
        <v>4221</v>
      </c>
      <c r="B1210" s="42" t="s">
        <v>1575</v>
      </c>
      <c r="C1210" s="43" t="s">
        <v>289</v>
      </c>
      <c r="D1210" s="43" t="s">
        <v>314</v>
      </c>
      <c r="E1210" s="43" t="s">
        <v>230</v>
      </c>
    </row>
    <row r="1211" spans="1:5" x14ac:dyDescent="0.25">
      <c r="A1211" s="41">
        <v>4225</v>
      </c>
      <c r="B1211" s="42" t="s">
        <v>1576</v>
      </c>
      <c r="C1211" s="43" t="s">
        <v>289</v>
      </c>
      <c r="D1211" s="43" t="s">
        <v>314</v>
      </c>
      <c r="E1211" s="43" t="s">
        <v>230</v>
      </c>
    </row>
    <row r="1212" spans="1:5" x14ac:dyDescent="0.25">
      <c r="A1212" s="41">
        <v>4229</v>
      </c>
      <c r="B1212" s="42" t="s">
        <v>1577</v>
      </c>
      <c r="C1212" s="43" t="s">
        <v>289</v>
      </c>
      <c r="D1212" s="43" t="s">
        <v>314</v>
      </c>
      <c r="E1212" s="43" t="s">
        <v>230</v>
      </c>
    </row>
    <row r="1213" spans="1:5" x14ac:dyDescent="0.25">
      <c r="A1213" s="41">
        <v>4230</v>
      </c>
      <c r="B1213" s="42" t="s">
        <v>1578</v>
      </c>
      <c r="C1213" s="43" t="s">
        <v>289</v>
      </c>
      <c r="D1213" s="43" t="s">
        <v>314</v>
      </c>
      <c r="E1213" s="43" t="s">
        <v>230</v>
      </c>
    </row>
    <row r="1214" spans="1:5" x14ac:dyDescent="0.25">
      <c r="A1214" s="41">
        <v>4232</v>
      </c>
      <c r="B1214" s="42" t="s">
        <v>1579</v>
      </c>
      <c r="C1214" s="43" t="s">
        <v>289</v>
      </c>
      <c r="D1214" s="43" t="s">
        <v>314</v>
      </c>
      <c r="E1214" s="43" t="s">
        <v>230</v>
      </c>
    </row>
    <row r="1215" spans="1:5" x14ac:dyDescent="0.25">
      <c r="A1215" s="41">
        <v>4234</v>
      </c>
      <c r="B1215" s="42" t="s">
        <v>1580</v>
      </c>
      <c r="C1215" s="43" t="s">
        <v>289</v>
      </c>
      <c r="D1215" s="43" t="s">
        <v>314</v>
      </c>
      <c r="E1215" s="43" t="s">
        <v>230</v>
      </c>
    </row>
    <row r="1216" spans="1:5" x14ac:dyDescent="0.25">
      <c r="A1216" s="41">
        <v>4237</v>
      </c>
      <c r="B1216" s="42" t="s">
        <v>1581</v>
      </c>
      <c r="C1216" s="43" t="s">
        <v>289</v>
      </c>
      <c r="D1216" s="43" t="s">
        <v>314</v>
      </c>
      <c r="E1216" s="43" t="s">
        <v>230</v>
      </c>
    </row>
    <row r="1217" spans="1:5" x14ac:dyDescent="0.25">
      <c r="A1217" s="41">
        <v>4241</v>
      </c>
      <c r="B1217" s="42" t="s">
        <v>1582</v>
      </c>
      <c r="C1217" s="43" t="s">
        <v>289</v>
      </c>
      <c r="D1217" s="43" t="s">
        <v>316</v>
      </c>
      <c r="E1217" s="43" t="s">
        <v>766</v>
      </c>
    </row>
    <row r="1218" spans="1:5" x14ac:dyDescent="0.25">
      <c r="A1218" s="41">
        <v>4242</v>
      </c>
      <c r="B1218" s="42" t="s">
        <v>1583</v>
      </c>
      <c r="C1218" s="43" t="s">
        <v>289</v>
      </c>
      <c r="D1218" s="43" t="s">
        <v>333</v>
      </c>
      <c r="E1218" s="43" t="s">
        <v>170</v>
      </c>
    </row>
    <row r="1219" spans="1:5" x14ac:dyDescent="0.25">
      <c r="A1219" s="41">
        <v>4244</v>
      </c>
      <c r="B1219" s="42" t="s">
        <v>1584</v>
      </c>
      <c r="C1219" s="43" t="s">
        <v>289</v>
      </c>
      <c r="D1219" s="43" t="s">
        <v>327</v>
      </c>
      <c r="E1219" s="43" t="s">
        <v>354</v>
      </c>
    </row>
    <row r="1220" spans="1:5" x14ac:dyDescent="0.25">
      <c r="A1220" s="41">
        <v>4245</v>
      </c>
      <c r="B1220" s="42" t="s">
        <v>1585</v>
      </c>
      <c r="C1220" s="43" t="s">
        <v>289</v>
      </c>
      <c r="D1220" s="43" t="s">
        <v>327</v>
      </c>
      <c r="E1220" s="43" t="s">
        <v>170</v>
      </c>
    </row>
    <row r="1221" spans="1:5" x14ac:dyDescent="0.25">
      <c r="A1221" s="41">
        <v>4246</v>
      </c>
      <c r="B1221" s="42" t="s">
        <v>1586</v>
      </c>
      <c r="C1221" s="43" t="s">
        <v>289</v>
      </c>
      <c r="D1221" s="43" t="s">
        <v>327</v>
      </c>
      <c r="E1221" s="43" t="s">
        <v>230</v>
      </c>
    </row>
    <row r="1222" spans="1:5" x14ac:dyDescent="0.25">
      <c r="A1222" s="41">
        <v>4247</v>
      </c>
      <c r="B1222" s="42" t="s">
        <v>1587</v>
      </c>
      <c r="C1222" s="43" t="s">
        <v>289</v>
      </c>
      <c r="D1222" s="43" t="s">
        <v>327</v>
      </c>
      <c r="E1222" s="43" t="s">
        <v>170</v>
      </c>
    </row>
    <row r="1223" spans="1:5" x14ac:dyDescent="0.25">
      <c r="A1223" s="41">
        <v>4248</v>
      </c>
      <c r="B1223" s="42" t="s">
        <v>1588</v>
      </c>
      <c r="C1223" s="43" t="s">
        <v>289</v>
      </c>
      <c r="D1223" s="43" t="s">
        <v>327</v>
      </c>
      <c r="E1223" s="43" t="s">
        <v>170</v>
      </c>
    </row>
    <row r="1224" spans="1:5" x14ac:dyDescent="0.25">
      <c r="A1224" s="41">
        <v>4249</v>
      </c>
      <c r="B1224" s="42" t="s">
        <v>1589</v>
      </c>
      <c r="C1224" s="43" t="s">
        <v>289</v>
      </c>
      <c r="D1224" s="43" t="s">
        <v>327</v>
      </c>
      <c r="E1224" s="43" t="s">
        <v>230</v>
      </c>
    </row>
    <row r="1225" spans="1:5" x14ac:dyDescent="0.25">
      <c r="A1225" s="41">
        <v>4250</v>
      </c>
      <c r="B1225" s="42" t="s">
        <v>1590</v>
      </c>
      <c r="C1225" s="43" t="s">
        <v>289</v>
      </c>
      <c r="D1225" s="43" t="s">
        <v>327</v>
      </c>
      <c r="E1225" s="43" t="s">
        <v>230</v>
      </c>
    </row>
    <row r="1226" spans="1:5" x14ac:dyDescent="0.25">
      <c r="A1226" s="41">
        <v>4252</v>
      </c>
      <c r="B1226" s="42" t="s">
        <v>1591</v>
      </c>
      <c r="C1226" s="43" t="s">
        <v>289</v>
      </c>
      <c r="D1226" s="43" t="s">
        <v>314</v>
      </c>
      <c r="E1226" s="43" t="s">
        <v>230</v>
      </c>
    </row>
    <row r="1227" spans="1:5" x14ac:dyDescent="0.25">
      <c r="A1227" s="41">
        <v>4253</v>
      </c>
      <c r="B1227" s="42" t="s">
        <v>1592</v>
      </c>
      <c r="C1227" s="43" t="s">
        <v>289</v>
      </c>
      <c r="D1227" s="43" t="s">
        <v>314</v>
      </c>
      <c r="E1227" s="43" t="s">
        <v>230</v>
      </c>
    </row>
    <row r="1228" spans="1:5" x14ac:dyDescent="0.25">
      <c r="A1228" s="41">
        <v>4261</v>
      </c>
      <c r="B1228" s="42" t="s">
        <v>1593</v>
      </c>
      <c r="C1228" s="43" t="s">
        <v>289</v>
      </c>
      <c r="D1228" s="43" t="s">
        <v>314</v>
      </c>
      <c r="E1228" s="43" t="s">
        <v>230</v>
      </c>
    </row>
    <row r="1229" spans="1:5" x14ac:dyDescent="0.25">
      <c r="A1229" s="41">
        <v>4262</v>
      </c>
      <c r="B1229" s="42" t="s">
        <v>1594</v>
      </c>
      <c r="C1229" s="43" t="s">
        <v>289</v>
      </c>
      <c r="D1229" s="43" t="s">
        <v>314</v>
      </c>
      <c r="E1229" s="43" t="s">
        <v>230</v>
      </c>
    </row>
    <row r="1230" spans="1:5" x14ac:dyDescent="0.25">
      <c r="A1230" s="41">
        <v>4288</v>
      </c>
      <c r="B1230" s="42" t="s">
        <v>1595</v>
      </c>
      <c r="C1230" s="43" t="s">
        <v>289</v>
      </c>
      <c r="D1230" s="43" t="s">
        <v>1141</v>
      </c>
      <c r="E1230" s="43" t="s">
        <v>230</v>
      </c>
    </row>
    <row r="1231" spans="1:5" x14ac:dyDescent="0.25">
      <c r="A1231" s="41">
        <v>4290</v>
      </c>
      <c r="B1231" s="42" t="s">
        <v>1596</v>
      </c>
      <c r="C1231" s="43" t="s">
        <v>289</v>
      </c>
      <c r="D1231" s="43" t="s">
        <v>1141</v>
      </c>
      <c r="E1231" s="43" t="s">
        <v>230</v>
      </c>
    </row>
    <row r="1232" spans="1:5" x14ac:dyDescent="0.25">
      <c r="A1232" s="41">
        <v>4291</v>
      </c>
      <c r="B1232" s="42" t="s">
        <v>1597</v>
      </c>
      <c r="C1232" s="43" t="s">
        <v>289</v>
      </c>
      <c r="D1232" s="43" t="s">
        <v>1326</v>
      </c>
      <c r="E1232" s="43" t="s">
        <v>464</v>
      </c>
    </row>
    <row r="1233" spans="1:5" x14ac:dyDescent="0.25">
      <c r="A1233" s="41">
        <v>4292</v>
      </c>
      <c r="B1233" s="42" t="s">
        <v>1598</v>
      </c>
      <c r="C1233" s="43" t="s">
        <v>289</v>
      </c>
      <c r="D1233" s="43" t="s">
        <v>1326</v>
      </c>
      <c r="E1233" s="43" t="s">
        <v>464</v>
      </c>
    </row>
    <row r="1234" spans="1:5" x14ac:dyDescent="0.25">
      <c r="A1234" s="41">
        <v>4293</v>
      </c>
      <c r="B1234" s="42" t="s">
        <v>1599</v>
      </c>
      <c r="C1234" s="43" t="s">
        <v>289</v>
      </c>
      <c r="D1234" s="43" t="s">
        <v>1326</v>
      </c>
      <c r="E1234" s="43" t="s">
        <v>464</v>
      </c>
    </row>
    <row r="1235" spans="1:5" x14ac:dyDescent="0.25">
      <c r="A1235" s="41">
        <v>4301</v>
      </c>
      <c r="B1235" s="42" t="s">
        <v>1600</v>
      </c>
      <c r="C1235" s="43" t="s">
        <v>289</v>
      </c>
      <c r="D1235" s="43" t="s">
        <v>327</v>
      </c>
      <c r="E1235" s="43" t="s">
        <v>230</v>
      </c>
    </row>
    <row r="1236" spans="1:5" x14ac:dyDescent="0.25">
      <c r="A1236" s="41">
        <v>4302</v>
      </c>
      <c r="B1236" s="42" t="s">
        <v>1601</v>
      </c>
      <c r="C1236" s="43" t="s">
        <v>289</v>
      </c>
      <c r="D1236" s="43" t="s">
        <v>327</v>
      </c>
      <c r="E1236" s="43" t="s">
        <v>230</v>
      </c>
    </row>
    <row r="1237" spans="1:5" x14ac:dyDescent="0.25">
      <c r="A1237" s="41">
        <v>4303</v>
      </c>
      <c r="B1237" s="42" t="s">
        <v>1602</v>
      </c>
      <c r="C1237" s="43" t="s">
        <v>289</v>
      </c>
      <c r="D1237" s="43" t="s">
        <v>327</v>
      </c>
      <c r="E1237" s="43" t="s">
        <v>1093</v>
      </c>
    </row>
    <row r="1238" spans="1:5" x14ac:dyDescent="0.25">
      <c r="A1238" s="41">
        <v>4304</v>
      </c>
      <c r="B1238" s="42" t="s">
        <v>1603</v>
      </c>
      <c r="C1238" s="43" t="s">
        <v>289</v>
      </c>
      <c r="D1238" s="43" t="s">
        <v>327</v>
      </c>
      <c r="E1238" s="43" t="s">
        <v>230</v>
      </c>
    </row>
    <row r="1239" spans="1:5" x14ac:dyDescent="0.25">
      <c r="A1239" s="41">
        <v>4305</v>
      </c>
      <c r="B1239" s="42" t="s">
        <v>1604</v>
      </c>
      <c r="C1239" s="43" t="s">
        <v>289</v>
      </c>
      <c r="D1239" s="43" t="s">
        <v>327</v>
      </c>
      <c r="E1239" s="43" t="s">
        <v>230</v>
      </c>
    </row>
    <row r="1240" spans="1:5" x14ac:dyDescent="0.25">
      <c r="A1240" s="41">
        <v>4306</v>
      </c>
      <c r="B1240" s="42" t="s">
        <v>1605</v>
      </c>
      <c r="C1240" s="43" t="s">
        <v>289</v>
      </c>
      <c r="D1240" s="43" t="s">
        <v>327</v>
      </c>
      <c r="E1240" s="43" t="s">
        <v>230</v>
      </c>
    </row>
    <row r="1241" spans="1:5" x14ac:dyDescent="0.25">
      <c r="A1241" s="41">
        <v>4307</v>
      </c>
      <c r="B1241" s="42" t="s">
        <v>1606</v>
      </c>
      <c r="C1241" s="43" t="s">
        <v>289</v>
      </c>
      <c r="D1241" s="43" t="s">
        <v>327</v>
      </c>
      <c r="E1241" s="43" t="s">
        <v>230</v>
      </c>
    </row>
    <row r="1242" spans="1:5" x14ac:dyDescent="0.25">
      <c r="A1242" s="41">
        <v>4308</v>
      </c>
      <c r="B1242" s="42" t="s">
        <v>1607</v>
      </c>
      <c r="C1242" s="43" t="s">
        <v>289</v>
      </c>
      <c r="D1242" s="43" t="s">
        <v>1141</v>
      </c>
      <c r="E1242" s="43" t="s">
        <v>230</v>
      </c>
    </row>
    <row r="1243" spans="1:5" x14ac:dyDescent="0.25">
      <c r="A1243" s="41">
        <v>4309</v>
      </c>
      <c r="B1243" s="42" t="s">
        <v>1608</v>
      </c>
      <c r="C1243" s="43" t="s">
        <v>289</v>
      </c>
      <c r="D1243" s="43" t="s">
        <v>1141</v>
      </c>
      <c r="E1243" s="43" t="s">
        <v>230</v>
      </c>
    </row>
    <row r="1244" spans="1:5" x14ac:dyDescent="0.25">
      <c r="A1244" s="41">
        <v>4310</v>
      </c>
      <c r="B1244" s="42" t="s">
        <v>1609</v>
      </c>
      <c r="C1244" s="43" t="s">
        <v>289</v>
      </c>
      <c r="D1244" s="43" t="s">
        <v>1141</v>
      </c>
      <c r="E1244" s="43" t="s">
        <v>864</v>
      </c>
    </row>
    <row r="1245" spans="1:5" x14ac:dyDescent="0.25">
      <c r="A1245" s="41">
        <v>4311</v>
      </c>
      <c r="B1245" s="42" t="s">
        <v>1610</v>
      </c>
      <c r="C1245" s="43" t="s">
        <v>289</v>
      </c>
      <c r="D1245" s="43" t="s">
        <v>1141</v>
      </c>
      <c r="E1245" s="43" t="s">
        <v>230</v>
      </c>
    </row>
    <row r="1246" spans="1:5" x14ac:dyDescent="0.25">
      <c r="A1246" s="41">
        <v>4312</v>
      </c>
      <c r="B1246" s="42" t="s">
        <v>1611</v>
      </c>
      <c r="C1246" s="43" t="s">
        <v>289</v>
      </c>
      <c r="D1246" s="43" t="s">
        <v>1141</v>
      </c>
      <c r="E1246" s="43" t="s">
        <v>864</v>
      </c>
    </row>
    <row r="1247" spans="1:5" x14ac:dyDescent="0.25">
      <c r="A1247" s="41">
        <v>4315</v>
      </c>
      <c r="B1247" s="42" t="s">
        <v>1612</v>
      </c>
      <c r="C1247" s="43" t="s">
        <v>289</v>
      </c>
      <c r="D1247" s="43" t="s">
        <v>763</v>
      </c>
      <c r="E1247" s="43" t="s">
        <v>1071</v>
      </c>
    </row>
    <row r="1248" spans="1:5" x14ac:dyDescent="0.25">
      <c r="A1248" s="41">
        <v>4316</v>
      </c>
      <c r="B1248" s="42" t="s">
        <v>1613</v>
      </c>
      <c r="C1248" s="43" t="s">
        <v>289</v>
      </c>
      <c r="D1248" s="43" t="s">
        <v>290</v>
      </c>
      <c r="E1248" s="43" t="s">
        <v>230</v>
      </c>
    </row>
    <row r="1249" spans="1:5" x14ac:dyDescent="0.25">
      <c r="A1249" s="41">
        <v>4318</v>
      </c>
      <c r="B1249" s="42" t="s">
        <v>1614</v>
      </c>
      <c r="C1249" s="43" t="s">
        <v>289</v>
      </c>
      <c r="D1249" s="43" t="s">
        <v>327</v>
      </c>
      <c r="E1249" s="43" t="s">
        <v>354</v>
      </c>
    </row>
    <row r="1250" spans="1:5" x14ac:dyDescent="0.25">
      <c r="A1250" s="41">
        <v>4321</v>
      </c>
      <c r="B1250" s="42" t="s">
        <v>1615</v>
      </c>
      <c r="C1250" s="43" t="s">
        <v>289</v>
      </c>
      <c r="D1250" s="43" t="s">
        <v>1141</v>
      </c>
      <c r="E1250" s="43" t="s">
        <v>230</v>
      </c>
    </row>
    <row r="1251" spans="1:5" x14ac:dyDescent="0.25">
      <c r="A1251" s="41">
        <v>4322</v>
      </c>
      <c r="B1251" s="42" t="s">
        <v>1616</v>
      </c>
      <c r="C1251" s="43" t="s">
        <v>289</v>
      </c>
      <c r="D1251" s="43" t="s">
        <v>1141</v>
      </c>
      <c r="E1251" s="43" t="s">
        <v>230</v>
      </c>
    </row>
    <row r="1252" spans="1:5" x14ac:dyDescent="0.25">
      <c r="A1252" s="41">
        <v>4328</v>
      </c>
      <c r="B1252" s="42" t="s">
        <v>1617</v>
      </c>
      <c r="C1252" s="43" t="s">
        <v>289</v>
      </c>
      <c r="D1252" s="43" t="s">
        <v>795</v>
      </c>
      <c r="E1252" s="43" t="s">
        <v>230</v>
      </c>
    </row>
    <row r="1253" spans="1:5" x14ac:dyDescent="0.25">
      <c r="A1253" s="41">
        <v>4329</v>
      </c>
      <c r="B1253" s="42" t="s">
        <v>1618</v>
      </c>
      <c r="C1253" s="43" t="s">
        <v>289</v>
      </c>
      <c r="D1253" s="43" t="s">
        <v>763</v>
      </c>
      <c r="E1253" s="43" t="s">
        <v>1120</v>
      </c>
    </row>
    <row r="1254" spans="1:5" x14ac:dyDescent="0.25">
      <c r="A1254" s="41">
        <v>4330</v>
      </c>
      <c r="B1254" s="42" t="s">
        <v>1619</v>
      </c>
      <c r="C1254" s="43" t="s">
        <v>289</v>
      </c>
      <c r="D1254" s="43" t="s">
        <v>763</v>
      </c>
      <c r="E1254" s="43" t="s">
        <v>373</v>
      </c>
    </row>
    <row r="1255" spans="1:5" x14ac:dyDescent="0.25">
      <c r="A1255" s="41">
        <v>4331</v>
      </c>
      <c r="B1255" s="42" t="s">
        <v>1620</v>
      </c>
      <c r="C1255" s="43" t="s">
        <v>289</v>
      </c>
      <c r="D1255" s="43" t="s">
        <v>763</v>
      </c>
      <c r="E1255" s="43" t="s">
        <v>436</v>
      </c>
    </row>
    <row r="1256" spans="1:5" x14ac:dyDescent="0.25">
      <c r="A1256" s="41">
        <v>4332</v>
      </c>
      <c r="B1256" s="42" t="s">
        <v>1621</v>
      </c>
      <c r="C1256" s="43" t="s">
        <v>289</v>
      </c>
      <c r="D1256" s="43" t="s">
        <v>763</v>
      </c>
      <c r="E1256" s="43" t="s">
        <v>436</v>
      </c>
    </row>
    <row r="1257" spans="1:5" x14ac:dyDescent="0.25">
      <c r="A1257" s="41">
        <v>4333</v>
      </c>
      <c r="B1257" s="42" t="s">
        <v>1622</v>
      </c>
      <c r="C1257" s="43" t="s">
        <v>289</v>
      </c>
      <c r="D1257" s="43" t="s">
        <v>763</v>
      </c>
      <c r="E1257" s="43" t="s">
        <v>436</v>
      </c>
    </row>
    <row r="1258" spans="1:5" x14ac:dyDescent="0.25">
      <c r="A1258" s="41">
        <v>4335</v>
      </c>
      <c r="B1258" s="42" t="s">
        <v>1623</v>
      </c>
      <c r="C1258" s="43" t="s">
        <v>289</v>
      </c>
      <c r="D1258" s="43" t="s">
        <v>1326</v>
      </c>
      <c r="E1258" s="43" t="s">
        <v>336</v>
      </c>
    </row>
    <row r="1259" spans="1:5" x14ac:dyDescent="0.25">
      <c r="A1259" s="41">
        <v>4336</v>
      </c>
      <c r="B1259" s="42" t="s">
        <v>1624</v>
      </c>
      <c r="C1259" s="43" t="s">
        <v>289</v>
      </c>
      <c r="D1259" s="43" t="s">
        <v>1326</v>
      </c>
      <c r="E1259" s="43" t="s">
        <v>336</v>
      </c>
    </row>
    <row r="1260" spans="1:5" x14ac:dyDescent="0.25">
      <c r="A1260" s="41">
        <v>4337</v>
      </c>
      <c r="B1260" s="42" t="s">
        <v>1625</v>
      </c>
      <c r="C1260" s="43" t="s">
        <v>289</v>
      </c>
      <c r="D1260" s="43" t="s">
        <v>1326</v>
      </c>
      <c r="E1260" s="43" t="s">
        <v>336</v>
      </c>
    </row>
    <row r="1261" spans="1:5" x14ac:dyDescent="0.25">
      <c r="A1261" s="41">
        <v>4338</v>
      </c>
      <c r="B1261" s="42" t="s">
        <v>1626</v>
      </c>
      <c r="C1261" s="43" t="s">
        <v>289</v>
      </c>
      <c r="D1261" s="43" t="s">
        <v>327</v>
      </c>
      <c r="E1261" s="43" t="s">
        <v>373</v>
      </c>
    </row>
    <row r="1262" spans="1:5" x14ac:dyDescent="0.25">
      <c r="A1262" s="41">
        <v>4339</v>
      </c>
      <c r="B1262" s="42" t="s">
        <v>1627</v>
      </c>
      <c r="C1262" s="43" t="s">
        <v>289</v>
      </c>
      <c r="D1262" s="43" t="s">
        <v>327</v>
      </c>
      <c r="E1262" s="43" t="s">
        <v>373</v>
      </c>
    </row>
    <row r="1263" spans="1:5" x14ac:dyDescent="0.25">
      <c r="A1263" s="41">
        <v>4344</v>
      </c>
      <c r="B1263" s="42" t="s">
        <v>1628</v>
      </c>
      <c r="C1263" s="43" t="s">
        <v>289</v>
      </c>
      <c r="D1263" s="43" t="s">
        <v>327</v>
      </c>
      <c r="E1263" s="43" t="s">
        <v>354</v>
      </c>
    </row>
    <row r="1264" spans="1:5" x14ac:dyDescent="0.25">
      <c r="A1264" s="41">
        <v>4346</v>
      </c>
      <c r="B1264" s="42" t="s">
        <v>1629</v>
      </c>
      <c r="C1264" s="43" t="s">
        <v>289</v>
      </c>
      <c r="D1264" s="43" t="s">
        <v>327</v>
      </c>
      <c r="E1264" s="43" t="s">
        <v>464</v>
      </c>
    </row>
    <row r="1265" spans="1:5" x14ac:dyDescent="0.25">
      <c r="A1265" s="41">
        <v>4348</v>
      </c>
      <c r="B1265" s="42" t="s">
        <v>1630</v>
      </c>
      <c r="C1265" s="43" t="s">
        <v>289</v>
      </c>
      <c r="D1265" s="43" t="s">
        <v>327</v>
      </c>
      <c r="E1265" s="43" t="s">
        <v>464</v>
      </c>
    </row>
    <row r="1266" spans="1:5" x14ac:dyDescent="0.25">
      <c r="A1266" s="41">
        <v>4351</v>
      </c>
      <c r="B1266" s="42" t="s">
        <v>1631</v>
      </c>
      <c r="C1266" s="43" t="s">
        <v>289</v>
      </c>
      <c r="D1266" s="43" t="s">
        <v>327</v>
      </c>
      <c r="E1266" s="43" t="s">
        <v>464</v>
      </c>
    </row>
    <row r="1267" spans="1:5" x14ac:dyDescent="0.25">
      <c r="A1267" s="41">
        <v>4352</v>
      </c>
      <c r="B1267" s="42" t="s">
        <v>1632</v>
      </c>
      <c r="C1267" s="43" t="s">
        <v>289</v>
      </c>
      <c r="D1267" s="43" t="s">
        <v>327</v>
      </c>
      <c r="E1267" s="43" t="s">
        <v>464</v>
      </c>
    </row>
    <row r="1268" spans="1:5" x14ac:dyDescent="0.25">
      <c r="A1268" s="41">
        <v>4353</v>
      </c>
      <c r="B1268" s="42" t="s">
        <v>1633</v>
      </c>
      <c r="C1268" s="43" t="s">
        <v>289</v>
      </c>
      <c r="D1268" s="43" t="s">
        <v>327</v>
      </c>
      <c r="E1268" s="43" t="s">
        <v>464</v>
      </c>
    </row>
    <row r="1269" spans="1:5" x14ac:dyDescent="0.25">
      <c r="A1269" s="41">
        <v>4354</v>
      </c>
      <c r="B1269" s="42" t="s">
        <v>1634</v>
      </c>
      <c r="C1269" s="43" t="s">
        <v>289</v>
      </c>
      <c r="D1269" s="43" t="s">
        <v>327</v>
      </c>
      <c r="E1269" s="43" t="s">
        <v>464</v>
      </c>
    </row>
    <row r="1270" spans="1:5" x14ac:dyDescent="0.25">
      <c r="A1270" s="41">
        <v>4359</v>
      </c>
      <c r="B1270" s="42" t="s">
        <v>1635</v>
      </c>
      <c r="C1270" s="43" t="s">
        <v>289</v>
      </c>
      <c r="D1270" s="43" t="s">
        <v>474</v>
      </c>
      <c r="E1270" s="43" t="s">
        <v>373</v>
      </c>
    </row>
    <row r="1271" spans="1:5" x14ac:dyDescent="0.25">
      <c r="A1271" s="41">
        <v>4366</v>
      </c>
      <c r="B1271" s="42" t="s">
        <v>1636</v>
      </c>
      <c r="C1271" s="43" t="s">
        <v>289</v>
      </c>
      <c r="D1271" s="43" t="s">
        <v>523</v>
      </c>
      <c r="E1271" s="43" t="s">
        <v>230</v>
      </c>
    </row>
    <row r="1272" spans="1:5" x14ac:dyDescent="0.25">
      <c r="A1272" s="41">
        <v>4378</v>
      </c>
      <c r="B1272" s="42" t="s">
        <v>1637</v>
      </c>
      <c r="C1272" s="43" t="s">
        <v>289</v>
      </c>
      <c r="D1272" s="43" t="s">
        <v>327</v>
      </c>
      <c r="E1272" s="43" t="s">
        <v>404</v>
      </c>
    </row>
    <row r="1273" spans="1:5" x14ac:dyDescent="0.25">
      <c r="A1273" s="41">
        <v>4380</v>
      </c>
      <c r="B1273" s="42" t="s">
        <v>1638</v>
      </c>
      <c r="C1273" s="43" t="s">
        <v>289</v>
      </c>
      <c r="D1273" s="43" t="s">
        <v>327</v>
      </c>
      <c r="E1273" s="43" t="s">
        <v>230</v>
      </c>
    </row>
    <row r="1274" spans="1:5" x14ac:dyDescent="0.25">
      <c r="A1274" s="41">
        <v>4382</v>
      </c>
      <c r="B1274" s="42" t="s">
        <v>1639</v>
      </c>
      <c r="C1274" s="43" t="s">
        <v>289</v>
      </c>
      <c r="D1274" s="43" t="s">
        <v>327</v>
      </c>
      <c r="E1274" s="43" t="s">
        <v>404</v>
      </c>
    </row>
    <row r="1275" spans="1:5" x14ac:dyDescent="0.25">
      <c r="A1275" s="41">
        <v>4383</v>
      </c>
      <c r="B1275" s="42" t="s">
        <v>1640</v>
      </c>
      <c r="C1275" s="43" t="s">
        <v>289</v>
      </c>
      <c r="D1275" s="43" t="s">
        <v>327</v>
      </c>
      <c r="E1275" s="43" t="s">
        <v>230</v>
      </c>
    </row>
    <row r="1276" spans="1:5" x14ac:dyDescent="0.25">
      <c r="A1276" s="41">
        <v>4391</v>
      </c>
      <c r="B1276" s="42" t="s">
        <v>1641</v>
      </c>
      <c r="C1276" s="43" t="s">
        <v>289</v>
      </c>
      <c r="D1276" s="43" t="s">
        <v>316</v>
      </c>
      <c r="E1276" s="43" t="s">
        <v>454</v>
      </c>
    </row>
    <row r="1277" spans="1:5" x14ac:dyDescent="0.25">
      <c r="A1277" s="41">
        <v>4397</v>
      </c>
      <c r="B1277" s="42" t="s">
        <v>1642</v>
      </c>
      <c r="C1277" s="43" t="s">
        <v>289</v>
      </c>
      <c r="D1277" s="43" t="s">
        <v>316</v>
      </c>
      <c r="E1277" s="43" t="s">
        <v>230</v>
      </c>
    </row>
    <row r="1278" spans="1:5" x14ac:dyDescent="0.25">
      <c r="A1278" s="41">
        <v>4398</v>
      </c>
      <c r="B1278" s="42" t="s">
        <v>1643</v>
      </c>
      <c r="C1278" s="43" t="s">
        <v>289</v>
      </c>
      <c r="D1278" s="43" t="s">
        <v>316</v>
      </c>
      <c r="E1278" s="43" t="s">
        <v>230</v>
      </c>
    </row>
    <row r="1279" spans="1:5" x14ac:dyDescent="0.25">
      <c r="A1279" s="41">
        <v>4414</v>
      </c>
      <c r="B1279" s="42" t="s">
        <v>1644</v>
      </c>
      <c r="C1279" s="43" t="s">
        <v>289</v>
      </c>
      <c r="D1279" s="43" t="s">
        <v>482</v>
      </c>
      <c r="E1279" s="43" t="s">
        <v>373</v>
      </c>
    </row>
    <row r="1280" spans="1:5" x14ac:dyDescent="0.25">
      <c r="A1280" s="41">
        <v>4415</v>
      </c>
      <c r="B1280" s="42" t="s">
        <v>1645</v>
      </c>
      <c r="C1280" s="43" t="s">
        <v>289</v>
      </c>
      <c r="D1280" s="43" t="s">
        <v>327</v>
      </c>
      <c r="E1280" s="43" t="s">
        <v>454</v>
      </c>
    </row>
    <row r="1281" spans="1:5" x14ac:dyDescent="0.25">
      <c r="A1281" s="41">
        <v>4418</v>
      </c>
      <c r="B1281" s="42" t="s">
        <v>1646</v>
      </c>
      <c r="C1281" s="43" t="s">
        <v>289</v>
      </c>
      <c r="D1281" s="43" t="s">
        <v>375</v>
      </c>
      <c r="E1281" s="43" t="s">
        <v>170</v>
      </c>
    </row>
    <row r="1282" spans="1:5" x14ac:dyDescent="0.25">
      <c r="A1282" s="41">
        <v>4419</v>
      </c>
      <c r="B1282" s="42" t="s">
        <v>1647</v>
      </c>
      <c r="C1282" s="43" t="s">
        <v>289</v>
      </c>
      <c r="D1282" s="43" t="s">
        <v>811</v>
      </c>
      <c r="E1282" s="43" t="s">
        <v>230</v>
      </c>
    </row>
    <row r="1283" spans="1:5" x14ac:dyDescent="0.25">
      <c r="A1283" s="41">
        <v>4420</v>
      </c>
      <c r="B1283" s="42" t="s">
        <v>1648</v>
      </c>
      <c r="C1283" s="43" t="s">
        <v>289</v>
      </c>
      <c r="D1283" s="43" t="s">
        <v>811</v>
      </c>
      <c r="E1283" s="43" t="s">
        <v>230</v>
      </c>
    </row>
    <row r="1284" spans="1:5" x14ac:dyDescent="0.25">
      <c r="A1284" s="41">
        <v>4426</v>
      </c>
      <c r="B1284" s="42" t="s">
        <v>1649</v>
      </c>
      <c r="C1284" s="43" t="s">
        <v>289</v>
      </c>
      <c r="D1284" s="43" t="s">
        <v>327</v>
      </c>
      <c r="E1284" s="43" t="s">
        <v>454</v>
      </c>
    </row>
    <row r="1285" spans="1:5" x14ac:dyDescent="0.25">
      <c r="A1285" s="41">
        <v>4428</v>
      </c>
      <c r="B1285" s="42" t="s">
        <v>1650</v>
      </c>
      <c r="C1285" s="43" t="s">
        <v>289</v>
      </c>
      <c r="D1285" s="43" t="s">
        <v>1100</v>
      </c>
      <c r="E1285" s="43" t="s">
        <v>230</v>
      </c>
    </row>
    <row r="1286" spans="1:5" x14ac:dyDescent="0.25">
      <c r="A1286" s="41">
        <v>4429</v>
      </c>
      <c r="B1286" s="42" t="s">
        <v>1651</v>
      </c>
      <c r="C1286" s="43" t="s">
        <v>289</v>
      </c>
      <c r="D1286" s="43" t="s">
        <v>327</v>
      </c>
      <c r="E1286" s="43" t="s">
        <v>454</v>
      </c>
    </row>
    <row r="1287" spans="1:5" x14ac:dyDescent="0.25">
      <c r="A1287" s="41">
        <v>4431</v>
      </c>
      <c r="B1287" s="42" t="s">
        <v>1652</v>
      </c>
      <c r="C1287" s="43" t="s">
        <v>289</v>
      </c>
      <c r="D1287" s="43" t="s">
        <v>327</v>
      </c>
      <c r="E1287" s="43" t="s">
        <v>230</v>
      </c>
    </row>
    <row r="1288" spans="1:5" x14ac:dyDescent="0.25">
      <c r="A1288" s="41">
        <v>4433</v>
      </c>
      <c r="B1288" s="42" t="s">
        <v>1653</v>
      </c>
      <c r="C1288" s="43" t="s">
        <v>289</v>
      </c>
      <c r="D1288" s="43" t="s">
        <v>327</v>
      </c>
      <c r="E1288" s="43" t="s">
        <v>217</v>
      </c>
    </row>
    <row r="1289" spans="1:5" x14ac:dyDescent="0.25">
      <c r="A1289" s="41">
        <v>4436</v>
      </c>
      <c r="B1289" s="42" t="s">
        <v>1654</v>
      </c>
      <c r="C1289" s="43" t="s">
        <v>289</v>
      </c>
      <c r="D1289" s="43" t="s">
        <v>327</v>
      </c>
      <c r="E1289" s="43" t="s">
        <v>230</v>
      </c>
    </row>
    <row r="1290" spans="1:5" x14ac:dyDescent="0.25">
      <c r="A1290" s="41">
        <v>4438</v>
      </c>
      <c r="B1290" s="42" t="s">
        <v>1655</v>
      </c>
      <c r="C1290" s="43" t="s">
        <v>289</v>
      </c>
      <c r="D1290" s="43" t="s">
        <v>327</v>
      </c>
      <c r="E1290" s="43" t="s">
        <v>230</v>
      </c>
    </row>
    <row r="1291" spans="1:5" x14ac:dyDescent="0.25">
      <c r="A1291" s="41">
        <v>4444</v>
      </c>
      <c r="B1291" s="42" t="s">
        <v>1656</v>
      </c>
      <c r="C1291" s="43" t="s">
        <v>289</v>
      </c>
      <c r="D1291" s="43" t="s">
        <v>845</v>
      </c>
      <c r="E1291" s="43" t="s">
        <v>464</v>
      </c>
    </row>
    <row r="1292" spans="1:5" x14ac:dyDescent="0.25">
      <c r="A1292" s="41">
        <v>4449</v>
      </c>
      <c r="B1292" s="42" t="s">
        <v>1657</v>
      </c>
      <c r="C1292" s="43" t="s">
        <v>289</v>
      </c>
      <c r="D1292" s="43" t="s">
        <v>1658</v>
      </c>
      <c r="E1292" s="43" t="s">
        <v>464</v>
      </c>
    </row>
    <row r="1293" spans="1:5" x14ac:dyDescent="0.25">
      <c r="A1293" s="41">
        <v>4450</v>
      </c>
      <c r="B1293" s="42" t="s">
        <v>1659</v>
      </c>
      <c r="C1293" s="43" t="s">
        <v>289</v>
      </c>
      <c r="D1293" s="43" t="s">
        <v>996</v>
      </c>
      <c r="E1293" s="43" t="s">
        <v>464</v>
      </c>
    </row>
    <row r="1294" spans="1:5" x14ac:dyDescent="0.25">
      <c r="A1294" s="41">
        <v>4469</v>
      </c>
      <c r="B1294" s="42" t="s">
        <v>1660</v>
      </c>
      <c r="C1294" s="43" t="s">
        <v>289</v>
      </c>
      <c r="D1294" s="43" t="s">
        <v>316</v>
      </c>
      <c r="E1294" s="43" t="s">
        <v>230</v>
      </c>
    </row>
    <row r="1295" spans="1:5" x14ac:dyDescent="0.25">
      <c r="A1295" s="41">
        <v>4479</v>
      </c>
      <c r="B1295" s="42" t="s">
        <v>1661</v>
      </c>
      <c r="C1295" s="43" t="s">
        <v>289</v>
      </c>
      <c r="D1295" s="43" t="s">
        <v>316</v>
      </c>
      <c r="E1295" s="43" t="s">
        <v>230</v>
      </c>
    </row>
    <row r="1296" spans="1:5" x14ac:dyDescent="0.25">
      <c r="A1296" s="41">
        <v>4481</v>
      </c>
      <c r="B1296" s="42" t="s">
        <v>1662</v>
      </c>
      <c r="C1296" s="43" t="s">
        <v>289</v>
      </c>
      <c r="D1296" s="43" t="s">
        <v>763</v>
      </c>
      <c r="E1296" s="43" t="s">
        <v>170</v>
      </c>
    </row>
    <row r="1297" spans="1:5" x14ac:dyDescent="0.25">
      <c r="A1297" s="41">
        <v>4482</v>
      </c>
      <c r="B1297" s="42" t="s">
        <v>1663</v>
      </c>
      <c r="C1297" s="43" t="s">
        <v>289</v>
      </c>
      <c r="D1297" s="43" t="s">
        <v>763</v>
      </c>
      <c r="E1297" s="43" t="s">
        <v>436</v>
      </c>
    </row>
    <row r="1298" spans="1:5" x14ac:dyDescent="0.25">
      <c r="A1298" s="41">
        <v>4497</v>
      </c>
      <c r="B1298" s="42" t="s">
        <v>1664</v>
      </c>
      <c r="C1298" s="43" t="s">
        <v>289</v>
      </c>
      <c r="D1298" s="43" t="s">
        <v>316</v>
      </c>
      <c r="E1298" s="43" t="s">
        <v>230</v>
      </c>
    </row>
    <row r="1299" spans="1:5" x14ac:dyDescent="0.25">
      <c r="A1299" s="41">
        <v>4500</v>
      </c>
      <c r="B1299" s="42" t="s">
        <v>1665</v>
      </c>
      <c r="C1299" s="43" t="s">
        <v>289</v>
      </c>
      <c r="D1299" s="43" t="s">
        <v>316</v>
      </c>
      <c r="E1299" s="43" t="s">
        <v>230</v>
      </c>
    </row>
    <row r="1300" spans="1:5" x14ac:dyDescent="0.25">
      <c r="A1300" s="41">
        <v>4504</v>
      </c>
      <c r="B1300" s="42" t="s">
        <v>1666</v>
      </c>
      <c r="C1300" s="43" t="s">
        <v>289</v>
      </c>
      <c r="D1300" s="43" t="s">
        <v>316</v>
      </c>
      <c r="E1300" s="43" t="s">
        <v>230</v>
      </c>
    </row>
    <row r="1301" spans="1:5" x14ac:dyDescent="0.25">
      <c r="A1301" s="41">
        <v>4506</v>
      </c>
      <c r="B1301" s="42" t="s">
        <v>1667</v>
      </c>
      <c r="C1301" s="43" t="s">
        <v>289</v>
      </c>
      <c r="D1301" s="43" t="s">
        <v>316</v>
      </c>
      <c r="E1301" s="43" t="s">
        <v>230</v>
      </c>
    </row>
    <row r="1302" spans="1:5" x14ac:dyDescent="0.25">
      <c r="A1302" s="41">
        <v>4518</v>
      </c>
      <c r="B1302" s="42" t="s">
        <v>1668</v>
      </c>
      <c r="C1302" s="43" t="s">
        <v>289</v>
      </c>
      <c r="D1302" s="43" t="s">
        <v>327</v>
      </c>
      <c r="E1302" s="43" t="s">
        <v>230</v>
      </c>
    </row>
    <row r="1303" spans="1:5" x14ac:dyDescent="0.25">
      <c r="A1303" s="41">
        <v>4519</v>
      </c>
      <c r="B1303" s="42" t="s">
        <v>1669</v>
      </c>
      <c r="C1303" s="43" t="s">
        <v>289</v>
      </c>
      <c r="D1303" s="43" t="s">
        <v>453</v>
      </c>
      <c r="E1303" s="43" t="s">
        <v>454</v>
      </c>
    </row>
    <row r="1304" spans="1:5" x14ac:dyDescent="0.25">
      <c r="A1304" s="41">
        <v>4520</v>
      </c>
      <c r="B1304" s="42" t="s">
        <v>1670</v>
      </c>
      <c r="C1304" s="43" t="s">
        <v>289</v>
      </c>
      <c r="D1304" s="43" t="s">
        <v>327</v>
      </c>
      <c r="E1304" s="43" t="s">
        <v>230</v>
      </c>
    </row>
    <row r="1305" spans="1:5" x14ac:dyDescent="0.25">
      <c r="A1305" s="41">
        <v>4523</v>
      </c>
      <c r="B1305" s="42" t="s">
        <v>1671</v>
      </c>
      <c r="C1305" s="43" t="s">
        <v>289</v>
      </c>
      <c r="D1305" s="43" t="s">
        <v>438</v>
      </c>
      <c r="E1305" s="43" t="s">
        <v>454</v>
      </c>
    </row>
    <row r="1306" spans="1:5" x14ac:dyDescent="0.25">
      <c r="A1306" s="41">
        <v>4540</v>
      </c>
      <c r="B1306" s="42" t="s">
        <v>1672</v>
      </c>
      <c r="C1306" s="43" t="s">
        <v>289</v>
      </c>
      <c r="D1306" s="43" t="s">
        <v>468</v>
      </c>
      <c r="E1306" s="43" t="s">
        <v>464</v>
      </c>
    </row>
    <row r="1307" spans="1:5" x14ac:dyDescent="0.25">
      <c r="A1307" s="41">
        <v>4553</v>
      </c>
      <c r="B1307" s="42" t="s">
        <v>1673</v>
      </c>
      <c r="C1307" s="43" t="s">
        <v>289</v>
      </c>
      <c r="D1307" s="43" t="s">
        <v>327</v>
      </c>
      <c r="E1307" s="43" t="s">
        <v>230</v>
      </c>
    </row>
    <row r="1308" spans="1:5" x14ac:dyDescent="0.25">
      <c r="A1308" s="41">
        <v>4554</v>
      </c>
      <c r="B1308" s="42" t="s">
        <v>1674</v>
      </c>
      <c r="C1308" s="43" t="s">
        <v>289</v>
      </c>
      <c r="D1308" s="43" t="s">
        <v>327</v>
      </c>
      <c r="E1308" s="43" t="s">
        <v>230</v>
      </c>
    </row>
    <row r="1309" spans="1:5" x14ac:dyDescent="0.25">
      <c r="A1309" s="41">
        <v>4557</v>
      </c>
      <c r="B1309" s="42" t="s">
        <v>1675</v>
      </c>
      <c r="C1309" s="43" t="s">
        <v>289</v>
      </c>
      <c r="D1309" s="43" t="s">
        <v>327</v>
      </c>
      <c r="E1309" s="43" t="s">
        <v>230</v>
      </c>
    </row>
    <row r="1310" spans="1:5" x14ac:dyDescent="0.25">
      <c r="A1310" s="41">
        <v>4563</v>
      </c>
      <c r="B1310" s="42" t="s">
        <v>1676</v>
      </c>
      <c r="C1310" s="43" t="s">
        <v>289</v>
      </c>
      <c r="D1310" s="43" t="s">
        <v>1477</v>
      </c>
      <c r="E1310" s="43" t="s">
        <v>454</v>
      </c>
    </row>
    <row r="1311" spans="1:5" x14ac:dyDescent="0.25">
      <c r="A1311" s="41">
        <v>4564</v>
      </c>
      <c r="B1311" s="42" t="s">
        <v>1677</v>
      </c>
      <c r="C1311" s="43" t="s">
        <v>289</v>
      </c>
      <c r="D1311" s="43" t="s">
        <v>327</v>
      </c>
      <c r="E1311" s="43" t="s">
        <v>230</v>
      </c>
    </row>
    <row r="1312" spans="1:5" x14ac:dyDescent="0.25">
      <c r="A1312" s="41">
        <v>4567</v>
      </c>
      <c r="B1312" s="42" t="s">
        <v>1678</v>
      </c>
      <c r="C1312" s="43" t="s">
        <v>289</v>
      </c>
      <c r="D1312" s="43" t="s">
        <v>327</v>
      </c>
      <c r="E1312" s="43" t="s">
        <v>230</v>
      </c>
    </row>
    <row r="1313" spans="1:5" x14ac:dyDescent="0.25">
      <c r="A1313" s="41">
        <v>4569</v>
      </c>
      <c r="B1313" s="42" t="s">
        <v>1679</v>
      </c>
      <c r="C1313" s="43" t="s">
        <v>289</v>
      </c>
      <c r="D1313" s="43" t="s">
        <v>327</v>
      </c>
      <c r="E1313" s="43" t="s">
        <v>354</v>
      </c>
    </row>
    <row r="1314" spans="1:5" x14ac:dyDescent="0.25">
      <c r="A1314" s="41">
        <v>4572</v>
      </c>
      <c r="B1314" s="42" t="s">
        <v>1680</v>
      </c>
      <c r="C1314" s="43" t="s">
        <v>289</v>
      </c>
      <c r="D1314" s="43" t="s">
        <v>327</v>
      </c>
      <c r="E1314" s="43" t="s">
        <v>230</v>
      </c>
    </row>
    <row r="1315" spans="1:5" x14ac:dyDescent="0.25">
      <c r="A1315" s="41">
        <v>4574</v>
      </c>
      <c r="B1315" s="42" t="s">
        <v>1681</v>
      </c>
      <c r="C1315" s="43" t="s">
        <v>289</v>
      </c>
      <c r="D1315" s="43" t="s">
        <v>327</v>
      </c>
      <c r="E1315" s="43" t="s">
        <v>230</v>
      </c>
    </row>
    <row r="1316" spans="1:5" x14ac:dyDescent="0.25">
      <c r="A1316" s="41">
        <v>4575</v>
      </c>
      <c r="B1316" s="42" t="s">
        <v>1682</v>
      </c>
      <c r="C1316" s="43" t="s">
        <v>289</v>
      </c>
      <c r="D1316" s="43" t="s">
        <v>327</v>
      </c>
      <c r="E1316" s="43" t="s">
        <v>230</v>
      </c>
    </row>
    <row r="1317" spans="1:5" x14ac:dyDescent="0.25">
      <c r="A1317" s="41">
        <v>4576</v>
      </c>
      <c r="B1317" s="42" t="s">
        <v>1683</v>
      </c>
      <c r="C1317" s="43" t="s">
        <v>289</v>
      </c>
      <c r="D1317" s="43" t="s">
        <v>327</v>
      </c>
      <c r="E1317" s="43" t="s">
        <v>454</v>
      </c>
    </row>
    <row r="1318" spans="1:5" x14ac:dyDescent="0.25">
      <c r="A1318" s="41">
        <v>4577</v>
      </c>
      <c r="B1318" s="42" t="s">
        <v>1684</v>
      </c>
      <c r="C1318" s="43" t="s">
        <v>289</v>
      </c>
      <c r="D1318" s="43" t="s">
        <v>327</v>
      </c>
      <c r="E1318" s="43" t="s">
        <v>531</v>
      </c>
    </row>
    <row r="1319" spans="1:5" x14ac:dyDescent="0.25">
      <c r="A1319" s="41">
        <v>4582</v>
      </c>
      <c r="B1319" s="42" t="s">
        <v>1685</v>
      </c>
      <c r="C1319" s="43" t="s">
        <v>289</v>
      </c>
      <c r="D1319" s="43" t="s">
        <v>327</v>
      </c>
      <c r="E1319" s="43" t="s">
        <v>230</v>
      </c>
    </row>
    <row r="1320" spans="1:5" x14ac:dyDescent="0.25">
      <c r="A1320" s="41">
        <v>4585</v>
      </c>
      <c r="B1320" s="42" t="s">
        <v>1686</v>
      </c>
      <c r="C1320" s="43" t="s">
        <v>289</v>
      </c>
      <c r="D1320" s="43" t="s">
        <v>327</v>
      </c>
      <c r="E1320" s="43" t="s">
        <v>464</v>
      </c>
    </row>
    <row r="1321" spans="1:5" x14ac:dyDescent="0.25">
      <c r="A1321" s="41">
        <v>4586</v>
      </c>
      <c r="B1321" s="42" t="s">
        <v>1687</v>
      </c>
      <c r="C1321" s="43" t="s">
        <v>289</v>
      </c>
      <c r="D1321" s="43" t="s">
        <v>327</v>
      </c>
      <c r="E1321" s="43" t="s">
        <v>464</v>
      </c>
    </row>
    <row r="1322" spans="1:5" x14ac:dyDescent="0.25">
      <c r="A1322" s="41">
        <v>4587</v>
      </c>
      <c r="B1322" s="42" t="s">
        <v>1688</v>
      </c>
      <c r="C1322" s="43" t="s">
        <v>289</v>
      </c>
      <c r="D1322" s="43" t="s">
        <v>333</v>
      </c>
      <c r="E1322" s="43" t="s">
        <v>230</v>
      </c>
    </row>
    <row r="1323" spans="1:5" x14ac:dyDescent="0.25">
      <c r="A1323" s="41">
        <v>4591</v>
      </c>
      <c r="B1323" s="42" t="s">
        <v>1689</v>
      </c>
      <c r="C1323" s="43" t="s">
        <v>289</v>
      </c>
      <c r="D1323" s="43" t="s">
        <v>1326</v>
      </c>
      <c r="E1323" s="43" t="s">
        <v>454</v>
      </c>
    </row>
    <row r="1324" spans="1:5" x14ac:dyDescent="0.25">
      <c r="A1324" s="41">
        <v>4592</v>
      </c>
      <c r="B1324" s="42" t="s">
        <v>1690</v>
      </c>
      <c r="C1324" s="43" t="s">
        <v>289</v>
      </c>
      <c r="D1324" s="43" t="s">
        <v>290</v>
      </c>
      <c r="E1324" s="43" t="s">
        <v>230</v>
      </c>
    </row>
    <row r="1325" spans="1:5" x14ac:dyDescent="0.25">
      <c r="A1325" s="41">
        <v>4593</v>
      </c>
      <c r="B1325" s="42" t="s">
        <v>1691</v>
      </c>
      <c r="C1325" s="43" t="s">
        <v>289</v>
      </c>
      <c r="D1325" s="43" t="s">
        <v>290</v>
      </c>
      <c r="E1325" s="43" t="s">
        <v>230</v>
      </c>
    </row>
    <row r="1326" spans="1:5" x14ac:dyDescent="0.25">
      <c r="A1326" s="41">
        <v>4599</v>
      </c>
      <c r="B1326" s="42" t="s">
        <v>1692</v>
      </c>
      <c r="C1326" s="43" t="s">
        <v>289</v>
      </c>
      <c r="D1326" s="43" t="s">
        <v>1100</v>
      </c>
      <c r="E1326" s="43" t="s">
        <v>454</v>
      </c>
    </row>
    <row r="1327" spans="1:5" x14ac:dyDescent="0.25">
      <c r="A1327" s="41">
        <v>4602</v>
      </c>
      <c r="B1327" s="42" t="s">
        <v>1693</v>
      </c>
      <c r="C1327" s="43" t="s">
        <v>289</v>
      </c>
      <c r="D1327" s="43" t="s">
        <v>1100</v>
      </c>
      <c r="E1327" s="43" t="s">
        <v>454</v>
      </c>
    </row>
    <row r="1328" spans="1:5" x14ac:dyDescent="0.25">
      <c r="A1328" s="41">
        <v>4612</v>
      </c>
      <c r="B1328" s="42" t="s">
        <v>1694</v>
      </c>
      <c r="C1328" s="43" t="s">
        <v>289</v>
      </c>
      <c r="D1328" s="43" t="s">
        <v>468</v>
      </c>
      <c r="E1328" s="43" t="s">
        <v>336</v>
      </c>
    </row>
    <row r="1329" spans="1:5" x14ac:dyDescent="0.25">
      <c r="A1329" s="41">
        <v>4617</v>
      </c>
      <c r="B1329" s="42" t="s">
        <v>1695</v>
      </c>
      <c r="C1329" s="43" t="s">
        <v>289</v>
      </c>
      <c r="D1329" s="43" t="s">
        <v>327</v>
      </c>
      <c r="E1329" s="43" t="s">
        <v>336</v>
      </c>
    </row>
    <row r="1330" spans="1:5" x14ac:dyDescent="0.25">
      <c r="A1330" s="41">
        <v>4631</v>
      </c>
      <c r="B1330" s="42" t="s">
        <v>1696</v>
      </c>
      <c r="C1330" s="43" t="s">
        <v>289</v>
      </c>
      <c r="D1330" s="43" t="s">
        <v>694</v>
      </c>
      <c r="E1330" s="43" t="s">
        <v>336</v>
      </c>
    </row>
    <row r="1331" spans="1:5" x14ac:dyDescent="0.25">
      <c r="A1331" s="41">
        <v>4641</v>
      </c>
      <c r="B1331" s="42" t="s">
        <v>1697</v>
      </c>
      <c r="C1331" s="43" t="s">
        <v>289</v>
      </c>
      <c r="D1331" s="43" t="s">
        <v>327</v>
      </c>
      <c r="E1331" s="43" t="s">
        <v>230</v>
      </c>
    </row>
    <row r="1332" spans="1:5" x14ac:dyDescent="0.25">
      <c r="A1332" s="41">
        <v>4645</v>
      </c>
      <c r="B1332" s="42" t="s">
        <v>1698</v>
      </c>
      <c r="C1332" s="43" t="s">
        <v>289</v>
      </c>
      <c r="D1332" s="43" t="s">
        <v>333</v>
      </c>
      <c r="E1332" s="43" t="s">
        <v>531</v>
      </c>
    </row>
    <row r="1333" spans="1:5" x14ac:dyDescent="0.25">
      <c r="A1333" s="41">
        <v>4646</v>
      </c>
      <c r="B1333" s="42" t="s">
        <v>1699</v>
      </c>
      <c r="C1333" s="43" t="s">
        <v>289</v>
      </c>
      <c r="D1333" s="43" t="s">
        <v>333</v>
      </c>
      <c r="E1333" s="43" t="s">
        <v>531</v>
      </c>
    </row>
    <row r="1334" spans="1:5" x14ac:dyDescent="0.25">
      <c r="A1334" s="41">
        <v>4647</v>
      </c>
      <c r="B1334" s="42" t="s">
        <v>1700</v>
      </c>
      <c r="C1334" s="43" t="s">
        <v>289</v>
      </c>
      <c r="D1334" s="43" t="s">
        <v>333</v>
      </c>
      <c r="E1334" s="43" t="s">
        <v>230</v>
      </c>
    </row>
    <row r="1335" spans="1:5" x14ac:dyDescent="0.25">
      <c r="A1335" s="41">
        <v>4648</v>
      </c>
      <c r="B1335" s="42" t="s">
        <v>1701</v>
      </c>
      <c r="C1335" s="43" t="s">
        <v>289</v>
      </c>
      <c r="D1335" s="43" t="s">
        <v>694</v>
      </c>
      <c r="E1335" s="43" t="s">
        <v>230</v>
      </c>
    </row>
    <row r="1336" spans="1:5" x14ac:dyDescent="0.25">
      <c r="A1336" s="41">
        <v>4659</v>
      </c>
      <c r="B1336" s="42" t="s">
        <v>1702</v>
      </c>
      <c r="C1336" s="43" t="s">
        <v>289</v>
      </c>
      <c r="D1336" s="43" t="s">
        <v>333</v>
      </c>
      <c r="E1336" s="43" t="s">
        <v>230</v>
      </c>
    </row>
    <row r="1337" spans="1:5" x14ac:dyDescent="0.25">
      <c r="A1337" s="41">
        <v>4660</v>
      </c>
      <c r="B1337" s="42" t="s">
        <v>1703</v>
      </c>
      <c r="C1337" s="43" t="s">
        <v>289</v>
      </c>
      <c r="D1337" s="43" t="s">
        <v>333</v>
      </c>
      <c r="E1337" s="43" t="s">
        <v>230</v>
      </c>
    </row>
    <row r="1338" spans="1:5" x14ac:dyDescent="0.25">
      <c r="A1338" s="41">
        <v>4661</v>
      </c>
      <c r="B1338" s="42" t="s">
        <v>1704</v>
      </c>
      <c r="C1338" s="43" t="s">
        <v>289</v>
      </c>
      <c r="D1338" s="43" t="s">
        <v>327</v>
      </c>
      <c r="E1338" s="43" t="s">
        <v>230</v>
      </c>
    </row>
    <row r="1339" spans="1:5" x14ac:dyDescent="0.25">
      <c r="A1339" s="41">
        <v>4666</v>
      </c>
      <c r="B1339" s="42" t="s">
        <v>1705</v>
      </c>
      <c r="C1339" s="43" t="s">
        <v>289</v>
      </c>
      <c r="D1339" s="43" t="s">
        <v>1041</v>
      </c>
      <c r="E1339" s="43" t="s">
        <v>336</v>
      </c>
    </row>
    <row r="1340" spans="1:5" x14ac:dyDescent="0.25">
      <c r="A1340" s="41">
        <v>4673</v>
      </c>
      <c r="B1340" s="42" t="s">
        <v>1706</v>
      </c>
      <c r="C1340" s="43" t="s">
        <v>289</v>
      </c>
      <c r="D1340" s="43" t="s">
        <v>1141</v>
      </c>
      <c r="E1340" s="43" t="s">
        <v>230</v>
      </c>
    </row>
    <row r="1341" spans="1:5" x14ac:dyDescent="0.25">
      <c r="A1341" s="41">
        <v>4674</v>
      </c>
      <c r="B1341" s="42" t="s">
        <v>1707</v>
      </c>
      <c r="C1341" s="43" t="s">
        <v>289</v>
      </c>
      <c r="D1341" s="43" t="s">
        <v>1141</v>
      </c>
      <c r="E1341" s="43" t="s">
        <v>230</v>
      </c>
    </row>
    <row r="1342" spans="1:5" x14ac:dyDescent="0.25">
      <c r="A1342" s="41">
        <v>4675</v>
      </c>
      <c r="B1342" s="42" t="s">
        <v>1708</v>
      </c>
      <c r="C1342" s="43" t="s">
        <v>289</v>
      </c>
      <c r="D1342" s="43" t="s">
        <v>1141</v>
      </c>
      <c r="E1342" s="43" t="s">
        <v>230</v>
      </c>
    </row>
    <row r="1343" spans="1:5" x14ac:dyDescent="0.25">
      <c r="A1343" s="41">
        <v>4680</v>
      </c>
      <c r="B1343" s="42" t="s">
        <v>1709</v>
      </c>
      <c r="C1343" s="43" t="s">
        <v>289</v>
      </c>
      <c r="D1343" s="43" t="s">
        <v>1141</v>
      </c>
      <c r="E1343" s="43" t="s">
        <v>230</v>
      </c>
    </row>
    <row r="1344" spans="1:5" x14ac:dyDescent="0.25">
      <c r="A1344" s="41">
        <v>4690</v>
      </c>
      <c r="B1344" s="42" t="s">
        <v>1710</v>
      </c>
      <c r="C1344" s="43" t="s">
        <v>289</v>
      </c>
      <c r="D1344" s="43" t="s">
        <v>314</v>
      </c>
      <c r="E1344" s="43" t="s">
        <v>336</v>
      </c>
    </row>
    <row r="1345" spans="1:5" x14ac:dyDescent="0.25">
      <c r="A1345" s="41">
        <v>4697</v>
      </c>
      <c r="B1345" s="42" t="s">
        <v>1711</v>
      </c>
      <c r="C1345" s="43" t="s">
        <v>289</v>
      </c>
      <c r="D1345" s="43" t="s">
        <v>327</v>
      </c>
      <c r="E1345" s="43" t="s">
        <v>230</v>
      </c>
    </row>
    <row r="1346" spans="1:5" x14ac:dyDescent="0.25">
      <c r="A1346" s="41">
        <v>4704</v>
      </c>
      <c r="B1346" s="42" t="s">
        <v>1712</v>
      </c>
      <c r="C1346" s="43" t="s">
        <v>289</v>
      </c>
      <c r="D1346" s="43" t="s">
        <v>333</v>
      </c>
      <c r="E1346" s="43" t="s">
        <v>531</v>
      </c>
    </row>
    <row r="1347" spans="1:5" x14ac:dyDescent="0.25">
      <c r="A1347" s="41">
        <v>4707</v>
      </c>
      <c r="B1347" s="42" t="s">
        <v>1713</v>
      </c>
      <c r="C1347" s="43" t="s">
        <v>289</v>
      </c>
      <c r="D1347" s="43" t="s">
        <v>314</v>
      </c>
      <c r="E1347" s="43" t="s">
        <v>230</v>
      </c>
    </row>
    <row r="1348" spans="1:5" x14ac:dyDescent="0.25">
      <c r="A1348" s="41">
        <v>4708</v>
      </c>
      <c r="B1348" s="42" t="s">
        <v>1714</v>
      </c>
      <c r="C1348" s="43" t="s">
        <v>289</v>
      </c>
      <c r="D1348" s="43" t="s">
        <v>410</v>
      </c>
      <c r="E1348" s="43" t="s">
        <v>230</v>
      </c>
    </row>
    <row r="1349" spans="1:5" x14ac:dyDescent="0.25">
      <c r="A1349" s="41">
        <v>4711</v>
      </c>
      <c r="B1349" s="42" t="s">
        <v>1715</v>
      </c>
      <c r="C1349" s="43" t="s">
        <v>289</v>
      </c>
      <c r="D1349" s="43" t="s">
        <v>996</v>
      </c>
      <c r="E1349" s="43" t="s">
        <v>170</v>
      </c>
    </row>
    <row r="1350" spans="1:5" x14ac:dyDescent="0.25">
      <c r="A1350" s="41">
        <v>4712</v>
      </c>
      <c r="B1350" s="42" t="s">
        <v>1716</v>
      </c>
      <c r="C1350" s="43" t="s">
        <v>289</v>
      </c>
      <c r="D1350" s="43" t="s">
        <v>996</v>
      </c>
      <c r="E1350" s="43" t="s">
        <v>170</v>
      </c>
    </row>
    <row r="1351" spans="1:5" x14ac:dyDescent="0.25">
      <c r="A1351" s="41">
        <v>4721</v>
      </c>
      <c r="B1351" s="42" t="s">
        <v>1717</v>
      </c>
      <c r="C1351" s="43" t="s">
        <v>289</v>
      </c>
      <c r="D1351" s="43" t="s">
        <v>314</v>
      </c>
      <c r="E1351" s="43" t="s">
        <v>336</v>
      </c>
    </row>
    <row r="1352" spans="1:5" x14ac:dyDescent="0.25">
      <c r="A1352" s="41">
        <v>4722</v>
      </c>
      <c r="B1352" s="42" t="s">
        <v>1718</v>
      </c>
      <c r="C1352" s="43" t="s">
        <v>289</v>
      </c>
      <c r="D1352" s="43" t="s">
        <v>314</v>
      </c>
      <c r="E1352" s="43" t="s">
        <v>230</v>
      </c>
    </row>
    <row r="1353" spans="1:5" x14ac:dyDescent="0.25">
      <c r="A1353" s="41">
        <v>4733</v>
      </c>
      <c r="B1353" s="42" t="s">
        <v>1719</v>
      </c>
      <c r="C1353" s="43" t="s">
        <v>289</v>
      </c>
      <c r="D1353" s="43" t="s">
        <v>327</v>
      </c>
      <c r="E1353" s="43" t="s">
        <v>454</v>
      </c>
    </row>
    <row r="1354" spans="1:5" x14ac:dyDescent="0.25">
      <c r="A1354" s="41">
        <v>4734</v>
      </c>
      <c r="B1354" s="42" t="s">
        <v>1720</v>
      </c>
      <c r="C1354" s="43" t="s">
        <v>289</v>
      </c>
      <c r="D1354" s="43" t="s">
        <v>1100</v>
      </c>
      <c r="E1354" s="43" t="s">
        <v>454</v>
      </c>
    </row>
    <row r="1355" spans="1:5" x14ac:dyDescent="0.25">
      <c r="A1355" s="41">
        <v>4741</v>
      </c>
      <c r="B1355" s="42" t="s">
        <v>1721</v>
      </c>
      <c r="C1355" s="43" t="s">
        <v>289</v>
      </c>
      <c r="D1355" s="43" t="s">
        <v>327</v>
      </c>
      <c r="E1355" s="43" t="s">
        <v>864</v>
      </c>
    </row>
    <row r="1356" spans="1:5" x14ac:dyDescent="0.25">
      <c r="A1356" s="41">
        <v>4747</v>
      </c>
      <c r="B1356" s="42" t="s">
        <v>1722</v>
      </c>
      <c r="C1356" s="43" t="s">
        <v>289</v>
      </c>
      <c r="D1356" s="43" t="s">
        <v>1100</v>
      </c>
      <c r="E1356" s="43" t="s">
        <v>230</v>
      </c>
    </row>
    <row r="1357" spans="1:5" x14ac:dyDescent="0.25">
      <c r="A1357" s="41">
        <v>4748</v>
      </c>
      <c r="B1357" s="42" t="s">
        <v>1723</v>
      </c>
      <c r="C1357" s="43" t="s">
        <v>289</v>
      </c>
      <c r="D1357" s="43" t="s">
        <v>941</v>
      </c>
      <c r="E1357" s="43" t="s">
        <v>454</v>
      </c>
    </row>
    <row r="1358" spans="1:5" x14ac:dyDescent="0.25">
      <c r="A1358" s="41">
        <v>4756</v>
      </c>
      <c r="B1358" s="42" t="s">
        <v>1724</v>
      </c>
      <c r="C1358" s="43" t="s">
        <v>289</v>
      </c>
      <c r="D1358" s="43" t="s">
        <v>327</v>
      </c>
      <c r="E1358" s="43" t="s">
        <v>230</v>
      </c>
    </row>
    <row r="1359" spans="1:5" x14ac:dyDescent="0.25">
      <c r="A1359" s="41">
        <v>4757</v>
      </c>
      <c r="B1359" s="42" t="s">
        <v>1725</v>
      </c>
      <c r="C1359" s="43" t="s">
        <v>289</v>
      </c>
      <c r="D1359" s="43" t="s">
        <v>327</v>
      </c>
      <c r="E1359" s="43" t="s">
        <v>230</v>
      </c>
    </row>
    <row r="1360" spans="1:5" x14ac:dyDescent="0.25">
      <c r="A1360" s="41">
        <v>4758</v>
      </c>
      <c r="B1360" s="42" t="s">
        <v>1726</v>
      </c>
      <c r="C1360" s="43" t="s">
        <v>289</v>
      </c>
      <c r="D1360" s="43" t="s">
        <v>327</v>
      </c>
      <c r="E1360" s="43" t="s">
        <v>230</v>
      </c>
    </row>
    <row r="1361" spans="1:5" x14ac:dyDescent="0.25">
      <c r="A1361" s="41">
        <v>4761</v>
      </c>
      <c r="B1361" s="42" t="s">
        <v>1727</v>
      </c>
      <c r="C1361" s="43" t="s">
        <v>289</v>
      </c>
      <c r="D1361" s="43" t="s">
        <v>327</v>
      </c>
      <c r="E1361" s="43" t="s">
        <v>454</v>
      </c>
    </row>
    <row r="1362" spans="1:5" x14ac:dyDescent="0.25">
      <c r="A1362" s="41">
        <v>4762</v>
      </c>
      <c r="B1362" s="42" t="s">
        <v>1728</v>
      </c>
      <c r="C1362" s="43" t="s">
        <v>289</v>
      </c>
      <c r="D1362" s="43" t="s">
        <v>327</v>
      </c>
      <c r="E1362" s="43" t="s">
        <v>230</v>
      </c>
    </row>
    <row r="1363" spans="1:5" x14ac:dyDescent="0.25">
      <c r="A1363" s="41">
        <v>4766</v>
      </c>
      <c r="B1363" s="42" t="s">
        <v>1729</v>
      </c>
      <c r="C1363" s="43" t="s">
        <v>289</v>
      </c>
      <c r="D1363" s="43" t="s">
        <v>327</v>
      </c>
      <c r="E1363" s="43" t="s">
        <v>230</v>
      </c>
    </row>
    <row r="1364" spans="1:5" x14ac:dyDescent="0.25">
      <c r="A1364" s="41">
        <v>4767</v>
      </c>
      <c r="B1364" s="42" t="s">
        <v>1730</v>
      </c>
      <c r="C1364" s="43" t="s">
        <v>289</v>
      </c>
      <c r="D1364" s="43" t="s">
        <v>327</v>
      </c>
      <c r="E1364" s="43" t="s">
        <v>230</v>
      </c>
    </row>
    <row r="1365" spans="1:5" x14ac:dyDescent="0.25">
      <c r="A1365" s="41">
        <v>4783</v>
      </c>
      <c r="B1365" s="42" t="s">
        <v>1731</v>
      </c>
      <c r="C1365" s="43" t="s">
        <v>289</v>
      </c>
      <c r="D1365" s="43" t="s">
        <v>1041</v>
      </c>
      <c r="E1365" s="43" t="s">
        <v>454</v>
      </c>
    </row>
    <row r="1366" spans="1:5" x14ac:dyDescent="0.25">
      <c r="A1366" s="41">
        <v>4784</v>
      </c>
      <c r="B1366" s="42" t="s">
        <v>1732</v>
      </c>
      <c r="C1366" s="43" t="s">
        <v>289</v>
      </c>
      <c r="D1366" s="43" t="s">
        <v>468</v>
      </c>
      <c r="E1366" s="43" t="s">
        <v>464</v>
      </c>
    </row>
    <row r="1367" spans="1:5" x14ac:dyDescent="0.25">
      <c r="A1367" s="41">
        <v>4785</v>
      </c>
      <c r="B1367" s="42" t="s">
        <v>1733</v>
      </c>
      <c r="C1367" s="43" t="s">
        <v>289</v>
      </c>
      <c r="D1367" s="43" t="s">
        <v>1734</v>
      </c>
      <c r="E1367" s="43" t="s">
        <v>230</v>
      </c>
    </row>
    <row r="1368" spans="1:5" x14ac:dyDescent="0.25">
      <c r="A1368" s="41">
        <v>4786</v>
      </c>
      <c r="B1368" s="42" t="s">
        <v>1735</v>
      </c>
      <c r="C1368" s="43" t="s">
        <v>289</v>
      </c>
      <c r="D1368" s="43" t="s">
        <v>327</v>
      </c>
      <c r="E1368" s="43" t="s">
        <v>464</v>
      </c>
    </row>
    <row r="1369" spans="1:5" x14ac:dyDescent="0.25">
      <c r="A1369" s="41">
        <v>4793</v>
      </c>
      <c r="B1369" s="42" t="s">
        <v>1736</v>
      </c>
      <c r="C1369" s="43" t="s">
        <v>289</v>
      </c>
      <c r="D1369" s="43" t="s">
        <v>1100</v>
      </c>
      <c r="E1369" s="43" t="s">
        <v>170</v>
      </c>
    </row>
    <row r="1370" spans="1:5" x14ac:dyDescent="0.25">
      <c r="A1370" s="41">
        <v>4794</v>
      </c>
      <c r="B1370" s="42" t="s">
        <v>1737</v>
      </c>
      <c r="C1370" s="43" t="s">
        <v>289</v>
      </c>
      <c r="D1370" s="43" t="s">
        <v>290</v>
      </c>
      <c r="E1370" s="43" t="s">
        <v>230</v>
      </c>
    </row>
    <row r="1371" spans="1:5" x14ac:dyDescent="0.25">
      <c r="A1371" s="41">
        <v>4796</v>
      </c>
      <c r="B1371" s="42" t="s">
        <v>1738</v>
      </c>
      <c r="C1371" s="43" t="s">
        <v>289</v>
      </c>
      <c r="D1371" s="43" t="s">
        <v>314</v>
      </c>
      <c r="E1371" s="43" t="s">
        <v>230</v>
      </c>
    </row>
    <row r="1372" spans="1:5" x14ac:dyDescent="0.25">
      <c r="A1372" s="41">
        <v>4798</v>
      </c>
      <c r="B1372" s="42" t="s">
        <v>1739</v>
      </c>
      <c r="C1372" s="43" t="s">
        <v>289</v>
      </c>
      <c r="D1372" s="43" t="s">
        <v>327</v>
      </c>
      <c r="E1372" s="43" t="s">
        <v>230</v>
      </c>
    </row>
    <row r="1373" spans="1:5" x14ac:dyDescent="0.25">
      <c r="A1373" s="41">
        <v>4799</v>
      </c>
      <c r="B1373" s="42" t="s">
        <v>1740</v>
      </c>
      <c r="C1373" s="43" t="s">
        <v>289</v>
      </c>
      <c r="D1373" s="43" t="s">
        <v>811</v>
      </c>
      <c r="E1373" s="43" t="s">
        <v>230</v>
      </c>
    </row>
    <row r="1374" spans="1:5" x14ac:dyDescent="0.25">
      <c r="A1374" s="41">
        <v>4800</v>
      </c>
      <c r="B1374" s="42" t="s">
        <v>1741</v>
      </c>
      <c r="C1374" s="43" t="s">
        <v>289</v>
      </c>
      <c r="D1374" s="43" t="s">
        <v>474</v>
      </c>
      <c r="E1374" s="43" t="s">
        <v>373</v>
      </c>
    </row>
    <row r="1375" spans="1:5" x14ac:dyDescent="0.25">
      <c r="A1375" s="41">
        <v>4803</v>
      </c>
      <c r="B1375" s="42" t="s">
        <v>1742</v>
      </c>
      <c r="C1375" s="43" t="s">
        <v>289</v>
      </c>
      <c r="D1375" s="43" t="s">
        <v>327</v>
      </c>
      <c r="E1375" s="43" t="s">
        <v>230</v>
      </c>
    </row>
    <row r="1376" spans="1:5" x14ac:dyDescent="0.25">
      <c r="A1376" s="41">
        <v>4804</v>
      </c>
      <c r="B1376" s="42" t="s">
        <v>1743</v>
      </c>
      <c r="C1376" s="43" t="s">
        <v>289</v>
      </c>
      <c r="D1376" s="43" t="s">
        <v>327</v>
      </c>
      <c r="E1376" s="43" t="s">
        <v>230</v>
      </c>
    </row>
    <row r="1377" spans="1:5" x14ac:dyDescent="0.25">
      <c r="A1377" s="41">
        <v>4805</v>
      </c>
      <c r="B1377" s="42" t="s">
        <v>1744</v>
      </c>
      <c r="C1377" s="43" t="s">
        <v>289</v>
      </c>
      <c r="D1377" s="43" t="s">
        <v>327</v>
      </c>
      <c r="E1377" s="43" t="s">
        <v>230</v>
      </c>
    </row>
    <row r="1378" spans="1:5" x14ac:dyDescent="0.25">
      <c r="A1378" s="41">
        <v>4806</v>
      </c>
      <c r="B1378" s="42" t="s">
        <v>1745</v>
      </c>
      <c r="C1378" s="43" t="s">
        <v>289</v>
      </c>
      <c r="D1378" s="43" t="s">
        <v>474</v>
      </c>
      <c r="E1378" s="43" t="s">
        <v>373</v>
      </c>
    </row>
    <row r="1379" spans="1:5" x14ac:dyDescent="0.25">
      <c r="A1379" s="41">
        <v>4811</v>
      </c>
      <c r="B1379" s="42" t="s">
        <v>1746</v>
      </c>
      <c r="C1379" s="43" t="s">
        <v>289</v>
      </c>
      <c r="D1379" s="43" t="s">
        <v>474</v>
      </c>
      <c r="E1379" s="43" t="s">
        <v>230</v>
      </c>
    </row>
    <row r="1380" spans="1:5" x14ac:dyDescent="0.25">
      <c r="A1380" s="41">
        <v>4812</v>
      </c>
      <c r="B1380" s="42" t="s">
        <v>1747</v>
      </c>
      <c r="C1380" s="43" t="s">
        <v>289</v>
      </c>
      <c r="D1380" s="43" t="s">
        <v>474</v>
      </c>
      <c r="E1380" s="43" t="s">
        <v>230</v>
      </c>
    </row>
    <row r="1381" spans="1:5" x14ac:dyDescent="0.25">
      <c r="A1381" s="41">
        <v>4819</v>
      </c>
      <c r="B1381" s="42" t="s">
        <v>1748</v>
      </c>
      <c r="C1381" s="43" t="s">
        <v>289</v>
      </c>
      <c r="D1381" s="43" t="s">
        <v>694</v>
      </c>
      <c r="E1381" s="43" t="s">
        <v>464</v>
      </c>
    </row>
    <row r="1382" spans="1:5" x14ac:dyDescent="0.25">
      <c r="A1382" s="41">
        <v>4820</v>
      </c>
      <c r="B1382" s="42" t="s">
        <v>1749</v>
      </c>
      <c r="C1382" s="43" t="s">
        <v>289</v>
      </c>
      <c r="D1382" s="43" t="s">
        <v>694</v>
      </c>
      <c r="E1382" s="43" t="s">
        <v>464</v>
      </c>
    </row>
    <row r="1383" spans="1:5" x14ac:dyDescent="0.25">
      <c r="A1383" s="41">
        <v>4821</v>
      </c>
      <c r="B1383" s="42" t="s">
        <v>1750</v>
      </c>
      <c r="C1383" s="43" t="s">
        <v>289</v>
      </c>
      <c r="D1383" s="43" t="s">
        <v>316</v>
      </c>
      <c r="E1383" s="43" t="s">
        <v>170</v>
      </c>
    </row>
    <row r="1384" spans="1:5" x14ac:dyDescent="0.25">
      <c r="A1384" s="41">
        <v>4822</v>
      </c>
      <c r="B1384" s="42" t="s">
        <v>1751</v>
      </c>
      <c r="C1384" s="43" t="s">
        <v>289</v>
      </c>
      <c r="D1384" s="43" t="s">
        <v>316</v>
      </c>
      <c r="E1384" s="43" t="s">
        <v>230</v>
      </c>
    </row>
    <row r="1385" spans="1:5" x14ac:dyDescent="0.25">
      <c r="A1385" s="41">
        <v>4823</v>
      </c>
      <c r="B1385" s="42" t="s">
        <v>1752</v>
      </c>
      <c r="C1385" s="43" t="s">
        <v>289</v>
      </c>
      <c r="D1385" s="43" t="s">
        <v>996</v>
      </c>
      <c r="E1385" s="43" t="s">
        <v>230</v>
      </c>
    </row>
    <row r="1386" spans="1:5" x14ac:dyDescent="0.25">
      <c r="A1386" s="41">
        <v>4824</v>
      </c>
      <c r="B1386" s="42" t="s">
        <v>1753</v>
      </c>
      <c r="C1386" s="43" t="s">
        <v>289</v>
      </c>
      <c r="D1386" s="43" t="s">
        <v>996</v>
      </c>
      <c r="E1386" s="43" t="s">
        <v>373</v>
      </c>
    </row>
    <row r="1387" spans="1:5" x14ac:dyDescent="0.25">
      <c r="A1387" s="41">
        <v>4825</v>
      </c>
      <c r="B1387" s="42" t="s">
        <v>1754</v>
      </c>
      <c r="C1387" s="43" t="s">
        <v>289</v>
      </c>
      <c r="D1387" s="43" t="s">
        <v>996</v>
      </c>
      <c r="E1387" s="43" t="s">
        <v>373</v>
      </c>
    </row>
    <row r="1388" spans="1:5" x14ac:dyDescent="0.25">
      <c r="A1388" s="41">
        <v>4826</v>
      </c>
      <c r="B1388" s="42" t="s">
        <v>1755</v>
      </c>
      <c r="C1388" s="43" t="s">
        <v>289</v>
      </c>
      <c r="D1388" s="43" t="s">
        <v>468</v>
      </c>
      <c r="E1388" s="43" t="s">
        <v>230</v>
      </c>
    </row>
    <row r="1389" spans="1:5" x14ac:dyDescent="0.25">
      <c r="A1389" s="41">
        <v>4828</v>
      </c>
      <c r="B1389" s="42" t="s">
        <v>1756</v>
      </c>
      <c r="C1389" s="43" t="s">
        <v>289</v>
      </c>
      <c r="D1389" s="43" t="s">
        <v>468</v>
      </c>
      <c r="E1389" s="43" t="s">
        <v>230</v>
      </c>
    </row>
    <row r="1390" spans="1:5" x14ac:dyDescent="0.25">
      <c r="A1390" s="41">
        <v>4829</v>
      </c>
      <c r="B1390" s="42" t="s">
        <v>1757</v>
      </c>
      <c r="C1390" s="43" t="s">
        <v>289</v>
      </c>
      <c r="D1390" s="43" t="s">
        <v>327</v>
      </c>
      <c r="E1390" s="43" t="s">
        <v>230</v>
      </c>
    </row>
    <row r="1391" spans="1:5" x14ac:dyDescent="0.25">
      <c r="A1391" s="41">
        <v>4831</v>
      </c>
      <c r="B1391" s="42" t="s">
        <v>1758</v>
      </c>
      <c r="C1391" s="43" t="s">
        <v>289</v>
      </c>
      <c r="D1391" s="43" t="s">
        <v>316</v>
      </c>
      <c r="E1391" s="43" t="s">
        <v>230</v>
      </c>
    </row>
    <row r="1392" spans="1:5" x14ac:dyDescent="0.25">
      <c r="A1392" s="41">
        <v>4832</v>
      </c>
      <c r="B1392" s="42" t="s">
        <v>1759</v>
      </c>
      <c r="C1392" s="43" t="s">
        <v>289</v>
      </c>
      <c r="D1392" s="43" t="s">
        <v>468</v>
      </c>
      <c r="E1392" s="43" t="s">
        <v>864</v>
      </c>
    </row>
    <row r="1393" spans="1:5" x14ac:dyDescent="0.25">
      <c r="A1393" s="41">
        <v>4836</v>
      </c>
      <c r="B1393" s="42" t="s">
        <v>1760</v>
      </c>
      <c r="C1393" s="43" t="s">
        <v>289</v>
      </c>
      <c r="D1393" s="43" t="s">
        <v>316</v>
      </c>
      <c r="E1393" s="43" t="s">
        <v>230</v>
      </c>
    </row>
    <row r="1394" spans="1:5" x14ac:dyDescent="0.25">
      <c r="A1394" s="41">
        <v>4839</v>
      </c>
      <c r="B1394" s="42" t="s">
        <v>1761</v>
      </c>
      <c r="C1394" s="43" t="s">
        <v>289</v>
      </c>
      <c r="D1394" s="43" t="s">
        <v>316</v>
      </c>
      <c r="E1394" s="43" t="s">
        <v>230</v>
      </c>
    </row>
    <row r="1395" spans="1:5" x14ac:dyDescent="0.25">
      <c r="A1395" s="41">
        <v>4840</v>
      </c>
      <c r="B1395" s="42" t="s">
        <v>1762</v>
      </c>
      <c r="C1395" s="43" t="s">
        <v>289</v>
      </c>
      <c r="D1395" s="43" t="s">
        <v>316</v>
      </c>
      <c r="E1395" s="43" t="s">
        <v>230</v>
      </c>
    </row>
    <row r="1396" spans="1:5" x14ac:dyDescent="0.25">
      <c r="A1396" s="41">
        <v>4841</v>
      </c>
      <c r="B1396" s="42" t="s">
        <v>1763</v>
      </c>
      <c r="C1396" s="43" t="s">
        <v>289</v>
      </c>
      <c r="D1396" s="43" t="s">
        <v>316</v>
      </c>
      <c r="E1396" s="43" t="s">
        <v>454</v>
      </c>
    </row>
    <row r="1397" spans="1:5" x14ac:dyDescent="0.25">
      <c r="A1397" s="41">
        <v>4842</v>
      </c>
      <c r="B1397" s="42" t="s">
        <v>1764</v>
      </c>
      <c r="C1397" s="43" t="s">
        <v>289</v>
      </c>
      <c r="D1397" s="43" t="s">
        <v>316</v>
      </c>
      <c r="E1397" s="43" t="s">
        <v>454</v>
      </c>
    </row>
    <row r="1398" spans="1:5" x14ac:dyDescent="0.25">
      <c r="A1398" s="41">
        <v>4845</v>
      </c>
      <c r="B1398" s="42" t="s">
        <v>1765</v>
      </c>
      <c r="C1398" s="43" t="s">
        <v>289</v>
      </c>
      <c r="D1398" s="43" t="s">
        <v>316</v>
      </c>
      <c r="E1398" s="43" t="s">
        <v>454</v>
      </c>
    </row>
    <row r="1399" spans="1:5" x14ac:dyDescent="0.25">
      <c r="A1399" s="41">
        <v>4846</v>
      </c>
      <c r="B1399" s="42" t="s">
        <v>1766</v>
      </c>
      <c r="C1399" s="43" t="s">
        <v>289</v>
      </c>
      <c r="D1399" s="43" t="s">
        <v>468</v>
      </c>
      <c r="E1399" s="43" t="s">
        <v>230</v>
      </c>
    </row>
    <row r="1400" spans="1:5" x14ac:dyDescent="0.25">
      <c r="A1400" s="41">
        <v>4847</v>
      </c>
      <c r="B1400" s="42" t="s">
        <v>1767</v>
      </c>
      <c r="C1400" s="43" t="s">
        <v>289</v>
      </c>
      <c r="D1400" s="43" t="s">
        <v>316</v>
      </c>
      <c r="E1400" s="43" t="s">
        <v>454</v>
      </c>
    </row>
    <row r="1401" spans="1:5" x14ac:dyDescent="0.25">
      <c r="A1401" s="41">
        <v>4850</v>
      </c>
      <c r="B1401" s="42" t="s">
        <v>1768</v>
      </c>
      <c r="C1401" s="43" t="s">
        <v>289</v>
      </c>
      <c r="D1401" s="43" t="s">
        <v>316</v>
      </c>
      <c r="E1401" s="43" t="s">
        <v>454</v>
      </c>
    </row>
    <row r="1402" spans="1:5" x14ac:dyDescent="0.25">
      <c r="A1402" s="41">
        <v>4851</v>
      </c>
      <c r="B1402" s="42" t="s">
        <v>1769</v>
      </c>
      <c r="C1402" s="43" t="s">
        <v>289</v>
      </c>
      <c r="D1402" s="43" t="s">
        <v>316</v>
      </c>
      <c r="E1402" s="43" t="s">
        <v>454</v>
      </c>
    </row>
    <row r="1403" spans="1:5" x14ac:dyDescent="0.25">
      <c r="A1403" s="41">
        <v>4856</v>
      </c>
      <c r="B1403" s="42" t="s">
        <v>1770</v>
      </c>
      <c r="C1403" s="43" t="s">
        <v>289</v>
      </c>
      <c r="D1403" s="43" t="s">
        <v>327</v>
      </c>
      <c r="E1403" s="43" t="s">
        <v>464</v>
      </c>
    </row>
    <row r="1404" spans="1:5" x14ac:dyDescent="0.25">
      <c r="A1404" s="41">
        <v>4857</v>
      </c>
      <c r="B1404" s="42" t="s">
        <v>1771</v>
      </c>
      <c r="C1404" s="43" t="s">
        <v>289</v>
      </c>
      <c r="D1404" s="43" t="s">
        <v>327</v>
      </c>
      <c r="E1404" s="43" t="s">
        <v>464</v>
      </c>
    </row>
    <row r="1405" spans="1:5" x14ac:dyDescent="0.25">
      <c r="A1405" s="41">
        <v>4858</v>
      </c>
      <c r="B1405" s="42" t="s">
        <v>1772</v>
      </c>
      <c r="C1405" s="43" t="s">
        <v>289</v>
      </c>
      <c r="D1405" s="43" t="s">
        <v>327</v>
      </c>
      <c r="E1405" s="43" t="s">
        <v>464</v>
      </c>
    </row>
    <row r="1406" spans="1:5" x14ac:dyDescent="0.25">
      <c r="A1406" s="41">
        <v>4860</v>
      </c>
      <c r="B1406" s="42" t="s">
        <v>1773</v>
      </c>
      <c r="C1406" s="43" t="s">
        <v>289</v>
      </c>
      <c r="D1406" s="43" t="s">
        <v>290</v>
      </c>
      <c r="E1406" s="43" t="s">
        <v>230</v>
      </c>
    </row>
    <row r="1407" spans="1:5" x14ac:dyDescent="0.25">
      <c r="A1407" s="41">
        <v>4861</v>
      </c>
      <c r="B1407" s="42" t="s">
        <v>1774</v>
      </c>
      <c r="C1407" s="43" t="s">
        <v>289</v>
      </c>
      <c r="D1407" s="43" t="s">
        <v>694</v>
      </c>
      <c r="E1407" s="43" t="s">
        <v>464</v>
      </c>
    </row>
    <row r="1408" spans="1:5" x14ac:dyDescent="0.25">
      <c r="A1408" s="41">
        <v>4862</v>
      </c>
      <c r="B1408" s="42" t="s">
        <v>1775</v>
      </c>
      <c r="C1408" s="43" t="s">
        <v>289</v>
      </c>
      <c r="D1408" s="43" t="s">
        <v>694</v>
      </c>
      <c r="E1408" s="43" t="s">
        <v>464</v>
      </c>
    </row>
    <row r="1409" spans="1:5" x14ac:dyDescent="0.25">
      <c r="A1409" s="41">
        <v>4863</v>
      </c>
      <c r="B1409" s="42" t="s">
        <v>1776</v>
      </c>
      <c r="C1409" s="43" t="s">
        <v>289</v>
      </c>
      <c r="D1409" s="43" t="s">
        <v>694</v>
      </c>
      <c r="E1409" s="43" t="s">
        <v>464</v>
      </c>
    </row>
    <row r="1410" spans="1:5" x14ac:dyDescent="0.25">
      <c r="A1410" s="41">
        <v>4865</v>
      </c>
      <c r="B1410" s="42" t="s">
        <v>1777</v>
      </c>
      <c r="C1410" s="43" t="s">
        <v>289</v>
      </c>
      <c r="D1410" s="43" t="s">
        <v>811</v>
      </c>
      <c r="E1410" s="43" t="s">
        <v>464</v>
      </c>
    </row>
    <row r="1411" spans="1:5" x14ac:dyDescent="0.25">
      <c r="A1411" s="41">
        <v>4866</v>
      </c>
      <c r="B1411" s="42" t="s">
        <v>1778</v>
      </c>
      <c r="C1411" s="43" t="s">
        <v>289</v>
      </c>
      <c r="D1411" s="43" t="s">
        <v>1779</v>
      </c>
      <c r="E1411" s="43" t="s">
        <v>464</v>
      </c>
    </row>
    <row r="1412" spans="1:5" x14ac:dyDescent="0.25">
      <c r="A1412" s="41">
        <v>4867</v>
      </c>
      <c r="B1412" s="42" t="s">
        <v>1780</v>
      </c>
      <c r="C1412" s="43" t="s">
        <v>289</v>
      </c>
      <c r="D1412" s="43" t="s">
        <v>1779</v>
      </c>
      <c r="E1412" s="43" t="s">
        <v>464</v>
      </c>
    </row>
    <row r="1413" spans="1:5" x14ac:dyDescent="0.25">
      <c r="A1413" s="41">
        <v>4868</v>
      </c>
      <c r="B1413" s="42" t="s">
        <v>1781</v>
      </c>
      <c r="C1413" s="43" t="s">
        <v>289</v>
      </c>
      <c r="D1413" s="43" t="s">
        <v>1779</v>
      </c>
      <c r="E1413" s="43" t="s">
        <v>464</v>
      </c>
    </row>
    <row r="1414" spans="1:5" x14ac:dyDescent="0.25">
      <c r="A1414" s="41">
        <v>4869</v>
      </c>
      <c r="B1414" s="42" t="s">
        <v>1782</v>
      </c>
      <c r="C1414" s="43" t="s">
        <v>289</v>
      </c>
      <c r="D1414" s="43" t="s">
        <v>1779</v>
      </c>
      <c r="E1414" s="43" t="s">
        <v>464</v>
      </c>
    </row>
    <row r="1415" spans="1:5" x14ac:dyDescent="0.25">
      <c r="A1415" s="41">
        <v>4870</v>
      </c>
      <c r="B1415" s="42" t="s">
        <v>1783</v>
      </c>
      <c r="C1415" s="43" t="s">
        <v>289</v>
      </c>
      <c r="D1415" s="43" t="s">
        <v>1779</v>
      </c>
      <c r="E1415" s="43" t="s">
        <v>464</v>
      </c>
    </row>
    <row r="1416" spans="1:5" x14ac:dyDescent="0.25">
      <c r="A1416" s="41">
        <v>4872</v>
      </c>
      <c r="B1416" s="42" t="s">
        <v>1784</v>
      </c>
      <c r="C1416" s="43" t="s">
        <v>289</v>
      </c>
      <c r="D1416" s="43" t="s">
        <v>327</v>
      </c>
      <c r="E1416" s="43" t="s">
        <v>464</v>
      </c>
    </row>
    <row r="1417" spans="1:5" x14ac:dyDescent="0.25">
      <c r="A1417" s="41">
        <v>4875</v>
      </c>
      <c r="B1417" s="42" t="s">
        <v>1785</v>
      </c>
      <c r="C1417" s="43" t="s">
        <v>289</v>
      </c>
      <c r="D1417" s="43" t="s">
        <v>327</v>
      </c>
      <c r="E1417" s="43" t="s">
        <v>464</v>
      </c>
    </row>
    <row r="1418" spans="1:5" x14ac:dyDescent="0.25">
      <c r="A1418" s="41">
        <v>4876</v>
      </c>
      <c r="B1418" s="42" t="s">
        <v>1786</v>
      </c>
      <c r="C1418" s="43" t="s">
        <v>289</v>
      </c>
      <c r="D1418" s="43" t="s">
        <v>811</v>
      </c>
      <c r="E1418" s="43" t="s">
        <v>230</v>
      </c>
    </row>
    <row r="1419" spans="1:5" x14ac:dyDescent="0.25">
      <c r="A1419" s="41">
        <v>4878</v>
      </c>
      <c r="B1419" s="42" t="s">
        <v>1787</v>
      </c>
      <c r="C1419" s="43" t="s">
        <v>289</v>
      </c>
      <c r="D1419" s="43" t="s">
        <v>327</v>
      </c>
      <c r="E1419" s="43" t="s">
        <v>230</v>
      </c>
    </row>
    <row r="1420" spans="1:5" x14ac:dyDescent="0.25">
      <c r="A1420" s="41">
        <v>4879</v>
      </c>
      <c r="B1420" s="42" t="s">
        <v>1788</v>
      </c>
      <c r="C1420" s="43" t="s">
        <v>289</v>
      </c>
      <c r="D1420" s="43" t="s">
        <v>845</v>
      </c>
      <c r="E1420" s="43" t="s">
        <v>230</v>
      </c>
    </row>
    <row r="1421" spans="1:5" x14ac:dyDescent="0.25">
      <c r="A1421" s="41">
        <v>4882</v>
      </c>
      <c r="B1421" s="42" t="s">
        <v>1789</v>
      </c>
      <c r="C1421" s="43" t="s">
        <v>289</v>
      </c>
      <c r="D1421" s="43" t="s">
        <v>327</v>
      </c>
      <c r="E1421" s="43" t="s">
        <v>230</v>
      </c>
    </row>
    <row r="1422" spans="1:5" x14ac:dyDescent="0.25">
      <c r="A1422" s="41">
        <v>4883</v>
      </c>
      <c r="B1422" s="42" t="s">
        <v>1790</v>
      </c>
      <c r="C1422" s="43" t="s">
        <v>289</v>
      </c>
      <c r="D1422" s="43" t="s">
        <v>314</v>
      </c>
      <c r="E1422" s="43" t="s">
        <v>230</v>
      </c>
    </row>
    <row r="1423" spans="1:5" x14ac:dyDescent="0.25">
      <c r="A1423" s="41">
        <v>4887</v>
      </c>
      <c r="B1423" s="42" t="s">
        <v>1791</v>
      </c>
      <c r="C1423" s="43" t="s">
        <v>289</v>
      </c>
      <c r="D1423" s="43" t="s">
        <v>327</v>
      </c>
      <c r="E1423" s="43" t="s">
        <v>230</v>
      </c>
    </row>
    <row r="1424" spans="1:5" x14ac:dyDescent="0.25">
      <c r="A1424" s="41">
        <v>4888</v>
      </c>
      <c r="B1424" s="42" t="s">
        <v>1792</v>
      </c>
      <c r="C1424" s="43" t="s">
        <v>289</v>
      </c>
      <c r="D1424" s="43" t="s">
        <v>996</v>
      </c>
      <c r="E1424" s="43" t="s">
        <v>336</v>
      </c>
    </row>
    <row r="1425" spans="1:5" x14ac:dyDescent="0.25">
      <c r="A1425" s="41">
        <v>4890</v>
      </c>
      <c r="B1425" s="42" t="s">
        <v>1793</v>
      </c>
      <c r="C1425" s="43" t="s">
        <v>289</v>
      </c>
      <c r="D1425" s="43" t="s">
        <v>316</v>
      </c>
      <c r="E1425" s="43" t="s">
        <v>230</v>
      </c>
    </row>
    <row r="1426" spans="1:5" x14ac:dyDescent="0.25">
      <c r="A1426" s="41">
        <v>4891</v>
      </c>
      <c r="B1426" s="42" t="s">
        <v>1794</v>
      </c>
      <c r="C1426" s="43" t="s">
        <v>289</v>
      </c>
      <c r="D1426" s="43" t="s">
        <v>1100</v>
      </c>
      <c r="E1426" s="43" t="s">
        <v>531</v>
      </c>
    </row>
    <row r="1427" spans="1:5" x14ac:dyDescent="0.25">
      <c r="A1427" s="41">
        <v>4892</v>
      </c>
      <c r="B1427" s="42" t="s">
        <v>1795</v>
      </c>
      <c r="C1427" s="43" t="s">
        <v>289</v>
      </c>
      <c r="D1427" s="43" t="s">
        <v>1100</v>
      </c>
      <c r="E1427" s="43" t="s">
        <v>531</v>
      </c>
    </row>
    <row r="1428" spans="1:5" x14ac:dyDescent="0.25">
      <c r="A1428" s="41">
        <v>4893</v>
      </c>
      <c r="B1428" s="42" t="s">
        <v>1796</v>
      </c>
      <c r="C1428" s="43" t="s">
        <v>289</v>
      </c>
      <c r="D1428" s="43" t="s">
        <v>1100</v>
      </c>
      <c r="E1428" s="43" t="s">
        <v>531</v>
      </c>
    </row>
    <row r="1429" spans="1:5" x14ac:dyDescent="0.25">
      <c r="A1429" s="41">
        <v>4894</v>
      </c>
      <c r="B1429" s="42" t="s">
        <v>1797</v>
      </c>
      <c r="C1429" s="43" t="s">
        <v>289</v>
      </c>
      <c r="D1429" s="43" t="s">
        <v>1100</v>
      </c>
      <c r="E1429" s="43" t="s">
        <v>531</v>
      </c>
    </row>
    <row r="1430" spans="1:5" x14ac:dyDescent="0.25">
      <c r="A1430" s="41">
        <v>4895</v>
      </c>
      <c r="B1430" s="42" t="s">
        <v>1798</v>
      </c>
      <c r="C1430" s="43" t="s">
        <v>289</v>
      </c>
      <c r="D1430" s="43" t="s">
        <v>1100</v>
      </c>
      <c r="E1430" s="43" t="s">
        <v>217</v>
      </c>
    </row>
    <row r="1431" spans="1:5" x14ac:dyDescent="0.25">
      <c r="A1431" s="41">
        <v>4904</v>
      </c>
      <c r="B1431" s="42" t="s">
        <v>1799</v>
      </c>
      <c r="C1431" s="43" t="s">
        <v>289</v>
      </c>
      <c r="D1431" s="43" t="s">
        <v>327</v>
      </c>
      <c r="E1431" s="43" t="s">
        <v>864</v>
      </c>
    </row>
    <row r="1432" spans="1:5" x14ac:dyDescent="0.25">
      <c r="A1432" s="41">
        <v>4906</v>
      </c>
      <c r="B1432" s="42" t="s">
        <v>1800</v>
      </c>
      <c r="C1432" s="43" t="s">
        <v>289</v>
      </c>
      <c r="D1432" s="43" t="s">
        <v>327</v>
      </c>
      <c r="E1432" s="43" t="s">
        <v>464</v>
      </c>
    </row>
    <row r="1433" spans="1:5" x14ac:dyDescent="0.25">
      <c r="A1433" s="41">
        <v>4910</v>
      </c>
      <c r="B1433" s="42" t="s">
        <v>1801</v>
      </c>
      <c r="C1433" s="43" t="s">
        <v>289</v>
      </c>
      <c r="D1433" s="43" t="s">
        <v>316</v>
      </c>
      <c r="E1433" s="43" t="s">
        <v>454</v>
      </c>
    </row>
    <row r="1434" spans="1:5" x14ac:dyDescent="0.25">
      <c r="A1434" s="41">
        <v>4915</v>
      </c>
      <c r="B1434" s="42" t="s">
        <v>1802</v>
      </c>
      <c r="C1434" s="43" t="s">
        <v>289</v>
      </c>
      <c r="D1434" s="43" t="s">
        <v>763</v>
      </c>
      <c r="E1434" s="43" t="s">
        <v>230</v>
      </c>
    </row>
    <row r="1435" spans="1:5" x14ac:dyDescent="0.25">
      <c r="A1435" s="41">
        <v>4917</v>
      </c>
      <c r="B1435" s="42" t="s">
        <v>1803</v>
      </c>
      <c r="C1435" s="43" t="s">
        <v>289</v>
      </c>
      <c r="D1435" s="43" t="s">
        <v>327</v>
      </c>
      <c r="E1435" s="43" t="s">
        <v>230</v>
      </c>
    </row>
    <row r="1436" spans="1:5" x14ac:dyDescent="0.25">
      <c r="A1436" s="41">
        <v>4918</v>
      </c>
      <c r="B1436" s="42" t="s">
        <v>1804</v>
      </c>
      <c r="C1436" s="43" t="s">
        <v>289</v>
      </c>
      <c r="D1436" s="43" t="s">
        <v>327</v>
      </c>
      <c r="E1436" s="43" t="s">
        <v>230</v>
      </c>
    </row>
    <row r="1437" spans="1:5" x14ac:dyDescent="0.25">
      <c r="A1437" s="41">
        <v>4924</v>
      </c>
      <c r="B1437" s="42" t="s">
        <v>1805</v>
      </c>
      <c r="C1437" s="43" t="s">
        <v>289</v>
      </c>
      <c r="D1437" s="43" t="s">
        <v>316</v>
      </c>
      <c r="E1437" s="43" t="s">
        <v>230</v>
      </c>
    </row>
    <row r="1438" spans="1:5" x14ac:dyDescent="0.25">
      <c r="A1438" s="41">
        <v>4925</v>
      </c>
      <c r="B1438" s="42" t="s">
        <v>1806</v>
      </c>
      <c r="C1438" s="43" t="s">
        <v>289</v>
      </c>
      <c r="D1438" s="43" t="s">
        <v>316</v>
      </c>
      <c r="E1438" s="43" t="s">
        <v>454</v>
      </c>
    </row>
    <row r="1439" spans="1:5" x14ac:dyDescent="0.25">
      <c r="A1439" s="41">
        <v>4928</v>
      </c>
      <c r="B1439" s="42" t="s">
        <v>1807</v>
      </c>
      <c r="C1439" s="43" t="s">
        <v>289</v>
      </c>
      <c r="D1439" s="43" t="s">
        <v>316</v>
      </c>
      <c r="E1439" s="43" t="s">
        <v>454</v>
      </c>
    </row>
    <row r="1440" spans="1:5" x14ac:dyDescent="0.25">
      <c r="A1440" s="41">
        <v>4929</v>
      </c>
      <c r="B1440" s="42" t="s">
        <v>1808</v>
      </c>
      <c r="C1440" s="43" t="s">
        <v>289</v>
      </c>
      <c r="D1440" s="43" t="s">
        <v>316</v>
      </c>
      <c r="E1440" s="43" t="s">
        <v>454</v>
      </c>
    </row>
    <row r="1441" spans="1:5" x14ac:dyDescent="0.25">
      <c r="A1441" s="41">
        <v>4931</v>
      </c>
      <c r="B1441" s="42" t="s">
        <v>1809</v>
      </c>
      <c r="C1441" s="43" t="s">
        <v>289</v>
      </c>
      <c r="D1441" s="43" t="s">
        <v>316</v>
      </c>
      <c r="E1441" s="43" t="s">
        <v>454</v>
      </c>
    </row>
    <row r="1442" spans="1:5" x14ac:dyDescent="0.25">
      <c r="A1442" s="41">
        <v>4933</v>
      </c>
      <c r="B1442" s="42" t="s">
        <v>1810</v>
      </c>
      <c r="C1442" s="43" t="s">
        <v>289</v>
      </c>
      <c r="D1442" s="43" t="s">
        <v>316</v>
      </c>
      <c r="E1442" s="43" t="s">
        <v>454</v>
      </c>
    </row>
    <row r="1443" spans="1:5" x14ac:dyDescent="0.25">
      <c r="A1443" s="41">
        <v>4934</v>
      </c>
      <c r="B1443" s="42" t="s">
        <v>1811</v>
      </c>
      <c r="C1443" s="43" t="s">
        <v>289</v>
      </c>
      <c r="D1443" s="43" t="s">
        <v>316</v>
      </c>
      <c r="E1443" s="43" t="s">
        <v>230</v>
      </c>
    </row>
    <row r="1444" spans="1:5" x14ac:dyDescent="0.25">
      <c r="A1444" s="41">
        <v>4935</v>
      </c>
      <c r="B1444" s="42" t="s">
        <v>1812</v>
      </c>
      <c r="C1444" s="43" t="s">
        <v>289</v>
      </c>
      <c r="D1444" s="43" t="s">
        <v>316</v>
      </c>
      <c r="E1444" s="43" t="s">
        <v>230</v>
      </c>
    </row>
    <row r="1445" spans="1:5" x14ac:dyDescent="0.25">
      <c r="A1445" s="41">
        <v>4936</v>
      </c>
      <c r="B1445" s="42" t="s">
        <v>1813</v>
      </c>
      <c r="C1445" s="43" t="s">
        <v>289</v>
      </c>
      <c r="D1445" s="43" t="s">
        <v>316</v>
      </c>
      <c r="E1445" s="43" t="s">
        <v>454</v>
      </c>
    </row>
    <row r="1446" spans="1:5" x14ac:dyDescent="0.25">
      <c r="A1446" s="41">
        <v>4937</v>
      </c>
      <c r="B1446" s="42" t="s">
        <v>1814</v>
      </c>
      <c r="C1446" s="43" t="s">
        <v>289</v>
      </c>
      <c r="D1446" s="43" t="s">
        <v>316</v>
      </c>
      <c r="E1446" s="43" t="s">
        <v>454</v>
      </c>
    </row>
    <row r="1447" spans="1:5" x14ac:dyDescent="0.25">
      <c r="A1447" s="41">
        <v>4939</v>
      </c>
      <c r="B1447" s="42" t="s">
        <v>1815</v>
      </c>
      <c r="C1447" s="43" t="s">
        <v>289</v>
      </c>
      <c r="D1447" s="43" t="s">
        <v>316</v>
      </c>
      <c r="E1447" s="43" t="s">
        <v>230</v>
      </c>
    </row>
    <row r="1448" spans="1:5" x14ac:dyDescent="0.25">
      <c r="A1448" s="41">
        <v>4940</v>
      </c>
      <c r="B1448" s="42" t="s">
        <v>1816</v>
      </c>
      <c r="C1448" s="43" t="s">
        <v>289</v>
      </c>
      <c r="D1448" s="43" t="s">
        <v>316</v>
      </c>
      <c r="E1448" s="43" t="s">
        <v>454</v>
      </c>
    </row>
    <row r="1449" spans="1:5" x14ac:dyDescent="0.25">
      <c r="A1449" s="41">
        <v>4942</v>
      </c>
      <c r="B1449" s="42" t="s">
        <v>1817</v>
      </c>
      <c r="C1449" s="43" t="s">
        <v>289</v>
      </c>
      <c r="D1449" s="43" t="s">
        <v>316</v>
      </c>
      <c r="E1449" s="43" t="s">
        <v>454</v>
      </c>
    </row>
    <row r="1450" spans="1:5" x14ac:dyDescent="0.25">
      <c r="A1450" s="41">
        <v>4944</v>
      </c>
      <c r="B1450" s="42" t="s">
        <v>1818</v>
      </c>
      <c r="C1450" s="43" t="s">
        <v>289</v>
      </c>
      <c r="D1450" s="43" t="s">
        <v>316</v>
      </c>
      <c r="E1450" s="43" t="s">
        <v>230</v>
      </c>
    </row>
    <row r="1451" spans="1:5" x14ac:dyDescent="0.25">
      <c r="A1451" s="41">
        <v>4945</v>
      </c>
      <c r="B1451" s="42" t="s">
        <v>1819</v>
      </c>
      <c r="C1451" s="43" t="s">
        <v>289</v>
      </c>
      <c r="D1451" s="43" t="s">
        <v>316</v>
      </c>
      <c r="E1451" s="43" t="s">
        <v>230</v>
      </c>
    </row>
    <row r="1452" spans="1:5" x14ac:dyDescent="0.25">
      <c r="A1452" s="41">
        <v>4946</v>
      </c>
      <c r="B1452" s="42" t="s">
        <v>1820</v>
      </c>
      <c r="C1452" s="43" t="s">
        <v>289</v>
      </c>
      <c r="D1452" s="43" t="s">
        <v>316</v>
      </c>
      <c r="E1452" s="43" t="s">
        <v>230</v>
      </c>
    </row>
    <row r="1453" spans="1:5" x14ac:dyDescent="0.25">
      <c r="A1453" s="41">
        <v>4948</v>
      </c>
      <c r="B1453" s="42" t="s">
        <v>1821</v>
      </c>
      <c r="C1453" s="43" t="s">
        <v>289</v>
      </c>
      <c r="D1453" s="43" t="s">
        <v>316</v>
      </c>
      <c r="E1453" s="43" t="s">
        <v>230</v>
      </c>
    </row>
    <row r="1454" spans="1:5" x14ac:dyDescent="0.25">
      <c r="A1454" s="41">
        <v>4952</v>
      </c>
      <c r="B1454" s="42" t="s">
        <v>1822</v>
      </c>
      <c r="C1454" s="43" t="s">
        <v>289</v>
      </c>
      <c r="D1454" s="43" t="s">
        <v>694</v>
      </c>
      <c r="E1454" s="43" t="s">
        <v>170</v>
      </c>
    </row>
    <row r="1455" spans="1:5" x14ac:dyDescent="0.25">
      <c r="A1455" s="41">
        <v>4953</v>
      </c>
      <c r="B1455" s="42" t="s">
        <v>1823</v>
      </c>
      <c r="C1455" s="43" t="s">
        <v>289</v>
      </c>
      <c r="D1455" s="43" t="s">
        <v>795</v>
      </c>
      <c r="E1455" s="43" t="s">
        <v>373</v>
      </c>
    </row>
    <row r="1456" spans="1:5" x14ac:dyDescent="0.25">
      <c r="A1456" s="41">
        <v>4954</v>
      </c>
      <c r="B1456" s="42" t="s">
        <v>1824</v>
      </c>
      <c r="C1456" s="43" t="s">
        <v>289</v>
      </c>
      <c r="D1456" s="43" t="s">
        <v>795</v>
      </c>
      <c r="E1456" s="43" t="s">
        <v>230</v>
      </c>
    </row>
    <row r="1457" spans="1:5" x14ac:dyDescent="0.25">
      <c r="A1457" s="41">
        <v>4955</v>
      </c>
      <c r="B1457" s="42" t="s">
        <v>1825</v>
      </c>
      <c r="C1457" s="43" t="s">
        <v>289</v>
      </c>
      <c r="D1457" s="43" t="s">
        <v>811</v>
      </c>
      <c r="E1457" s="43" t="s">
        <v>864</v>
      </c>
    </row>
    <row r="1458" spans="1:5" x14ac:dyDescent="0.25">
      <c r="A1458" s="41">
        <v>4956</v>
      </c>
      <c r="B1458" s="42" t="s">
        <v>1826</v>
      </c>
      <c r="C1458" s="43" t="s">
        <v>289</v>
      </c>
      <c r="D1458" s="43" t="s">
        <v>811</v>
      </c>
      <c r="E1458" s="43" t="s">
        <v>230</v>
      </c>
    </row>
    <row r="1459" spans="1:5" x14ac:dyDescent="0.25">
      <c r="A1459" s="41">
        <v>4957</v>
      </c>
      <c r="B1459" s="42" t="s">
        <v>1827</v>
      </c>
      <c r="C1459" s="43" t="s">
        <v>289</v>
      </c>
      <c r="D1459" s="43" t="s">
        <v>811</v>
      </c>
      <c r="E1459" s="43" t="s">
        <v>766</v>
      </c>
    </row>
    <row r="1460" spans="1:5" x14ac:dyDescent="0.25">
      <c r="A1460" s="41">
        <v>4960</v>
      </c>
      <c r="B1460" s="42" t="s">
        <v>1828</v>
      </c>
      <c r="C1460" s="43" t="s">
        <v>289</v>
      </c>
      <c r="D1460" s="43" t="s">
        <v>694</v>
      </c>
      <c r="E1460" s="43" t="s">
        <v>230</v>
      </c>
    </row>
    <row r="1461" spans="1:5" x14ac:dyDescent="0.25">
      <c r="A1461" s="41">
        <v>4961</v>
      </c>
      <c r="B1461" s="42" t="s">
        <v>1829</v>
      </c>
      <c r="C1461" s="43" t="s">
        <v>289</v>
      </c>
      <c r="D1461" s="43" t="s">
        <v>316</v>
      </c>
      <c r="E1461" s="43" t="s">
        <v>230</v>
      </c>
    </row>
    <row r="1462" spans="1:5" x14ac:dyDescent="0.25">
      <c r="A1462" s="41">
        <v>4963</v>
      </c>
      <c r="B1462" s="42" t="s">
        <v>1830</v>
      </c>
      <c r="C1462" s="43" t="s">
        <v>289</v>
      </c>
      <c r="D1462" s="43" t="s">
        <v>316</v>
      </c>
      <c r="E1462" s="43" t="s">
        <v>230</v>
      </c>
    </row>
    <row r="1463" spans="1:5" x14ac:dyDescent="0.25">
      <c r="A1463" s="41">
        <v>4966</v>
      </c>
      <c r="B1463" s="42" t="s">
        <v>1831</v>
      </c>
      <c r="C1463" s="43" t="s">
        <v>289</v>
      </c>
      <c r="D1463" s="43" t="s">
        <v>316</v>
      </c>
      <c r="E1463" s="43" t="s">
        <v>230</v>
      </c>
    </row>
    <row r="1464" spans="1:5" x14ac:dyDescent="0.25">
      <c r="A1464" s="41">
        <v>4969</v>
      </c>
      <c r="B1464" s="42" t="s">
        <v>1832</v>
      </c>
      <c r="C1464" s="43" t="s">
        <v>289</v>
      </c>
      <c r="D1464" s="43" t="s">
        <v>435</v>
      </c>
      <c r="E1464" s="43" t="s">
        <v>230</v>
      </c>
    </row>
    <row r="1465" spans="1:5" x14ac:dyDescent="0.25">
      <c r="A1465" s="41">
        <v>4970</v>
      </c>
      <c r="B1465" s="42" t="s">
        <v>1833</v>
      </c>
      <c r="C1465" s="43" t="s">
        <v>289</v>
      </c>
      <c r="D1465" s="43" t="s">
        <v>435</v>
      </c>
      <c r="E1465" s="43" t="s">
        <v>531</v>
      </c>
    </row>
    <row r="1466" spans="1:5" x14ac:dyDescent="0.25">
      <c r="A1466" s="41">
        <v>4971</v>
      </c>
      <c r="B1466" s="42" t="s">
        <v>1834</v>
      </c>
      <c r="C1466" s="43" t="s">
        <v>289</v>
      </c>
      <c r="D1466" s="43" t="s">
        <v>327</v>
      </c>
      <c r="E1466" s="43" t="s">
        <v>230</v>
      </c>
    </row>
    <row r="1467" spans="1:5" x14ac:dyDescent="0.25">
      <c r="A1467" s="41">
        <v>4972</v>
      </c>
      <c r="B1467" s="42" t="s">
        <v>1835</v>
      </c>
      <c r="C1467" s="43" t="s">
        <v>289</v>
      </c>
      <c r="D1467" s="43" t="s">
        <v>327</v>
      </c>
      <c r="E1467" s="43" t="s">
        <v>230</v>
      </c>
    </row>
    <row r="1468" spans="1:5" x14ac:dyDescent="0.25">
      <c r="A1468" s="41">
        <v>4975</v>
      </c>
      <c r="B1468" s="42" t="s">
        <v>1836</v>
      </c>
      <c r="C1468" s="43" t="s">
        <v>289</v>
      </c>
      <c r="D1468" s="43" t="s">
        <v>327</v>
      </c>
      <c r="E1468" s="43" t="s">
        <v>354</v>
      </c>
    </row>
    <row r="1469" spans="1:5" x14ac:dyDescent="0.25">
      <c r="A1469" s="41">
        <v>4976</v>
      </c>
      <c r="B1469" s="42" t="s">
        <v>1837</v>
      </c>
      <c r="C1469" s="43" t="s">
        <v>289</v>
      </c>
      <c r="D1469" s="43" t="s">
        <v>327</v>
      </c>
      <c r="E1469" s="43" t="s">
        <v>230</v>
      </c>
    </row>
    <row r="1470" spans="1:5" x14ac:dyDescent="0.25">
      <c r="A1470" s="41">
        <v>4977</v>
      </c>
      <c r="B1470" s="42" t="s">
        <v>1838</v>
      </c>
      <c r="C1470" s="43" t="s">
        <v>289</v>
      </c>
      <c r="D1470" s="43" t="s">
        <v>327</v>
      </c>
      <c r="E1470" s="43" t="s">
        <v>354</v>
      </c>
    </row>
    <row r="1471" spans="1:5" x14ac:dyDescent="0.25">
      <c r="A1471" s="41">
        <v>4978</v>
      </c>
      <c r="B1471" s="42" t="s">
        <v>1839</v>
      </c>
      <c r="C1471" s="43" t="s">
        <v>289</v>
      </c>
      <c r="D1471" s="43" t="s">
        <v>327</v>
      </c>
      <c r="E1471" s="43" t="s">
        <v>230</v>
      </c>
    </row>
    <row r="1472" spans="1:5" x14ac:dyDescent="0.25">
      <c r="A1472" s="41">
        <v>4979</v>
      </c>
      <c r="B1472" s="42" t="s">
        <v>1840</v>
      </c>
      <c r="C1472" s="43" t="s">
        <v>289</v>
      </c>
      <c r="D1472" s="43" t="s">
        <v>327</v>
      </c>
      <c r="E1472" s="43" t="s">
        <v>230</v>
      </c>
    </row>
    <row r="1473" spans="1:5" x14ac:dyDescent="0.25">
      <c r="A1473" s="41">
        <v>4982</v>
      </c>
      <c r="B1473" s="42" t="s">
        <v>1841</v>
      </c>
      <c r="C1473" s="43" t="s">
        <v>289</v>
      </c>
      <c r="D1473" s="43" t="s">
        <v>316</v>
      </c>
      <c r="E1473" s="43" t="s">
        <v>230</v>
      </c>
    </row>
    <row r="1474" spans="1:5" x14ac:dyDescent="0.25">
      <c r="A1474" s="41">
        <v>4984</v>
      </c>
      <c r="B1474" s="42" t="s">
        <v>1842</v>
      </c>
      <c r="C1474" s="43" t="s">
        <v>289</v>
      </c>
      <c r="D1474" s="43" t="s">
        <v>327</v>
      </c>
      <c r="E1474" s="43" t="s">
        <v>336</v>
      </c>
    </row>
    <row r="1475" spans="1:5" x14ac:dyDescent="0.25">
      <c r="A1475" s="41">
        <v>4985</v>
      </c>
      <c r="B1475" s="42" t="s">
        <v>1843</v>
      </c>
      <c r="C1475" s="43" t="s">
        <v>289</v>
      </c>
      <c r="D1475" s="43" t="s">
        <v>327</v>
      </c>
      <c r="E1475" s="43" t="s">
        <v>170</v>
      </c>
    </row>
    <row r="1476" spans="1:5" x14ac:dyDescent="0.25">
      <c r="A1476" s="41">
        <v>4988</v>
      </c>
      <c r="B1476" s="42" t="s">
        <v>1844</v>
      </c>
      <c r="C1476" s="43" t="s">
        <v>289</v>
      </c>
      <c r="D1476" s="43" t="s">
        <v>327</v>
      </c>
      <c r="E1476" s="43" t="s">
        <v>230</v>
      </c>
    </row>
    <row r="1477" spans="1:5" x14ac:dyDescent="0.25">
      <c r="A1477" s="41">
        <v>4990</v>
      </c>
      <c r="B1477" s="42" t="s">
        <v>1845</v>
      </c>
      <c r="C1477" s="43" t="s">
        <v>289</v>
      </c>
      <c r="D1477" s="43" t="s">
        <v>316</v>
      </c>
      <c r="E1477" s="43" t="s">
        <v>230</v>
      </c>
    </row>
    <row r="1478" spans="1:5" x14ac:dyDescent="0.25">
      <c r="A1478" s="41">
        <v>4991</v>
      </c>
      <c r="B1478" s="42" t="s">
        <v>1846</v>
      </c>
      <c r="C1478" s="43" t="s">
        <v>289</v>
      </c>
      <c r="D1478" s="43" t="s">
        <v>327</v>
      </c>
      <c r="E1478" s="43" t="s">
        <v>404</v>
      </c>
    </row>
    <row r="1479" spans="1:5" x14ac:dyDescent="0.25">
      <c r="A1479" s="41">
        <v>4992</v>
      </c>
      <c r="B1479" s="42" t="s">
        <v>1847</v>
      </c>
      <c r="C1479" s="43" t="s">
        <v>289</v>
      </c>
      <c r="D1479" s="43" t="s">
        <v>316</v>
      </c>
      <c r="E1479" s="43" t="s">
        <v>230</v>
      </c>
    </row>
    <row r="1480" spans="1:5" x14ac:dyDescent="0.25">
      <c r="A1480" s="41">
        <v>4994</v>
      </c>
      <c r="B1480" s="42" t="s">
        <v>1848</v>
      </c>
      <c r="C1480" s="43" t="s">
        <v>289</v>
      </c>
      <c r="D1480" s="43" t="s">
        <v>316</v>
      </c>
      <c r="E1480" s="43" t="s">
        <v>230</v>
      </c>
    </row>
    <row r="1481" spans="1:5" x14ac:dyDescent="0.25">
      <c r="A1481" s="41">
        <v>4995</v>
      </c>
      <c r="B1481" s="42" t="s">
        <v>1849</v>
      </c>
      <c r="C1481" s="43" t="s">
        <v>289</v>
      </c>
      <c r="D1481" s="43" t="s">
        <v>316</v>
      </c>
      <c r="E1481" s="43" t="s">
        <v>230</v>
      </c>
    </row>
    <row r="1482" spans="1:5" x14ac:dyDescent="0.25">
      <c r="A1482" s="41">
        <v>4997</v>
      </c>
      <c r="B1482" s="42" t="s">
        <v>1850</v>
      </c>
      <c r="C1482" s="43" t="s">
        <v>289</v>
      </c>
      <c r="D1482" s="43" t="s">
        <v>996</v>
      </c>
      <c r="E1482" s="43" t="s">
        <v>230</v>
      </c>
    </row>
    <row r="1483" spans="1:5" x14ac:dyDescent="0.25">
      <c r="A1483" s="41">
        <v>5001</v>
      </c>
      <c r="B1483" s="42" t="s">
        <v>1851</v>
      </c>
      <c r="C1483" s="43" t="s">
        <v>289</v>
      </c>
      <c r="D1483" s="43" t="s">
        <v>435</v>
      </c>
      <c r="E1483" s="43" t="s">
        <v>230</v>
      </c>
    </row>
    <row r="1484" spans="1:5" x14ac:dyDescent="0.25">
      <c r="A1484" s="41">
        <v>5002</v>
      </c>
      <c r="B1484" s="42" t="s">
        <v>1852</v>
      </c>
      <c r="C1484" s="43" t="s">
        <v>289</v>
      </c>
      <c r="D1484" s="43" t="s">
        <v>435</v>
      </c>
      <c r="E1484" s="43" t="s">
        <v>230</v>
      </c>
    </row>
    <row r="1485" spans="1:5" x14ac:dyDescent="0.25">
      <c r="A1485" s="41">
        <v>5005</v>
      </c>
      <c r="B1485" s="42" t="s">
        <v>1853</v>
      </c>
      <c r="C1485" s="43" t="s">
        <v>289</v>
      </c>
      <c r="D1485" s="43" t="s">
        <v>327</v>
      </c>
      <c r="E1485" s="43" t="s">
        <v>230</v>
      </c>
    </row>
    <row r="1486" spans="1:5" x14ac:dyDescent="0.25">
      <c r="A1486" s="41">
        <v>5006</v>
      </c>
      <c r="B1486" s="42" t="s">
        <v>1854</v>
      </c>
      <c r="C1486" s="43" t="s">
        <v>289</v>
      </c>
      <c r="D1486" s="43" t="s">
        <v>327</v>
      </c>
      <c r="E1486" s="43" t="s">
        <v>230</v>
      </c>
    </row>
    <row r="1487" spans="1:5" x14ac:dyDescent="0.25">
      <c r="A1487" s="41">
        <v>5007</v>
      </c>
      <c r="B1487" s="42" t="s">
        <v>1855</v>
      </c>
      <c r="C1487" s="43" t="s">
        <v>289</v>
      </c>
      <c r="D1487" s="43" t="s">
        <v>327</v>
      </c>
      <c r="E1487" s="43" t="s">
        <v>531</v>
      </c>
    </row>
    <row r="1488" spans="1:5" x14ac:dyDescent="0.25">
      <c r="A1488" s="41">
        <v>5008</v>
      </c>
      <c r="B1488" s="42" t="s">
        <v>1856</v>
      </c>
      <c r="C1488" s="43" t="s">
        <v>289</v>
      </c>
      <c r="D1488" s="43" t="s">
        <v>327</v>
      </c>
      <c r="E1488" s="43" t="s">
        <v>354</v>
      </c>
    </row>
    <row r="1489" spans="1:5" x14ac:dyDescent="0.25">
      <c r="A1489" s="41">
        <v>5009</v>
      </c>
      <c r="B1489" s="42" t="s">
        <v>1857</v>
      </c>
      <c r="C1489" s="43" t="s">
        <v>289</v>
      </c>
      <c r="D1489" s="43" t="s">
        <v>327</v>
      </c>
      <c r="E1489" s="43" t="s">
        <v>354</v>
      </c>
    </row>
    <row r="1490" spans="1:5" x14ac:dyDescent="0.25">
      <c r="A1490" s="41">
        <v>5010</v>
      </c>
      <c r="B1490" s="42" t="s">
        <v>1858</v>
      </c>
      <c r="C1490" s="43" t="s">
        <v>289</v>
      </c>
      <c r="D1490" s="43" t="s">
        <v>474</v>
      </c>
      <c r="E1490" s="43" t="s">
        <v>531</v>
      </c>
    </row>
    <row r="1491" spans="1:5" x14ac:dyDescent="0.25">
      <c r="A1491" s="41">
        <v>5016</v>
      </c>
      <c r="B1491" s="42" t="s">
        <v>1859</v>
      </c>
      <c r="C1491" s="43" t="s">
        <v>289</v>
      </c>
      <c r="D1491" s="43" t="s">
        <v>290</v>
      </c>
      <c r="E1491" s="43" t="s">
        <v>230</v>
      </c>
    </row>
    <row r="1492" spans="1:5" x14ac:dyDescent="0.25">
      <c r="A1492" s="41">
        <v>5017</v>
      </c>
      <c r="B1492" s="42" t="s">
        <v>1860</v>
      </c>
      <c r="C1492" s="43" t="s">
        <v>289</v>
      </c>
      <c r="D1492" s="43" t="s">
        <v>327</v>
      </c>
      <c r="E1492" s="43" t="s">
        <v>230</v>
      </c>
    </row>
    <row r="1493" spans="1:5" x14ac:dyDescent="0.25">
      <c r="A1493" s="41">
        <v>5023</v>
      </c>
      <c r="B1493" s="42" t="s">
        <v>1861</v>
      </c>
      <c r="C1493" s="43" t="s">
        <v>289</v>
      </c>
      <c r="D1493" s="43" t="s">
        <v>494</v>
      </c>
      <c r="E1493" s="43" t="s">
        <v>454</v>
      </c>
    </row>
    <row r="1494" spans="1:5" x14ac:dyDescent="0.25">
      <c r="A1494" s="41">
        <v>5026</v>
      </c>
      <c r="B1494" s="42" t="s">
        <v>1862</v>
      </c>
      <c r="C1494" s="43" t="s">
        <v>289</v>
      </c>
      <c r="D1494" s="43" t="s">
        <v>1100</v>
      </c>
      <c r="E1494" s="43" t="s">
        <v>230</v>
      </c>
    </row>
    <row r="1495" spans="1:5" x14ac:dyDescent="0.25">
      <c r="A1495" s="41">
        <v>5027</v>
      </c>
      <c r="B1495" s="42" t="s">
        <v>1863</v>
      </c>
      <c r="C1495" s="43" t="s">
        <v>289</v>
      </c>
      <c r="D1495" s="43" t="s">
        <v>1100</v>
      </c>
      <c r="E1495" s="43" t="s">
        <v>170</v>
      </c>
    </row>
    <row r="1496" spans="1:5" x14ac:dyDescent="0.25">
      <c r="A1496" s="41">
        <v>5028</v>
      </c>
      <c r="B1496" s="42" t="s">
        <v>1864</v>
      </c>
      <c r="C1496" s="43" t="s">
        <v>289</v>
      </c>
      <c r="D1496" s="43" t="s">
        <v>1100</v>
      </c>
      <c r="E1496" s="43" t="s">
        <v>170</v>
      </c>
    </row>
    <row r="1497" spans="1:5" x14ac:dyDescent="0.25">
      <c r="A1497" s="41">
        <v>5029</v>
      </c>
      <c r="B1497" s="42" t="s">
        <v>1865</v>
      </c>
      <c r="C1497" s="43" t="s">
        <v>289</v>
      </c>
      <c r="D1497" s="43" t="s">
        <v>1100</v>
      </c>
      <c r="E1497" s="43" t="s">
        <v>170</v>
      </c>
    </row>
    <row r="1498" spans="1:5" x14ac:dyDescent="0.25">
      <c r="A1498" s="41">
        <v>5032</v>
      </c>
      <c r="B1498" s="42" t="s">
        <v>1866</v>
      </c>
      <c r="C1498" s="43" t="s">
        <v>289</v>
      </c>
      <c r="D1498" s="43" t="s">
        <v>1326</v>
      </c>
      <c r="E1498" s="43" t="s">
        <v>230</v>
      </c>
    </row>
    <row r="1499" spans="1:5" x14ac:dyDescent="0.25">
      <c r="A1499" s="41">
        <v>5033</v>
      </c>
      <c r="B1499" s="42" t="s">
        <v>1867</v>
      </c>
      <c r="C1499" s="43" t="s">
        <v>289</v>
      </c>
      <c r="D1499" s="43" t="s">
        <v>1326</v>
      </c>
      <c r="E1499" s="43" t="s">
        <v>230</v>
      </c>
    </row>
    <row r="1500" spans="1:5" x14ac:dyDescent="0.25">
      <c r="A1500" s="41">
        <v>5039</v>
      </c>
      <c r="B1500" s="42" t="s">
        <v>1868</v>
      </c>
      <c r="C1500" s="43" t="s">
        <v>289</v>
      </c>
      <c r="D1500" s="43" t="s">
        <v>327</v>
      </c>
      <c r="E1500" s="43" t="s">
        <v>230</v>
      </c>
    </row>
    <row r="1501" spans="1:5" x14ac:dyDescent="0.25">
      <c r="A1501" s="41">
        <v>5042</v>
      </c>
      <c r="B1501" s="42" t="s">
        <v>1869</v>
      </c>
      <c r="C1501" s="43" t="s">
        <v>289</v>
      </c>
      <c r="D1501" s="43" t="s">
        <v>1100</v>
      </c>
      <c r="E1501" s="43" t="s">
        <v>230</v>
      </c>
    </row>
    <row r="1502" spans="1:5" x14ac:dyDescent="0.25">
      <c r="A1502" s="41">
        <v>5043</v>
      </c>
      <c r="B1502" s="42" t="s">
        <v>1870</v>
      </c>
      <c r="C1502" s="43" t="s">
        <v>289</v>
      </c>
      <c r="D1502" s="43" t="s">
        <v>1100</v>
      </c>
      <c r="E1502" s="43" t="s">
        <v>230</v>
      </c>
    </row>
    <row r="1503" spans="1:5" x14ac:dyDescent="0.25">
      <c r="A1503" s="41">
        <v>5045</v>
      </c>
      <c r="B1503" s="42" t="s">
        <v>1871</v>
      </c>
      <c r="C1503" s="43" t="s">
        <v>289</v>
      </c>
      <c r="D1503" s="43" t="s">
        <v>811</v>
      </c>
      <c r="E1503" s="43" t="s">
        <v>436</v>
      </c>
    </row>
    <row r="1504" spans="1:5" x14ac:dyDescent="0.25">
      <c r="A1504" s="41">
        <v>5046</v>
      </c>
      <c r="B1504" s="42" t="s">
        <v>1872</v>
      </c>
      <c r="C1504" s="43" t="s">
        <v>289</v>
      </c>
      <c r="D1504" s="43" t="s">
        <v>941</v>
      </c>
      <c r="E1504" s="43" t="s">
        <v>454</v>
      </c>
    </row>
    <row r="1505" spans="1:5" x14ac:dyDescent="0.25">
      <c r="A1505" s="41">
        <v>5051</v>
      </c>
      <c r="B1505" s="42" t="s">
        <v>1873</v>
      </c>
      <c r="C1505" s="43" t="s">
        <v>289</v>
      </c>
      <c r="D1505" s="43" t="s">
        <v>327</v>
      </c>
      <c r="E1505" s="43" t="s">
        <v>766</v>
      </c>
    </row>
    <row r="1506" spans="1:5" x14ac:dyDescent="0.25">
      <c r="A1506" s="41">
        <v>5052</v>
      </c>
      <c r="B1506" s="42" t="s">
        <v>1874</v>
      </c>
      <c r="C1506" s="43" t="s">
        <v>289</v>
      </c>
      <c r="D1506" s="43" t="s">
        <v>327</v>
      </c>
      <c r="E1506" s="43" t="s">
        <v>531</v>
      </c>
    </row>
    <row r="1507" spans="1:5" x14ac:dyDescent="0.25">
      <c r="A1507" s="41">
        <v>5065</v>
      </c>
      <c r="B1507" s="42" t="s">
        <v>1875</v>
      </c>
      <c r="C1507" s="43" t="s">
        <v>289</v>
      </c>
      <c r="D1507" s="43" t="s">
        <v>327</v>
      </c>
      <c r="E1507" s="43" t="s">
        <v>230</v>
      </c>
    </row>
    <row r="1508" spans="1:5" x14ac:dyDescent="0.25">
      <c r="A1508" s="41">
        <v>5068</v>
      </c>
      <c r="B1508" s="42" t="s">
        <v>1876</v>
      </c>
      <c r="C1508" s="43" t="s">
        <v>289</v>
      </c>
      <c r="D1508" s="43" t="s">
        <v>795</v>
      </c>
      <c r="E1508" s="43" t="s">
        <v>170</v>
      </c>
    </row>
    <row r="1509" spans="1:5" x14ac:dyDescent="0.25">
      <c r="A1509" s="41">
        <v>5071</v>
      </c>
      <c r="B1509" s="42" t="s">
        <v>1877</v>
      </c>
      <c r="C1509" s="43" t="s">
        <v>289</v>
      </c>
      <c r="D1509" s="43" t="s">
        <v>694</v>
      </c>
      <c r="E1509" s="43" t="s">
        <v>230</v>
      </c>
    </row>
    <row r="1510" spans="1:5" x14ac:dyDescent="0.25">
      <c r="A1510" s="41">
        <v>5072</v>
      </c>
      <c r="B1510" s="42" t="s">
        <v>1878</v>
      </c>
      <c r="C1510" s="43" t="s">
        <v>289</v>
      </c>
      <c r="D1510" s="43" t="s">
        <v>795</v>
      </c>
      <c r="E1510" s="43" t="s">
        <v>230</v>
      </c>
    </row>
    <row r="1511" spans="1:5" x14ac:dyDescent="0.25">
      <c r="A1511" s="41">
        <v>5073</v>
      </c>
      <c r="B1511" s="42" t="s">
        <v>1879</v>
      </c>
      <c r="C1511" s="43" t="s">
        <v>289</v>
      </c>
      <c r="D1511" s="43" t="s">
        <v>795</v>
      </c>
      <c r="E1511" s="43" t="s">
        <v>230</v>
      </c>
    </row>
    <row r="1512" spans="1:5" x14ac:dyDescent="0.25">
      <c r="A1512" s="41">
        <v>5076</v>
      </c>
      <c r="B1512" s="42" t="s">
        <v>1880</v>
      </c>
      <c r="C1512" s="43" t="s">
        <v>289</v>
      </c>
      <c r="D1512" s="43" t="s">
        <v>1377</v>
      </c>
      <c r="E1512" s="43" t="s">
        <v>454</v>
      </c>
    </row>
    <row r="1513" spans="1:5" x14ac:dyDescent="0.25">
      <c r="A1513" s="41">
        <v>5077</v>
      </c>
      <c r="B1513" s="42" t="s">
        <v>1881</v>
      </c>
      <c r="C1513" s="43" t="s">
        <v>289</v>
      </c>
      <c r="D1513" s="43" t="s">
        <v>523</v>
      </c>
      <c r="E1513" s="43" t="s">
        <v>454</v>
      </c>
    </row>
    <row r="1514" spans="1:5" x14ac:dyDescent="0.25">
      <c r="A1514" s="41">
        <v>5078</v>
      </c>
      <c r="B1514" s="42" t="s">
        <v>1882</v>
      </c>
      <c r="C1514" s="43" t="s">
        <v>289</v>
      </c>
      <c r="D1514" s="43" t="s">
        <v>468</v>
      </c>
      <c r="E1514" s="43" t="s">
        <v>230</v>
      </c>
    </row>
    <row r="1515" spans="1:5" x14ac:dyDescent="0.25">
      <c r="A1515" s="41">
        <v>5089</v>
      </c>
      <c r="B1515" s="42" t="s">
        <v>1883</v>
      </c>
      <c r="C1515" s="43" t="s">
        <v>289</v>
      </c>
      <c r="D1515" s="43" t="s">
        <v>468</v>
      </c>
      <c r="E1515" s="43" t="s">
        <v>454</v>
      </c>
    </row>
    <row r="1516" spans="1:5" x14ac:dyDescent="0.25">
      <c r="A1516" s="41">
        <v>5095</v>
      </c>
      <c r="B1516" s="42" t="s">
        <v>1884</v>
      </c>
      <c r="C1516" s="43" t="s">
        <v>289</v>
      </c>
      <c r="D1516" s="43" t="s">
        <v>316</v>
      </c>
      <c r="E1516" s="43" t="s">
        <v>230</v>
      </c>
    </row>
    <row r="1517" spans="1:5" x14ac:dyDescent="0.25">
      <c r="A1517" s="41">
        <v>5098</v>
      </c>
      <c r="B1517" s="42" t="s">
        <v>1885</v>
      </c>
      <c r="C1517" s="43" t="s">
        <v>289</v>
      </c>
      <c r="D1517" s="43" t="s">
        <v>316</v>
      </c>
      <c r="E1517" s="43" t="s">
        <v>230</v>
      </c>
    </row>
    <row r="1518" spans="1:5" x14ac:dyDescent="0.25">
      <c r="A1518" s="41">
        <v>5099</v>
      </c>
      <c r="B1518" s="42" t="s">
        <v>1886</v>
      </c>
      <c r="C1518" s="43" t="s">
        <v>289</v>
      </c>
      <c r="D1518" s="43" t="s">
        <v>316</v>
      </c>
      <c r="E1518" s="43" t="s">
        <v>230</v>
      </c>
    </row>
    <row r="1519" spans="1:5" x14ac:dyDescent="0.25">
      <c r="A1519" s="41">
        <v>5100</v>
      </c>
      <c r="B1519" s="42" t="s">
        <v>1887</v>
      </c>
      <c r="C1519" s="43" t="s">
        <v>289</v>
      </c>
      <c r="D1519" s="43" t="s">
        <v>316</v>
      </c>
      <c r="E1519" s="43" t="s">
        <v>230</v>
      </c>
    </row>
    <row r="1520" spans="1:5" x14ac:dyDescent="0.25">
      <c r="A1520" s="41">
        <v>5101</v>
      </c>
      <c r="B1520" s="42" t="s">
        <v>1888</v>
      </c>
      <c r="C1520" s="43" t="s">
        <v>289</v>
      </c>
      <c r="D1520" s="43" t="s">
        <v>327</v>
      </c>
      <c r="E1520" s="43" t="s">
        <v>230</v>
      </c>
    </row>
    <row r="1521" spans="1:5" x14ac:dyDescent="0.25">
      <c r="A1521" s="41">
        <v>5102</v>
      </c>
      <c r="B1521" s="42" t="s">
        <v>1889</v>
      </c>
      <c r="C1521" s="43" t="s">
        <v>289</v>
      </c>
      <c r="D1521" s="43" t="s">
        <v>327</v>
      </c>
      <c r="E1521" s="43" t="s">
        <v>230</v>
      </c>
    </row>
    <row r="1522" spans="1:5" x14ac:dyDescent="0.25">
      <c r="A1522" s="41">
        <v>5106</v>
      </c>
      <c r="B1522" s="42" t="s">
        <v>1890</v>
      </c>
      <c r="C1522" s="43" t="s">
        <v>289</v>
      </c>
      <c r="D1522" s="43" t="s">
        <v>327</v>
      </c>
      <c r="E1522" s="43" t="s">
        <v>531</v>
      </c>
    </row>
    <row r="1523" spans="1:5" x14ac:dyDescent="0.25">
      <c r="A1523" s="41">
        <v>5110</v>
      </c>
      <c r="B1523" s="42" t="s">
        <v>1891</v>
      </c>
      <c r="C1523" s="43" t="s">
        <v>289</v>
      </c>
      <c r="D1523" s="43" t="s">
        <v>468</v>
      </c>
      <c r="E1523" s="43" t="s">
        <v>230</v>
      </c>
    </row>
    <row r="1524" spans="1:5" x14ac:dyDescent="0.25">
      <c r="A1524" s="41">
        <v>5111</v>
      </c>
      <c r="B1524" s="42" t="s">
        <v>1892</v>
      </c>
      <c r="C1524" s="43" t="s">
        <v>289</v>
      </c>
      <c r="D1524" s="43" t="s">
        <v>996</v>
      </c>
      <c r="E1524" s="43" t="s">
        <v>230</v>
      </c>
    </row>
    <row r="1525" spans="1:5" x14ac:dyDescent="0.25">
      <c r="A1525" s="41">
        <v>5113</v>
      </c>
      <c r="B1525" s="42" t="s">
        <v>1893</v>
      </c>
      <c r="C1525" s="43" t="s">
        <v>289</v>
      </c>
      <c r="D1525" s="43" t="s">
        <v>316</v>
      </c>
      <c r="E1525" s="43" t="s">
        <v>230</v>
      </c>
    </row>
    <row r="1526" spans="1:5" x14ac:dyDescent="0.25">
      <c r="A1526" s="41">
        <v>5116</v>
      </c>
      <c r="B1526" s="42" t="s">
        <v>1894</v>
      </c>
      <c r="C1526" s="43" t="s">
        <v>289</v>
      </c>
      <c r="D1526" s="43" t="s">
        <v>327</v>
      </c>
      <c r="E1526" s="43" t="s">
        <v>230</v>
      </c>
    </row>
    <row r="1527" spans="1:5" x14ac:dyDescent="0.25">
      <c r="A1527" s="41">
        <v>5118</v>
      </c>
      <c r="B1527" s="42" t="s">
        <v>1895</v>
      </c>
      <c r="C1527" s="43" t="s">
        <v>289</v>
      </c>
      <c r="D1527" s="43" t="s">
        <v>327</v>
      </c>
      <c r="E1527" s="43" t="s">
        <v>336</v>
      </c>
    </row>
    <row r="1528" spans="1:5" x14ac:dyDescent="0.25">
      <c r="A1528" s="41">
        <v>5122</v>
      </c>
      <c r="B1528" s="42" t="s">
        <v>1896</v>
      </c>
      <c r="C1528" s="43" t="s">
        <v>289</v>
      </c>
      <c r="D1528" s="43" t="s">
        <v>474</v>
      </c>
      <c r="E1528" s="43" t="s">
        <v>464</v>
      </c>
    </row>
    <row r="1529" spans="1:5" x14ac:dyDescent="0.25">
      <c r="A1529" s="41">
        <v>5124</v>
      </c>
      <c r="B1529" s="42" t="s">
        <v>1897</v>
      </c>
      <c r="C1529" s="43" t="s">
        <v>289</v>
      </c>
      <c r="D1529" s="43" t="s">
        <v>327</v>
      </c>
      <c r="E1529" s="43" t="s">
        <v>217</v>
      </c>
    </row>
    <row r="1530" spans="1:5" x14ac:dyDescent="0.25">
      <c r="A1530" s="41">
        <v>5125</v>
      </c>
      <c r="B1530" s="42" t="s">
        <v>1898</v>
      </c>
      <c r="C1530" s="43" t="s">
        <v>289</v>
      </c>
      <c r="D1530" s="43" t="s">
        <v>1100</v>
      </c>
      <c r="E1530" s="43" t="s">
        <v>531</v>
      </c>
    </row>
    <row r="1531" spans="1:5" x14ac:dyDescent="0.25">
      <c r="A1531" s="41">
        <v>5126</v>
      </c>
      <c r="B1531" s="42" t="s">
        <v>1899</v>
      </c>
      <c r="C1531" s="43" t="s">
        <v>289</v>
      </c>
      <c r="D1531" s="43" t="s">
        <v>1100</v>
      </c>
      <c r="E1531" s="43" t="s">
        <v>464</v>
      </c>
    </row>
    <row r="1532" spans="1:5" x14ac:dyDescent="0.25">
      <c r="A1532" s="41">
        <v>5127</v>
      </c>
      <c r="B1532" s="42" t="s">
        <v>1900</v>
      </c>
      <c r="C1532" s="43" t="s">
        <v>289</v>
      </c>
      <c r="D1532" s="43" t="s">
        <v>1100</v>
      </c>
      <c r="E1532" s="43" t="s">
        <v>464</v>
      </c>
    </row>
    <row r="1533" spans="1:5" x14ac:dyDescent="0.25">
      <c r="A1533" s="41">
        <v>5129</v>
      </c>
      <c r="B1533" s="42" t="s">
        <v>1901</v>
      </c>
      <c r="C1533" s="43" t="s">
        <v>289</v>
      </c>
      <c r="D1533" s="43" t="s">
        <v>327</v>
      </c>
      <c r="E1533" s="43" t="s">
        <v>464</v>
      </c>
    </row>
    <row r="1534" spans="1:5" x14ac:dyDescent="0.25">
      <c r="A1534" s="41">
        <v>5134</v>
      </c>
      <c r="B1534" s="42" t="s">
        <v>1902</v>
      </c>
      <c r="C1534" s="43" t="s">
        <v>289</v>
      </c>
      <c r="D1534" s="43" t="s">
        <v>1100</v>
      </c>
      <c r="E1534" s="43" t="s">
        <v>170</v>
      </c>
    </row>
    <row r="1535" spans="1:5" x14ac:dyDescent="0.25">
      <c r="A1535" s="41">
        <v>5135</v>
      </c>
      <c r="B1535" s="42" t="s">
        <v>1903</v>
      </c>
      <c r="C1535" s="43" t="s">
        <v>289</v>
      </c>
      <c r="D1535" s="43" t="s">
        <v>327</v>
      </c>
      <c r="E1535" s="43" t="s">
        <v>230</v>
      </c>
    </row>
    <row r="1536" spans="1:5" x14ac:dyDescent="0.25">
      <c r="A1536" s="41">
        <v>5137</v>
      </c>
      <c r="B1536" s="42" t="s">
        <v>1904</v>
      </c>
      <c r="C1536" s="43" t="s">
        <v>289</v>
      </c>
      <c r="D1536" s="43" t="s">
        <v>474</v>
      </c>
      <c r="E1536" s="43" t="s">
        <v>464</v>
      </c>
    </row>
    <row r="1537" spans="1:5" x14ac:dyDescent="0.25">
      <c r="A1537" s="41">
        <v>5141</v>
      </c>
      <c r="B1537" s="42" t="s">
        <v>1905</v>
      </c>
      <c r="C1537" s="43" t="s">
        <v>289</v>
      </c>
      <c r="D1537" s="43" t="s">
        <v>333</v>
      </c>
      <c r="E1537" s="43" t="s">
        <v>170</v>
      </c>
    </row>
    <row r="1538" spans="1:5" x14ac:dyDescent="0.25">
      <c r="A1538" s="41">
        <v>5143</v>
      </c>
      <c r="B1538" s="42" t="s">
        <v>1906</v>
      </c>
      <c r="C1538" s="43" t="s">
        <v>289</v>
      </c>
      <c r="D1538" s="43" t="s">
        <v>316</v>
      </c>
      <c r="E1538" s="43" t="s">
        <v>230</v>
      </c>
    </row>
    <row r="1539" spans="1:5" x14ac:dyDescent="0.25">
      <c r="A1539" s="41">
        <v>5144</v>
      </c>
      <c r="B1539" s="42" t="s">
        <v>1907</v>
      </c>
      <c r="C1539" s="43" t="s">
        <v>289</v>
      </c>
      <c r="D1539" s="43" t="s">
        <v>333</v>
      </c>
      <c r="E1539" s="43" t="s">
        <v>170</v>
      </c>
    </row>
    <row r="1540" spans="1:5" x14ac:dyDescent="0.25">
      <c r="A1540" s="41">
        <v>5145</v>
      </c>
      <c r="B1540" s="42" t="s">
        <v>1908</v>
      </c>
      <c r="C1540" s="43" t="s">
        <v>289</v>
      </c>
      <c r="D1540" s="43" t="s">
        <v>333</v>
      </c>
      <c r="E1540" s="43" t="s">
        <v>170</v>
      </c>
    </row>
    <row r="1541" spans="1:5" x14ac:dyDescent="0.25">
      <c r="A1541" s="41">
        <v>5146</v>
      </c>
      <c r="B1541" s="42" t="s">
        <v>1909</v>
      </c>
      <c r="C1541" s="43" t="s">
        <v>289</v>
      </c>
      <c r="D1541" s="43" t="s">
        <v>333</v>
      </c>
      <c r="E1541" s="43" t="s">
        <v>464</v>
      </c>
    </row>
    <row r="1542" spans="1:5" x14ac:dyDescent="0.25">
      <c r="A1542" s="41">
        <v>5153</v>
      </c>
      <c r="B1542" s="42" t="s">
        <v>1910</v>
      </c>
      <c r="C1542" s="43" t="s">
        <v>289</v>
      </c>
      <c r="D1542" s="43" t="s">
        <v>941</v>
      </c>
      <c r="E1542" s="43" t="s">
        <v>336</v>
      </c>
    </row>
    <row r="1543" spans="1:5" x14ac:dyDescent="0.25">
      <c r="A1543" s="41">
        <v>5154</v>
      </c>
      <c r="B1543" s="42" t="s">
        <v>1911</v>
      </c>
      <c r="C1543" s="43" t="s">
        <v>289</v>
      </c>
      <c r="D1543" s="43" t="s">
        <v>941</v>
      </c>
      <c r="E1543" s="43" t="s">
        <v>336</v>
      </c>
    </row>
    <row r="1544" spans="1:5" x14ac:dyDescent="0.25">
      <c r="A1544" s="41">
        <v>5156</v>
      </c>
      <c r="B1544" s="42" t="s">
        <v>1912</v>
      </c>
      <c r="C1544" s="43" t="s">
        <v>289</v>
      </c>
      <c r="D1544" s="43" t="s">
        <v>1913</v>
      </c>
      <c r="E1544" s="43" t="s">
        <v>230</v>
      </c>
    </row>
    <row r="1545" spans="1:5" x14ac:dyDescent="0.25">
      <c r="A1545" s="41">
        <v>5159</v>
      </c>
      <c r="B1545" s="42" t="s">
        <v>1914</v>
      </c>
      <c r="C1545" s="43" t="s">
        <v>289</v>
      </c>
      <c r="D1545" s="43" t="s">
        <v>333</v>
      </c>
      <c r="E1545" s="43" t="s">
        <v>230</v>
      </c>
    </row>
    <row r="1546" spans="1:5" x14ac:dyDescent="0.25">
      <c r="A1546" s="41">
        <v>5160</v>
      </c>
      <c r="B1546" s="42" t="s">
        <v>1915</v>
      </c>
      <c r="C1546" s="43" t="s">
        <v>289</v>
      </c>
      <c r="D1546" s="43" t="s">
        <v>996</v>
      </c>
      <c r="E1546" s="43" t="s">
        <v>230</v>
      </c>
    </row>
    <row r="1547" spans="1:5" x14ac:dyDescent="0.25">
      <c r="A1547" s="41">
        <v>5161</v>
      </c>
      <c r="B1547" s="42" t="s">
        <v>1916</v>
      </c>
      <c r="C1547" s="43" t="s">
        <v>289</v>
      </c>
      <c r="D1547" s="43" t="s">
        <v>435</v>
      </c>
      <c r="E1547" s="43" t="s">
        <v>230</v>
      </c>
    </row>
    <row r="1548" spans="1:5" x14ac:dyDescent="0.25">
      <c r="A1548" s="41">
        <v>5162</v>
      </c>
      <c r="B1548" s="42" t="s">
        <v>1917</v>
      </c>
      <c r="C1548" s="43" t="s">
        <v>289</v>
      </c>
      <c r="D1548" s="43" t="s">
        <v>333</v>
      </c>
      <c r="E1548" s="43" t="s">
        <v>230</v>
      </c>
    </row>
    <row r="1549" spans="1:5" x14ac:dyDescent="0.25">
      <c r="A1549" s="41">
        <v>5163</v>
      </c>
      <c r="B1549" s="42" t="s">
        <v>1918</v>
      </c>
      <c r="C1549" s="43" t="s">
        <v>289</v>
      </c>
      <c r="D1549" s="43" t="s">
        <v>316</v>
      </c>
      <c r="E1549" s="43" t="s">
        <v>230</v>
      </c>
    </row>
    <row r="1550" spans="1:5" x14ac:dyDescent="0.25">
      <c r="A1550" s="41">
        <v>5164</v>
      </c>
      <c r="B1550" s="42" t="s">
        <v>1919</v>
      </c>
      <c r="C1550" s="43" t="s">
        <v>289</v>
      </c>
      <c r="D1550" s="43" t="s">
        <v>316</v>
      </c>
      <c r="E1550" s="43" t="s">
        <v>230</v>
      </c>
    </row>
    <row r="1551" spans="1:5" x14ac:dyDescent="0.25">
      <c r="A1551" s="41">
        <v>5165</v>
      </c>
      <c r="B1551" s="42" t="s">
        <v>1920</v>
      </c>
      <c r="C1551" s="43" t="s">
        <v>289</v>
      </c>
      <c r="D1551" s="43" t="s">
        <v>316</v>
      </c>
      <c r="E1551" s="43" t="s">
        <v>230</v>
      </c>
    </row>
    <row r="1552" spans="1:5" x14ac:dyDescent="0.25">
      <c r="A1552" s="41">
        <v>5167</v>
      </c>
      <c r="B1552" s="42" t="s">
        <v>1921</v>
      </c>
      <c r="C1552" s="43" t="s">
        <v>289</v>
      </c>
      <c r="D1552" s="43" t="s">
        <v>316</v>
      </c>
      <c r="E1552" s="43" t="s">
        <v>230</v>
      </c>
    </row>
    <row r="1553" spans="1:5" x14ac:dyDescent="0.25">
      <c r="A1553" s="41">
        <v>5169</v>
      </c>
      <c r="B1553" s="42" t="s">
        <v>1922</v>
      </c>
      <c r="C1553" s="43" t="s">
        <v>289</v>
      </c>
      <c r="D1553" s="43" t="s">
        <v>316</v>
      </c>
      <c r="E1553" s="43" t="s">
        <v>230</v>
      </c>
    </row>
    <row r="1554" spans="1:5" x14ac:dyDescent="0.25">
      <c r="A1554" s="41">
        <v>5172</v>
      </c>
      <c r="B1554" s="42" t="s">
        <v>1923</v>
      </c>
      <c r="C1554" s="43" t="s">
        <v>289</v>
      </c>
      <c r="D1554" s="43" t="s">
        <v>316</v>
      </c>
      <c r="E1554" s="43" t="s">
        <v>230</v>
      </c>
    </row>
    <row r="1555" spans="1:5" x14ac:dyDescent="0.25">
      <c r="A1555" s="41">
        <v>5173</v>
      </c>
      <c r="B1555" s="42" t="s">
        <v>1924</v>
      </c>
      <c r="C1555" s="43" t="s">
        <v>289</v>
      </c>
      <c r="D1555" s="43" t="s">
        <v>316</v>
      </c>
      <c r="E1555" s="43" t="s">
        <v>230</v>
      </c>
    </row>
    <row r="1556" spans="1:5" x14ac:dyDescent="0.25">
      <c r="A1556" s="41">
        <v>5175</v>
      </c>
      <c r="B1556" s="42" t="s">
        <v>1925</v>
      </c>
      <c r="C1556" s="43" t="s">
        <v>289</v>
      </c>
      <c r="D1556" s="43" t="s">
        <v>316</v>
      </c>
      <c r="E1556" s="43" t="s">
        <v>230</v>
      </c>
    </row>
    <row r="1557" spans="1:5" x14ac:dyDescent="0.25">
      <c r="A1557" s="41">
        <v>5176</v>
      </c>
      <c r="B1557" s="42" t="s">
        <v>1926</v>
      </c>
      <c r="C1557" s="43" t="s">
        <v>289</v>
      </c>
      <c r="D1557" s="43" t="s">
        <v>316</v>
      </c>
      <c r="E1557" s="43" t="s">
        <v>230</v>
      </c>
    </row>
    <row r="1558" spans="1:5" x14ac:dyDescent="0.25">
      <c r="A1558" s="41">
        <v>5181</v>
      </c>
      <c r="B1558" s="42" t="s">
        <v>1927</v>
      </c>
      <c r="C1558" s="43" t="s">
        <v>289</v>
      </c>
      <c r="D1558" s="43" t="s">
        <v>316</v>
      </c>
      <c r="E1558" s="43" t="s">
        <v>230</v>
      </c>
    </row>
    <row r="1559" spans="1:5" x14ac:dyDescent="0.25">
      <c r="A1559" s="41">
        <v>5182</v>
      </c>
      <c r="B1559" s="42" t="s">
        <v>1928</v>
      </c>
      <c r="C1559" s="43" t="s">
        <v>289</v>
      </c>
      <c r="D1559" s="43" t="s">
        <v>316</v>
      </c>
      <c r="E1559" s="43" t="s">
        <v>230</v>
      </c>
    </row>
    <row r="1560" spans="1:5" x14ac:dyDescent="0.25">
      <c r="A1560" s="41">
        <v>5183</v>
      </c>
      <c r="B1560" s="42" t="s">
        <v>1929</v>
      </c>
      <c r="C1560" s="43" t="s">
        <v>289</v>
      </c>
      <c r="D1560" s="43" t="s">
        <v>316</v>
      </c>
      <c r="E1560" s="43" t="s">
        <v>230</v>
      </c>
    </row>
    <row r="1561" spans="1:5" x14ac:dyDescent="0.25">
      <c r="A1561" s="41">
        <v>5188</v>
      </c>
      <c r="B1561" s="42" t="s">
        <v>1930</v>
      </c>
      <c r="C1561" s="43" t="s">
        <v>289</v>
      </c>
      <c r="D1561" s="43" t="s">
        <v>316</v>
      </c>
      <c r="E1561" s="43" t="s">
        <v>230</v>
      </c>
    </row>
    <row r="1562" spans="1:5" x14ac:dyDescent="0.25">
      <c r="A1562" s="41">
        <v>5189</v>
      </c>
      <c r="B1562" s="42" t="s">
        <v>1931</v>
      </c>
      <c r="C1562" s="43" t="s">
        <v>289</v>
      </c>
      <c r="D1562" s="43" t="s">
        <v>316</v>
      </c>
      <c r="E1562" s="43" t="s">
        <v>230</v>
      </c>
    </row>
    <row r="1563" spans="1:5" x14ac:dyDescent="0.25">
      <c r="A1563" s="41">
        <v>5190</v>
      </c>
      <c r="B1563" s="42" t="s">
        <v>1932</v>
      </c>
      <c r="C1563" s="43" t="s">
        <v>289</v>
      </c>
      <c r="D1563" s="43" t="s">
        <v>316</v>
      </c>
      <c r="E1563" s="43" t="s">
        <v>230</v>
      </c>
    </row>
    <row r="1564" spans="1:5" x14ac:dyDescent="0.25">
      <c r="A1564" s="41">
        <v>5193</v>
      </c>
      <c r="B1564" s="42" t="s">
        <v>1933</v>
      </c>
      <c r="C1564" s="43" t="s">
        <v>289</v>
      </c>
      <c r="D1564" s="43" t="s">
        <v>316</v>
      </c>
      <c r="E1564" s="43" t="s">
        <v>230</v>
      </c>
    </row>
    <row r="1565" spans="1:5" x14ac:dyDescent="0.25">
      <c r="A1565" s="41">
        <v>5195</v>
      </c>
      <c r="B1565" s="42" t="s">
        <v>1934</v>
      </c>
      <c r="C1565" s="43" t="s">
        <v>289</v>
      </c>
      <c r="D1565" s="43" t="s">
        <v>316</v>
      </c>
      <c r="E1565" s="43" t="s">
        <v>230</v>
      </c>
    </row>
    <row r="1566" spans="1:5" x14ac:dyDescent="0.25">
      <c r="A1566" s="41">
        <v>5197</v>
      </c>
      <c r="B1566" s="42" t="s">
        <v>1935</v>
      </c>
      <c r="C1566" s="43" t="s">
        <v>289</v>
      </c>
      <c r="D1566" s="43" t="s">
        <v>316</v>
      </c>
      <c r="E1566" s="43" t="s">
        <v>230</v>
      </c>
    </row>
    <row r="1567" spans="1:5" x14ac:dyDescent="0.25">
      <c r="A1567" s="41">
        <v>5199</v>
      </c>
      <c r="B1567" s="42" t="s">
        <v>1936</v>
      </c>
      <c r="C1567" s="43" t="s">
        <v>289</v>
      </c>
      <c r="D1567" s="43" t="s">
        <v>474</v>
      </c>
      <c r="E1567" s="43" t="s">
        <v>230</v>
      </c>
    </row>
    <row r="1568" spans="1:5" x14ac:dyDescent="0.25">
      <c r="A1568" s="41">
        <v>5200</v>
      </c>
      <c r="B1568" s="42" t="s">
        <v>1937</v>
      </c>
      <c r="C1568" s="43" t="s">
        <v>289</v>
      </c>
      <c r="D1568" s="43" t="s">
        <v>327</v>
      </c>
      <c r="E1568" s="43" t="s">
        <v>230</v>
      </c>
    </row>
    <row r="1569" spans="1:5" x14ac:dyDescent="0.25">
      <c r="A1569" s="41">
        <v>5203</v>
      </c>
      <c r="B1569" s="42" t="s">
        <v>1938</v>
      </c>
      <c r="C1569" s="43" t="s">
        <v>289</v>
      </c>
      <c r="D1569" s="43" t="s">
        <v>941</v>
      </c>
      <c r="E1569" s="43" t="s">
        <v>230</v>
      </c>
    </row>
    <row r="1570" spans="1:5" x14ac:dyDescent="0.25">
      <c r="A1570" s="41">
        <v>5204</v>
      </c>
      <c r="B1570" s="42" t="s">
        <v>1939</v>
      </c>
      <c r="C1570" s="43" t="s">
        <v>289</v>
      </c>
      <c r="D1570" s="43" t="s">
        <v>316</v>
      </c>
      <c r="E1570" s="43" t="s">
        <v>230</v>
      </c>
    </row>
    <row r="1571" spans="1:5" x14ac:dyDescent="0.25">
      <c r="A1571" s="41">
        <v>5205</v>
      </c>
      <c r="B1571" s="42" t="s">
        <v>1940</v>
      </c>
      <c r="C1571" s="43" t="s">
        <v>289</v>
      </c>
      <c r="D1571" s="43" t="s">
        <v>316</v>
      </c>
      <c r="E1571" s="43" t="s">
        <v>230</v>
      </c>
    </row>
    <row r="1572" spans="1:5" x14ac:dyDescent="0.25">
      <c r="A1572" s="41">
        <v>5207</v>
      </c>
      <c r="B1572" s="42" t="s">
        <v>1941</v>
      </c>
      <c r="C1572" s="43" t="s">
        <v>289</v>
      </c>
      <c r="D1572" s="43" t="s">
        <v>494</v>
      </c>
      <c r="E1572" s="43" t="s">
        <v>230</v>
      </c>
    </row>
    <row r="1573" spans="1:5" x14ac:dyDescent="0.25">
      <c r="A1573" s="41">
        <v>5209</v>
      </c>
      <c r="B1573" s="42" t="s">
        <v>1942</v>
      </c>
      <c r="C1573" s="43" t="s">
        <v>289</v>
      </c>
      <c r="D1573" s="43" t="s">
        <v>316</v>
      </c>
      <c r="E1573" s="43" t="s">
        <v>230</v>
      </c>
    </row>
    <row r="1574" spans="1:5" x14ac:dyDescent="0.25">
      <c r="A1574" s="41">
        <v>5210</v>
      </c>
      <c r="B1574" s="42" t="s">
        <v>1943</v>
      </c>
      <c r="C1574" s="43" t="s">
        <v>289</v>
      </c>
      <c r="D1574" s="43" t="s">
        <v>316</v>
      </c>
      <c r="E1574" s="43" t="s">
        <v>230</v>
      </c>
    </row>
    <row r="1575" spans="1:5" x14ac:dyDescent="0.25">
      <c r="A1575" s="41">
        <v>5213</v>
      </c>
      <c r="B1575" s="42" t="s">
        <v>1944</v>
      </c>
      <c r="C1575" s="43" t="s">
        <v>289</v>
      </c>
      <c r="D1575" s="43" t="s">
        <v>1100</v>
      </c>
      <c r="E1575" s="43" t="s">
        <v>170</v>
      </c>
    </row>
    <row r="1576" spans="1:5" x14ac:dyDescent="0.25">
      <c r="A1576" s="41">
        <v>5214</v>
      </c>
      <c r="B1576" s="42" t="s">
        <v>1945</v>
      </c>
      <c r="C1576" s="43" t="s">
        <v>289</v>
      </c>
      <c r="D1576" s="43" t="s">
        <v>1100</v>
      </c>
      <c r="E1576" s="43" t="s">
        <v>170</v>
      </c>
    </row>
    <row r="1577" spans="1:5" x14ac:dyDescent="0.25">
      <c r="A1577" s="41">
        <v>5215</v>
      </c>
      <c r="B1577" s="42" t="s">
        <v>1863</v>
      </c>
      <c r="C1577" s="43" t="s">
        <v>289</v>
      </c>
      <c r="D1577" s="43" t="s">
        <v>1100</v>
      </c>
      <c r="E1577" s="43" t="s">
        <v>170</v>
      </c>
    </row>
    <row r="1578" spans="1:5" x14ac:dyDescent="0.25">
      <c r="A1578" s="41">
        <v>5217</v>
      </c>
      <c r="B1578" s="42" t="s">
        <v>1946</v>
      </c>
      <c r="C1578" s="43" t="s">
        <v>289</v>
      </c>
      <c r="D1578" s="43" t="s">
        <v>1100</v>
      </c>
      <c r="E1578" s="43" t="s">
        <v>170</v>
      </c>
    </row>
    <row r="1579" spans="1:5" x14ac:dyDescent="0.25">
      <c r="A1579" s="41">
        <v>5220</v>
      </c>
      <c r="B1579" s="42" t="s">
        <v>1947</v>
      </c>
      <c r="C1579" s="43" t="s">
        <v>289</v>
      </c>
      <c r="D1579" s="43" t="s">
        <v>1948</v>
      </c>
      <c r="E1579" s="43" t="s">
        <v>230</v>
      </c>
    </row>
    <row r="1580" spans="1:5" x14ac:dyDescent="0.25">
      <c r="A1580" s="41">
        <v>5223</v>
      </c>
      <c r="B1580" s="42" t="s">
        <v>1949</v>
      </c>
      <c r="C1580" s="43" t="s">
        <v>289</v>
      </c>
      <c r="D1580" s="43" t="s">
        <v>316</v>
      </c>
      <c r="E1580" s="43" t="s">
        <v>230</v>
      </c>
    </row>
    <row r="1581" spans="1:5" x14ac:dyDescent="0.25">
      <c r="A1581" s="41">
        <v>5224</v>
      </c>
      <c r="B1581" s="42" t="s">
        <v>1950</v>
      </c>
      <c r="C1581" s="43" t="s">
        <v>289</v>
      </c>
      <c r="D1581" s="43" t="s">
        <v>433</v>
      </c>
      <c r="E1581" s="43" t="s">
        <v>454</v>
      </c>
    </row>
    <row r="1582" spans="1:5" x14ac:dyDescent="0.25">
      <c r="A1582" s="41">
        <v>5225</v>
      </c>
      <c r="B1582" s="42" t="s">
        <v>1951</v>
      </c>
      <c r="C1582" s="43" t="s">
        <v>289</v>
      </c>
      <c r="D1582" s="43" t="s">
        <v>433</v>
      </c>
      <c r="E1582" s="43" t="s">
        <v>454</v>
      </c>
    </row>
    <row r="1583" spans="1:5" x14ac:dyDescent="0.25">
      <c r="A1583" s="41">
        <v>5226</v>
      </c>
      <c r="B1583" s="42" t="s">
        <v>1952</v>
      </c>
      <c r="C1583" s="43" t="s">
        <v>289</v>
      </c>
      <c r="D1583" s="43" t="s">
        <v>996</v>
      </c>
      <c r="E1583" s="43" t="s">
        <v>230</v>
      </c>
    </row>
    <row r="1584" spans="1:5" x14ac:dyDescent="0.25">
      <c r="A1584" s="41">
        <v>5227</v>
      </c>
      <c r="B1584" s="42" t="s">
        <v>1953</v>
      </c>
      <c r="C1584" s="43" t="s">
        <v>289</v>
      </c>
      <c r="D1584" s="43" t="s">
        <v>468</v>
      </c>
      <c r="E1584" s="43" t="s">
        <v>230</v>
      </c>
    </row>
    <row r="1585" spans="1:5" x14ac:dyDescent="0.25">
      <c r="A1585" s="41">
        <v>5228</v>
      </c>
      <c r="B1585" s="42" t="s">
        <v>1954</v>
      </c>
      <c r="C1585" s="43" t="s">
        <v>289</v>
      </c>
      <c r="D1585" s="43" t="s">
        <v>1141</v>
      </c>
      <c r="E1585" s="43" t="s">
        <v>230</v>
      </c>
    </row>
    <row r="1586" spans="1:5" x14ac:dyDescent="0.25">
      <c r="A1586" s="41">
        <v>5229</v>
      </c>
      <c r="B1586" s="42" t="s">
        <v>1955</v>
      </c>
      <c r="C1586" s="43" t="s">
        <v>289</v>
      </c>
      <c r="D1586" s="43" t="s">
        <v>327</v>
      </c>
      <c r="E1586" s="43" t="s">
        <v>336</v>
      </c>
    </row>
    <row r="1587" spans="1:5" x14ac:dyDescent="0.25">
      <c r="A1587" s="41">
        <v>5230</v>
      </c>
      <c r="B1587" s="42" t="s">
        <v>1956</v>
      </c>
      <c r="C1587" s="43" t="s">
        <v>289</v>
      </c>
      <c r="D1587" s="43" t="s">
        <v>941</v>
      </c>
      <c r="E1587" s="43" t="s">
        <v>454</v>
      </c>
    </row>
    <row r="1588" spans="1:5" x14ac:dyDescent="0.25">
      <c r="A1588" s="41">
        <v>5232</v>
      </c>
      <c r="B1588" s="42" t="s">
        <v>1957</v>
      </c>
      <c r="C1588" s="43" t="s">
        <v>289</v>
      </c>
      <c r="D1588" s="43" t="s">
        <v>941</v>
      </c>
      <c r="E1588" s="43" t="s">
        <v>454</v>
      </c>
    </row>
    <row r="1589" spans="1:5" x14ac:dyDescent="0.25">
      <c r="A1589" s="41">
        <v>5237</v>
      </c>
      <c r="B1589" s="42" t="s">
        <v>1958</v>
      </c>
      <c r="C1589" s="43" t="s">
        <v>289</v>
      </c>
      <c r="D1589" s="43" t="s">
        <v>327</v>
      </c>
      <c r="E1589" s="43" t="s">
        <v>454</v>
      </c>
    </row>
    <row r="1590" spans="1:5" x14ac:dyDescent="0.25">
      <c r="A1590" s="41">
        <v>5241</v>
      </c>
      <c r="B1590" s="42" t="s">
        <v>1959</v>
      </c>
      <c r="C1590" s="43" t="s">
        <v>289</v>
      </c>
      <c r="D1590" s="43" t="s">
        <v>966</v>
      </c>
      <c r="E1590" s="43" t="s">
        <v>230</v>
      </c>
    </row>
    <row r="1591" spans="1:5" x14ac:dyDescent="0.25">
      <c r="A1591" s="41">
        <v>5245</v>
      </c>
      <c r="B1591" s="42" t="s">
        <v>1960</v>
      </c>
      <c r="C1591" s="43" t="s">
        <v>289</v>
      </c>
      <c r="D1591" s="43" t="s">
        <v>1041</v>
      </c>
      <c r="E1591" s="43" t="s">
        <v>454</v>
      </c>
    </row>
    <row r="1592" spans="1:5" x14ac:dyDescent="0.25">
      <c r="A1592" s="41">
        <v>5246</v>
      </c>
      <c r="B1592" s="42" t="s">
        <v>1961</v>
      </c>
      <c r="C1592" s="43" t="s">
        <v>289</v>
      </c>
      <c r="D1592" s="43" t="s">
        <v>327</v>
      </c>
      <c r="E1592" s="43" t="s">
        <v>336</v>
      </c>
    </row>
    <row r="1593" spans="1:5" x14ac:dyDescent="0.25">
      <c r="A1593" s="41">
        <v>5250</v>
      </c>
      <c r="B1593" s="42" t="s">
        <v>1962</v>
      </c>
      <c r="C1593" s="43" t="s">
        <v>289</v>
      </c>
      <c r="D1593" s="43" t="s">
        <v>327</v>
      </c>
      <c r="E1593" s="43" t="s">
        <v>454</v>
      </c>
    </row>
    <row r="1594" spans="1:5" x14ac:dyDescent="0.25">
      <c r="A1594" s="41">
        <v>5252</v>
      </c>
      <c r="B1594" s="42" t="s">
        <v>1963</v>
      </c>
      <c r="C1594" s="43" t="s">
        <v>289</v>
      </c>
      <c r="D1594" s="43" t="s">
        <v>327</v>
      </c>
      <c r="E1594" s="43" t="s">
        <v>454</v>
      </c>
    </row>
    <row r="1595" spans="1:5" x14ac:dyDescent="0.25">
      <c r="A1595" s="41">
        <v>5254</v>
      </c>
      <c r="B1595" s="42" t="s">
        <v>1964</v>
      </c>
      <c r="C1595" s="43" t="s">
        <v>289</v>
      </c>
      <c r="D1595" s="43" t="s">
        <v>327</v>
      </c>
      <c r="E1595" s="43" t="s">
        <v>230</v>
      </c>
    </row>
    <row r="1596" spans="1:5" x14ac:dyDescent="0.25">
      <c r="A1596" s="41">
        <v>5256</v>
      </c>
      <c r="B1596" s="42" t="s">
        <v>1965</v>
      </c>
      <c r="C1596" s="43" t="s">
        <v>289</v>
      </c>
      <c r="D1596" s="43" t="s">
        <v>327</v>
      </c>
      <c r="E1596" s="43" t="s">
        <v>230</v>
      </c>
    </row>
    <row r="1597" spans="1:5" x14ac:dyDescent="0.25">
      <c r="A1597" s="41">
        <v>5272</v>
      </c>
      <c r="B1597" s="42" t="s">
        <v>1966</v>
      </c>
      <c r="C1597" s="43" t="s">
        <v>289</v>
      </c>
      <c r="D1597" s="43" t="s">
        <v>996</v>
      </c>
      <c r="E1597" s="43" t="s">
        <v>230</v>
      </c>
    </row>
    <row r="1598" spans="1:5" x14ac:dyDescent="0.25">
      <c r="A1598" s="41">
        <v>5298</v>
      </c>
      <c r="B1598" s="42" t="s">
        <v>1967</v>
      </c>
      <c r="C1598" s="43" t="s">
        <v>289</v>
      </c>
      <c r="D1598" s="43" t="s">
        <v>333</v>
      </c>
      <c r="E1598" s="43" t="s">
        <v>230</v>
      </c>
    </row>
    <row r="1599" spans="1:5" x14ac:dyDescent="0.25">
      <c r="A1599" s="41">
        <v>5300</v>
      </c>
      <c r="B1599" s="42" t="s">
        <v>1968</v>
      </c>
      <c r="C1599" s="43" t="s">
        <v>289</v>
      </c>
      <c r="D1599" s="43" t="s">
        <v>509</v>
      </c>
      <c r="E1599" s="43" t="s">
        <v>230</v>
      </c>
    </row>
    <row r="1600" spans="1:5" x14ac:dyDescent="0.25">
      <c r="A1600" s="41">
        <v>5304</v>
      </c>
      <c r="B1600" s="42" t="s">
        <v>1969</v>
      </c>
      <c r="C1600" s="43" t="s">
        <v>289</v>
      </c>
      <c r="D1600" s="43" t="s">
        <v>795</v>
      </c>
      <c r="E1600" s="43" t="s">
        <v>864</v>
      </c>
    </row>
    <row r="1601" spans="1:5" x14ac:dyDescent="0.25">
      <c r="A1601" s="41">
        <v>5305</v>
      </c>
      <c r="B1601" s="42" t="s">
        <v>1970</v>
      </c>
      <c r="C1601" s="43" t="s">
        <v>289</v>
      </c>
      <c r="D1601" s="43" t="s">
        <v>795</v>
      </c>
      <c r="E1601" s="43" t="s">
        <v>864</v>
      </c>
    </row>
    <row r="1602" spans="1:5" x14ac:dyDescent="0.25">
      <c r="A1602" s="41">
        <v>5307</v>
      </c>
      <c r="B1602" s="42" t="s">
        <v>1971</v>
      </c>
      <c r="C1602" s="43" t="s">
        <v>289</v>
      </c>
      <c r="D1602" s="43" t="s">
        <v>468</v>
      </c>
      <c r="E1602" s="43" t="s">
        <v>230</v>
      </c>
    </row>
    <row r="1603" spans="1:5" x14ac:dyDescent="0.25">
      <c r="A1603" s="41">
        <v>5316</v>
      </c>
      <c r="B1603" s="42" t="s">
        <v>1972</v>
      </c>
      <c r="C1603" s="43" t="s">
        <v>289</v>
      </c>
      <c r="D1603" s="43" t="s">
        <v>1112</v>
      </c>
      <c r="E1603" s="43" t="s">
        <v>230</v>
      </c>
    </row>
    <row r="1604" spans="1:5" x14ac:dyDescent="0.25">
      <c r="A1604" s="41">
        <v>5318</v>
      </c>
      <c r="B1604" s="42" t="s">
        <v>1973</v>
      </c>
      <c r="C1604" s="43" t="s">
        <v>289</v>
      </c>
      <c r="D1604" s="43" t="s">
        <v>327</v>
      </c>
      <c r="E1604" s="43" t="s">
        <v>217</v>
      </c>
    </row>
    <row r="1605" spans="1:5" x14ac:dyDescent="0.25">
      <c r="A1605" s="41">
        <v>5319</v>
      </c>
      <c r="B1605" s="42" t="s">
        <v>1974</v>
      </c>
      <c r="C1605" s="43" t="s">
        <v>289</v>
      </c>
      <c r="D1605" s="43" t="s">
        <v>327</v>
      </c>
      <c r="E1605" s="43" t="s">
        <v>230</v>
      </c>
    </row>
    <row r="1606" spans="1:5" x14ac:dyDescent="0.25">
      <c r="A1606" s="41">
        <v>5320</v>
      </c>
      <c r="B1606" s="42" t="s">
        <v>1975</v>
      </c>
      <c r="C1606" s="43" t="s">
        <v>289</v>
      </c>
      <c r="D1606" s="43" t="s">
        <v>327</v>
      </c>
      <c r="E1606" s="43" t="s">
        <v>230</v>
      </c>
    </row>
    <row r="1607" spans="1:5" x14ac:dyDescent="0.25">
      <c r="A1607" s="41">
        <v>5321</v>
      </c>
      <c r="B1607" s="42" t="s">
        <v>1976</v>
      </c>
      <c r="C1607" s="43" t="s">
        <v>289</v>
      </c>
      <c r="D1607" s="43" t="s">
        <v>327</v>
      </c>
      <c r="E1607" s="43" t="s">
        <v>230</v>
      </c>
    </row>
    <row r="1608" spans="1:5" x14ac:dyDescent="0.25">
      <c r="A1608" s="41">
        <v>5333</v>
      </c>
      <c r="B1608" s="42" t="s">
        <v>1977</v>
      </c>
      <c r="C1608" s="43" t="s">
        <v>289</v>
      </c>
      <c r="D1608" s="43" t="s">
        <v>433</v>
      </c>
      <c r="E1608" s="43" t="s">
        <v>230</v>
      </c>
    </row>
    <row r="1609" spans="1:5" x14ac:dyDescent="0.25">
      <c r="A1609" s="41">
        <v>5337</v>
      </c>
      <c r="B1609" s="42" t="s">
        <v>1978</v>
      </c>
      <c r="C1609" s="43" t="s">
        <v>289</v>
      </c>
      <c r="D1609" s="43" t="s">
        <v>327</v>
      </c>
      <c r="E1609" s="43" t="s">
        <v>464</v>
      </c>
    </row>
    <row r="1610" spans="1:5" x14ac:dyDescent="0.25">
      <c r="A1610" s="41">
        <v>5341</v>
      </c>
      <c r="B1610" s="42" t="s">
        <v>1979</v>
      </c>
      <c r="C1610" s="43" t="s">
        <v>289</v>
      </c>
      <c r="D1610" s="43" t="s">
        <v>1073</v>
      </c>
      <c r="E1610" s="43" t="s">
        <v>454</v>
      </c>
    </row>
    <row r="1611" spans="1:5" x14ac:dyDescent="0.25">
      <c r="A1611" s="41">
        <v>5344</v>
      </c>
      <c r="B1611" s="42" t="s">
        <v>1980</v>
      </c>
      <c r="C1611" s="43" t="s">
        <v>289</v>
      </c>
      <c r="D1611" s="43" t="s">
        <v>1981</v>
      </c>
      <c r="E1611" s="43" t="s">
        <v>217</v>
      </c>
    </row>
    <row r="1612" spans="1:5" x14ac:dyDescent="0.25">
      <c r="A1612" s="41">
        <v>5373</v>
      </c>
      <c r="B1612" s="42" t="s">
        <v>1982</v>
      </c>
      <c r="C1612" s="43" t="s">
        <v>289</v>
      </c>
      <c r="D1612" s="43" t="s">
        <v>410</v>
      </c>
      <c r="E1612" s="43" t="s">
        <v>230</v>
      </c>
    </row>
    <row r="1613" spans="1:5" x14ac:dyDescent="0.25">
      <c r="A1613" s="41">
        <v>5374</v>
      </c>
      <c r="B1613" s="42" t="s">
        <v>1983</v>
      </c>
      <c r="C1613" s="43" t="s">
        <v>289</v>
      </c>
      <c r="D1613" s="43" t="s">
        <v>327</v>
      </c>
      <c r="E1613" s="43" t="s">
        <v>864</v>
      </c>
    </row>
    <row r="1614" spans="1:5" x14ac:dyDescent="0.25">
      <c r="A1614" s="41">
        <v>5376</v>
      </c>
      <c r="B1614" s="42" t="s">
        <v>1984</v>
      </c>
      <c r="C1614" s="43" t="s">
        <v>289</v>
      </c>
      <c r="D1614" s="43" t="s">
        <v>327</v>
      </c>
      <c r="E1614" s="43" t="s">
        <v>766</v>
      </c>
    </row>
    <row r="1615" spans="1:5" x14ac:dyDescent="0.25">
      <c r="A1615" s="41">
        <v>5379</v>
      </c>
      <c r="B1615" s="42" t="s">
        <v>1985</v>
      </c>
      <c r="C1615" s="43" t="s">
        <v>289</v>
      </c>
      <c r="D1615" s="43" t="s">
        <v>327</v>
      </c>
      <c r="E1615" s="43" t="s">
        <v>230</v>
      </c>
    </row>
    <row r="1616" spans="1:5" x14ac:dyDescent="0.25">
      <c r="A1616" s="41">
        <v>5380</v>
      </c>
      <c r="B1616" s="42" t="s">
        <v>1986</v>
      </c>
      <c r="C1616" s="43" t="s">
        <v>289</v>
      </c>
      <c r="D1616" s="43" t="s">
        <v>316</v>
      </c>
      <c r="E1616" s="43" t="s">
        <v>336</v>
      </c>
    </row>
    <row r="1617" spans="1:5" x14ac:dyDescent="0.25">
      <c r="A1617" s="41">
        <v>5385</v>
      </c>
      <c r="B1617" s="42" t="s">
        <v>1987</v>
      </c>
      <c r="C1617" s="43" t="s">
        <v>289</v>
      </c>
      <c r="D1617" s="43" t="s">
        <v>694</v>
      </c>
      <c r="E1617" s="43" t="s">
        <v>230</v>
      </c>
    </row>
    <row r="1618" spans="1:5" x14ac:dyDescent="0.25">
      <c r="A1618" s="41">
        <v>5386</v>
      </c>
      <c r="B1618" s="42" t="s">
        <v>1988</v>
      </c>
      <c r="C1618" s="43" t="s">
        <v>289</v>
      </c>
      <c r="D1618" s="43" t="s">
        <v>795</v>
      </c>
      <c r="E1618" s="43" t="s">
        <v>373</v>
      </c>
    </row>
    <row r="1619" spans="1:5" x14ac:dyDescent="0.25">
      <c r="A1619" s="41">
        <v>5406</v>
      </c>
      <c r="B1619" s="42" t="s">
        <v>1182</v>
      </c>
      <c r="C1619" s="43" t="s">
        <v>289</v>
      </c>
      <c r="D1619" s="43" t="s">
        <v>316</v>
      </c>
      <c r="E1619" s="43" t="s">
        <v>217</v>
      </c>
    </row>
    <row r="1620" spans="1:5" x14ac:dyDescent="0.25">
      <c r="A1620" s="41">
        <v>5407</v>
      </c>
      <c r="B1620" s="42" t="s">
        <v>1183</v>
      </c>
      <c r="C1620" s="43" t="s">
        <v>289</v>
      </c>
      <c r="D1620" s="43" t="s">
        <v>316</v>
      </c>
      <c r="E1620" s="43" t="s">
        <v>217</v>
      </c>
    </row>
    <row r="1621" spans="1:5" x14ac:dyDescent="0.25">
      <c r="A1621" s="41">
        <v>5412</v>
      </c>
      <c r="B1621" s="42" t="s">
        <v>1989</v>
      </c>
      <c r="C1621" s="43" t="s">
        <v>289</v>
      </c>
      <c r="D1621" s="43" t="s">
        <v>410</v>
      </c>
      <c r="E1621" s="43" t="s">
        <v>230</v>
      </c>
    </row>
    <row r="1622" spans="1:5" x14ac:dyDescent="0.25">
      <c r="A1622" s="41">
        <v>5414</v>
      </c>
      <c r="B1622" s="42" t="s">
        <v>1990</v>
      </c>
      <c r="C1622" s="43" t="s">
        <v>289</v>
      </c>
      <c r="D1622" s="43" t="s">
        <v>316</v>
      </c>
      <c r="E1622" s="43" t="s">
        <v>230</v>
      </c>
    </row>
    <row r="1623" spans="1:5" x14ac:dyDescent="0.25">
      <c r="A1623" s="41">
        <v>5420</v>
      </c>
      <c r="B1623" s="42" t="s">
        <v>1991</v>
      </c>
      <c r="C1623" s="43" t="s">
        <v>289</v>
      </c>
      <c r="D1623" s="43" t="s">
        <v>316</v>
      </c>
      <c r="E1623" s="43" t="s">
        <v>531</v>
      </c>
    </row>
    <row r="1624" spans="1:5" x14ac:dyDescent="0.25">
      <c r="A1624" s="41">
        <v>5423</v>
      </c>
      <c r="B1624" s="42" t="s">
        <v>1992</v>
      </c>
      <c r="C1624" s="43" t="s">
        <v>289</v>
      </c>
      <c r="D1624" s="43" t="s">
        <v>466</v>
      </c>
      <c r="E1624" s="43" t="s">
        <v>464</v>
      </c>
    </row>
    <row r="1625" spans="1:5" x14ac:dyDescent="0.25">
      <c r="A1625" s="41">
        <v>5425</v>
      </c>
      <c r="B1625" s="42" t="s">
        <v>1993</v>
      </c>
      <c r="C1625" s="43" t="s">
        <v>289</v>
      </c>
      <c r="D1625" s="43" t="s">
        <v>327</v>
      </c>
      <c r="E1625" s="43" t="s">
        <v>230</v>
      </c>
    </row>
    <row r="1626" spans="1:5" x14ac:dyDescent="0.25">
      <c r="A1626" s="41">
        <v>5426</v>
      </c>
      <c r="B1626" s="42" t="s">
        <v>1994</v>
      </c>
      <c r="C1626" s="43" t="s">
        <v>289</v>
      </c>
      <c r="D1626" s="43" t="s">
        <v>327</v>
      </c>
      <c r="E1626" s="43" t="s">
        <v>230</v>
      </c>
    </row>
    <row r="1627" spans="1:5" x14ac:dyDescent="0.25">
      <c r="A1627" s="41">
        <v>5431</v>
      </c>
      <c r="B1627" s="42" t="s">
        <v>1995</v>
      </c>
      <c r="C1627" s="43" t="s">
        <v>289</v>
      </c>
      <c r="D1627" s="43" t="s">
        <v>327</v>
      </c>
      <c r="E1627" s="43" t="s">
        <v>864</v>
      </c>
    </row>
    <row r="1628" spans="1:5" x14ac:dyDescent="0.25">
      <c r="A1628" s="41">
        <v>5432</v>
      </c>
      <c r="B1628" s="42" t="s">
        <v>1996</v>
      </c>
      <c r="C1628" s="43" t="s">
        <v>289</v>
      </c>
      <c r="D1628" s="43" t="s">
        <v>327</v>
      </c>
      <c r="E1628" s="43" t="s">
        <v>864</v>
      </c>
    </row>
    <row r="1629" spans="1:5" x14ac:dyDescent="0.25">
      <c r="A1629" s="41">
        <v>5433</v>
      </c>
      <c r="B1629" s="42" t="s">
        <v>1997</v>
      </c>
      <c r="C1629" s="43" t="s">
        <v>289</v>
      </c>
      <c r="D1629" s="43" t="s">
        <v>327</v>
      </c>
      <c r="E1629" s="43" t="s">
        <v>864</v>
      </c>
    </row>
    <row r="1630" spans="1:5" x14ac:dyDescent="0.25">
      <c r="A1630" s="41">
        <v>5434</v>
      </c>
      <c r="B1630" s="42" t="s">
        <v>1998</v>
      </c>
      <c r="C1630" s="43" t="s">
        <v>289</v>
      </c>
      <c r="D1630" s="43" t="s">
        <v>316</v>
      </c>
      <c r="E1630" s="43" t="s">
        <v>864</v>
      </c>
    </row>
    <row r="1631" spans="1:5" x14ac:dyDescent="0.25">
      <c r="A1631" s="41">
        <v>5439</v>
      </c>
      <c r="B1631" s="42" t="s">
        <v>1999</v>
      </c>
      <c r="C1631" s="43" t="s">
        <v>289</v>
      </c>
      <c r="D1631" s="43" t="s">
        <v>435</v>
      </c>
      <c r="E1631" s="43" t="s">
        <v>436</v>
      </c>
    </row>
    <row r="1632" spans="1:5" x14ac:dyDescent="0.25">
      <c r="A1632" s="41">
        <v>5440</v>
      </c>
      <c r="B1632" s="42" t="s">
        <v>2000</v>
      </c>
      <c r="C1632" s="43" t="s">
        <v>289</v>
      </c>
      <c r="D1632" s="43" t="s">
        <v>435</v>
      </c>
      <c r="E1632" s="43" t="s">
        <v>436</v>
      </c>
    </row>
    <row r="1633" spans="1:5" x14ac:dyDescent="0.25">
      <c r="A1633" s="41">
        <v>5442</v>
      </c>
      <c r="B1633" s="42" t="s">
        <v>2001</v>
      </c>
      <c r="C1633" s="43" t="s">
        <v>289</v>
      </c>
      <c r="D1633" s="43" t="s">
        <v>327</v>
      </c>
      <c r="E1633" s="43" t="s">
        <v>230</v>
      </c>
    </row>
    <row r="1634" spans="1:5" x14ac:dyDescent="0.25">
      <c r="A1634" s="41">
        <v>5443</v>
      </c>
      <c r="B1634" s="42" t="s">
        <v>2002</v>
      </c>
      <c r="C1634" s="43" t="s">
        <v>289</v>
      </c>
      <c r="D1634" s="43" t="s">
        <v>327</v>
      </c>
      <c r="E1634" s="43" t="s">
        <v>230</v>
      </c>
    </row>
    <row r="1635" spans="1:5" x14ac:dyDescent="0.25">
      <c r="A1635" s="41">
        <v>5444</v>
      </c>
      <c r="B1635" s="42" t="s">
        <v>2003</v>
      </c>
      <c r="C1635" s="43" t="s">
        <v>289</v>
      </c>
      <c r="D1635" s="43" t="s">
        <v>327</v>
      </c>
      <c r="E1635" s="43" t="s">
        <v>373</v>
      </c>
    </row>
    <row r="1636" spans="1:5" x14ac:dyDescent="0.25">
      <c r="A1636" s="41">
        <v>5445</v>
      </c>
      <c r="B1636" s="42" t="s">
        <v>2004</v>
      </c>
      <c r="C1636" s="43" t="s">
        <v>289</v>
      </c>
      <c r="D1636" s="43" t="s">
        <v>327</v>
      </c>
      <c r="E1636" s="43" t="s">
        <v>373</v>
      </c>
    </row>
    <row r="1637" spans="1:5" x14ac:dyDescent="0.25">
      <c r="A1637" s="41">
        <v>5446</v>
      </c>
      <c r="B1637" s="42" t="s">
        <v>2005</v>
      </c>
      <c r="C1637" s="43" t="s">
        <v>289</v>
      </c>
      <c r="D1637" s="43" t="s">
        <v>327</v>
      </c>
      <c r="E1637" s="43" t="s">
        <v>373</v>
      </c>
    </row>
    <row r="1638" spans="1:5" x14ac:dyDescent="0.25">
      <c r="A1638" s="41">
        <v>5447</v>
      </c>
      <c r="B1638" s="42" t="s">
        <v>2006</v>
      </c>
      <c r="C1638" s="43" t="s">
        <v>289</v>
      </c>
      <c r="D1638" s="43" t="s">
        <v>327</v>
      </c>
      <c r="E1638" s="43" t="s">
        <v>373</v>
      </c>
    </row>
    <row r="1639" spans="1:5" x14ac:dyDescent="0.25">
      <c r="A1639" s="41">
        <v>5448</v>
      </c>
      <c r="B1639" s="42" t="s">
        <v>2007</v>
      </c>
      <c r="C1639" s="43" t="s">
        <v>289</v>
      </c>
      <c r="D1639" s="43" t="s">
        <v>327</v>
      </c>
      <c r="E1639" s="43" t="s">
        <v>373</v>
      </c>
    </row>
    <row r="1640" spans="1:5" x14ac:dyDescent="0.25">
      <c r="A1640" s="41">
        <v>5450</v>
      </c>
      <c r="B1640" s="42" t="s">
        <v>2008</v>
      </c>
      <c r="C1640" s="43" t="s">
        <v>289</v>
      </c>
      <c r="D1640" s="43" t="s">
        <v>327</v>
      </c>
      <c r="E1640" s="43" t="s">
        <v>230</v>
      </c>
    </row>
    <row r="1641" spans="1:5" x14ac:dyDescent="0.25">
      <c r="A1641" s="41">
        <v>5453</v>
      </c>
      <c r="B1641" s="42" t="s">
        <v>2009</v>
      </c>
      <c r="C1641" s="43" t="s">
        <v>289</v>
      </c>
      <c r="D1641" s="43" t="s">
        <v>694</v>
      </c>
      <c r="E1641" s="43" t="s">
        <v>373</v>
      </c>
    </row>
    <row r="1642" spans="1:5" x14ac:dyDescent="0.25">
      <c r="A1642" s="41">
        <v>5455</v>
      </c>
      <c r="B1642" s="42" t="s">
        <v>2010</v>
      </c>
      <c r="C1642" s="43" t="s">
        <v>289</v>
      </c>
      <c r="D1642" s="43" t="s">
        <v>316</v>
      </c>
      <c r="E1642" s="43" t="s">
        <v>464</v>
      </c>
    </row>
    <row r="1643" spans="1:5" x14ac:dyDescent="0.25">
      <c r="A1643" s="41">
        <v>5456</v>
      </c>
      <c r="B1643" s="42" t="s">
        <v>2011</v>
      </c>
      <c r="C1643" s="43" t="s">
        <v>289</v>
      </c>
      <c r="D1643" s="43" t="s">
        <v>694</v>
      </c>
      <c r="E1643" s="43" t="s">
        <v>464</v>
      </c>
    </row>
    <row r="1644" spans="1:5" x14ac:dyDescent="0.25">
      <c r="A1644" s="41">
        <v>5458</v>
      </c>
      <c r="B1644" s="42" t="s">
        <v>2012</v>
      </c>
      <c r="C1644" s="43" t="s">
        <v>289</v>
      </c>
      <c r="D1644" s="43" t="s">
        <v>327</v>
      </c>
      <c r="E1644" s="43" t="s">
        <v>464</v>
      </c>
    </row>
    <row r="1645" spans="1:5" x14ac:dyDescent="0.25">
      <c r="A1645" s="41">
        <v>5460</v>
      </c>
      <c r="B1645" s="42" t="s">
        <v>2013</v>
      </c>
      <c r="C1645" s="43" t="s">
        <v>289</v>
      </c>
      <c r="D1645" s="43" t="s">
        <v>329</v>
      </c>
      <c r="E1645" s="43" t="s">
        <v>464</v>
      </c>
    </row>
    <row r="1646" spans="1:5" x14ac:dyDescent="0.25">
      <c r="A1646" s="41">
        <v>5461</v>
      </c>
      <c r="B1646" s="42" t="s">
        <v>2014</v>
      </c>
      <c r="C1646" s="43" t="s">
        <v>289</v>
      </c>
      <c r="D1646" s="43" t="s">
        <v>327</v>
      </c>
      <c r="E1646" s="43" t="s">
        <v>230</v>
      </c>
    </row>
    <row r="1647" spans="1:5" x14ac:dyDescent="0.25">
      <c r="A1647" s="41">
        <v>5462</v>
      </c>
      <c r="B1647" s="42" t="s">
        <v>2015</v>
      </c>
      <c r="C1647" s="43" t="s">
        <v>289</v>
      </c>
      <c r="D1647" s="43" t="s">
        <v>327</v>
      </c>
      <c r="E1647" s="43" t="s">
        <v>464</v>
      </c>
    </row>
    <row r="1648" spans="1:5" x14ac:dyDescent="0.25">
      <c r="A1648" s="41">
        <v>5464</v>
      </c>
      <c r="B1648" s="42" t="s">
        <v>2016</v>
      </c>
      <c r="C1648" s="43" t="s">
        <v>289</v>
      </c>
      <c r="D1648" s="43" t="s">
        <v>327</v>
      </c>
      <c r="E1648" s="43" t="s">
        <v>373</v>
      </c>
    </row>
    <row r="1649" spans="1:5" x14ac:dyDescent="0.25">
      <c r="A1649" s="41">
        <v>5470</v>
      </c>
      <c r="B1649" s="42" t="s">
        <v>2017</v>
      </c>
      <c r="C1649" s="43" t="s">
        <v>289</v>
      </c>
      <c r="D1649" s="43" t="s">
        <v>314</v>
      </c>
      <c r="E1649" s="43" t="s">
        <v>464</v>
      </c>
    </row>
    <row r="1650" spans="1:5" x14ac:dyDescent="0.25">
      <c r="A1650" s="41">
        <v>5471</v>
      </c>
      <c r="B1650" s="42" t="s">
        <v>2018</v>
      </c>
      <c r="C1650" s="43" t="s">
        <v>289</v>
      </c>
      <c r="D1650" s="43" t="s">
        <v>468</v>
      </c>
      <c r="E1650" s="43" t="s">
        <v>230</v>
      </c>
    </row>
    <row r="1651" spans="1:5" x14ac:dyDescent="0.25">
      <c r="A1651" s="41">
        <v>5472</v>
      </c>
      <c r="B1651" s="42" t="s">
        <v>2019</v>
      </c>
      <c r="C1651" s="43" t="s">
        <v>289</v>
      </c>
      <c r="D1651" s="43" t="s">
        <v>468</v>
      </c>
      <c r="E1651" s="43" t="s">
        <v>230</v>
      </c>
    </row>
    <row r="1652" spans="1:5" x14ac:dyDescent="0.25">
      <c r="A1652" s="41">
        <v>5478</v>
      </c>
      <c r="B1652" s="42" t="s">
        <v>2020</v>
      </c>
      <c r="C1652" s="43" t="s">
        <v>289</v>
      </c>
      <c r="D1652" s="43" t="s">
        <v>327</v>
      </c>
      <c r="E1652" s="43" t="s">
        <v>531</v>
      </c>
    </row>
    <row r="1653" spans="1:5" x14ac:dyDescent="0.25">
      <c r="A1653" s="41">
        <v>5481</v>
      </c>
      <c r="B1653" s="42" t="s">
        <v>2021</v>
      </c>
      <c r="C1653" s="43" t="s">
        <v>289</v>
      </c>
      <c r="D1653" s="43" t="s">
        <v>327</v>
      </c>
      <c r="E1653" s="43" t="s">
        <v>454</v>
      </c>
    </row>
    <row r="1654" spans="1:5" x14ac:dyDescent="0.25">
      <c r="A1654" s="41">
        <v>5486</v>
      </c>
      <c r="B1654" s="42" t="s">
        <v>2022</v>
      </c>
      <c r="C1654" s="43" t="s">
        <v>289</v>
      </c>
      <c r="D1654" s="43" t="s">
        <v>327</v>
      </c>
      <c r="E1654" s="43" t="s">
        <v>464</v>
      </c>
    </row>
    <row r="1655" spans="1:5" x14ac:dyDescent="0.25">
      <c r="A1655" s="41">
        <v>5489</v>
      </c>
      <c r="B1655" s="42" t="s">
        <v>2023</v>
      </c>
      <c r="C1655" s="43" t="s">
        <v>289</v>
      </c>
      <c r="D1655" s="43" t="s">
        <v>327</v>
      </c>
      <c r="E1655" s="43" t="s">
        <v>864</v>
      </c>
    </row>
    <row r="1656" spans="1:5" x14ac:dyDescent="0.25">
      <c r="A1656" s="41">
        <v>5491</v>
      </c>
      <c r="B1656" s="42" t="s">
        <v>2024</v>
      </c>
      <c r="C1656" s="43" t="s">
        <v>289</v>
      </c>
      <c r="D1656" s="43" t="s">
        <v>333</v>
      </c>
      <c r="E1656" s="43" t="s">
        <v>373</v>
      </c>
    </row>
    <row r="1657" spans="1:5" x14ac:dyDescent="0.25">
      <c r="A1657" s="41">
        <v>5492</v>
      </c>
      <c r="B1657" s="42" t="s">
        <v>2025</v>
      </c>
      <c r="C1657" s="43" t="s">
        <v>289</v>
      </c>
      <c r="D1657" s="43" t="s">
        <v>327</v>
      </c>
      <c r="E1657" s="43" t="s">
        <v>864</v>
      </c>
    </row>
    <row r="1658" spans="1:5" x14ac:dyDescent="0.25">
      <c r="A1658" s="41">
        <v>5494</v>
      </c>
      <c r="B1658" s="42" t="s">
        <v>2026</v>
      </c>
      <c r="C1658" s="43" t="s">
        <v>289</v>
      </c>
      <c r="D1658" s="43" t="s">
        <v>327</v>
      </c>
      <c r="E1658" s="43" t="s">
        <v>230</v>
      </c>
    </row>
    <row r="1659" spans="1:5" x14ac:dyDescent="0.25">
      <c r="A1659" s="41">
        <v>5498</v>
      </c>
      <c r="B1659" s="42" t="s">
        <v>2027</v>
      </c>
      <c r="C1659" s="43" t="s">
        <v>289</v>
      </c>
      <c r="D1659" s="43" t="s">
        <v>327</v>
      </c>
      <c r="E1659" s="43" t="s">
        <v>454</v>
      </c>
    </row>
    <row r="1660" spans="1:5" x14ac:dyDescent="0.25">
      <c r="A1660" s="41">
        <v>5499</v>
      </c>
      <c r="B1660" s="42" t="s">
        <v>2028</v>
      </c>
      <c r="C1660" s="43" t="s">
        <v>289</v>
      </c>
      <c r="D1660" s="43" t="s">
        <v>523</v>
      </c>
      <c r="E1660" s="43" t="s">
        <v>230</v>
      </c>
    </row>
    <row r="1661" spans="1:5" x14ac:dyDescent="0.25">
      <c r="A1661" s="41">
        <v>5503</v>
      </c>
      <c r="B1661" s="42" t="s">
        <v>2029</v>
      </c>
      <c r="C1661" s="43" t="s">
        <v>289</v>
      </c>
      <c r="D1661" s="43" t="s">
        <v>316</v>
      </c>
      <c r="E1661" s="43" t="s">
        <v>531</v>
      </c>
    </row>
    <row r="1662" spans="1:5" x14ac:dyDescent="0.25">
      <c r="A1662" s="41">
        <v>5505</v>
      </c>
      <c r="B1662" s="42" t="s">
        <v>2030</v>
      </c>
      <c r="C1662" s="43" t="s">
        <v>289</v>
      </c>
      <c r="D1662" s="43" t="s">
        <v>316</v>
      </c>
      <c r="E1662" s="43" t="s">
        <v>531</v>
      </c>
    </row>
    <row r="1663" spans="1:5" x14ac:dyDescent="0.25">
      <c r="A1663" s="41">
        <v>5506</v>
      </c>
      <c r="B1663" s="42" t="s">
        <v>2031</v>
      </c>
      <c r="C1663" s="43" t="s">
        <v>289</v>
      </c>
      <c r="D1663" s="43" t="s">
        <v>316</v>
      </c>
      <c r="E1663" s="43" t="s">
        <v>531</v>
      </c>
    </row>
    <row r="1664" spans="1:5" x14ac:dyDescent="0.25">
      <c r="A1664" s="41">
        <v>5514</v>
      </c>
      <c r="B1664" s="42" t="s">
        <v>2032</v>
      </c>
      <c r="C1664" s="43" t="s">
        <v>289</v>
      </c>
      <c r="D1664" s="43" t="s">
        <v>314</v>
      </c>
      <c r="E1664" s="43" t="s">
        <v>230</v>
      </c>
    </row>
    <row r="1665" spans="1:5" x14ac:dyDescent="0.25">
      <c r="A1665" s="41">
        <v>5516</v>
      </c>
      <c r="B1665" s="42" t="s">
        <v>2033</v>
      </c>
      <c r="C1665" s="43" t="s">
        <v>289</v>
      </c>
      <c r="D1665" s="43" t="s">
        <v>635</v>
      </c>
      <c r="E1665" s="43" t="s">
        <v>230</v>
      </c>
    </row>
    <row r="1666" spans="1:5" x14ac:dyDescent="0.25">
      <c r="A1666" s="41">
        <v>5517</v>
      </c>
      <c r="B1666" s="42" t="s">
        <v>2034</v>
      </c>
      <c r="C1666" s="43" t="s">
        <v>289</v>
      </c>
      <c r="D1666" s="43" t="s">
        <v>633</v>
      </c>
      <c r="E1666" s="43" t="s">
        <v>230</v>
      </c>
    </row>
    <row r="1667" spans="1:5" x14ac:dyDescent="0.25">
      <c r="A1667" s="41">
        <v>5518</v>
      </c>
      <c r="B1667" s="42" t="s">
        <v>2035</v>
      </c>
      <c r="C1667" s="43" t="s">
        <v>289</v>
      </c>
      <c r="D1667" s="43" t="s">
        <v>314</v>
      </c>
      <c r="E1667" s="43" t="s">
        <v>230</v>
      </c>
    </row>
    <row r="1668" spans="1:5" x14ac:dyDescent="0.25">
      <c r="A1668" s="41">
        <v>5519</v>
      </c>
      <c r="B1668" s="42" t="s">
        <v>2036</v>
      </c>
      <c r="C1668" s="43" t="s">
        <v>289</v>
      </c>
      <c r="D1668" s="43" t="s">
        <v>941</v>
      </c>
      <c r="E1668" s="43" t="s">
        <v>454</v>
      </c>
    </row>
    <row r="1669" spans="1:5" x14ac:dyDescent="0.25">
      <c r="A1669" s="41">
        <v>5520</v>
      </c>
      <c r="B1669" s="42" t="s">
        <v>2037</v>
      </c>
      <c r="C1669" s="43" t="s">
        <v>289</v>
      </c>
      <c r="D1669" s="43" t="s">
        <v>327</v>
      </c>
      <c r="E1669" s="43" t="s">
        <v>454</v>
      </c>
    </row>
    <row r="1670" spans="1:5" x14ac:dyDescent="0.25">
      <c r="A1670" s="41">
        <v>5524</v>
      </c>
      <c r="B1670" s="42" t="s">
        <v>2038</v>
      </c>
      <c r="C1670" s="43" t="s">
        <v>289</v>
      </c>
      <c r="D1670" s="43" t="s">
        <v>327</v>
      </c>
      <c r="E1670" s="43" t="s">
        <v>336</v>
      </c>
    </row>
    <row r="1671" spans="1:5" x14ac:dyDescent="0.25">
      <c r="A1671" s="41">
        <v>5525</v>
      </c>
      <c r="B1671" s="42" t="s">
        <v>2039</v>
      </c>
      <c r="C1671" s="43" t="s">
        <v>289</v>
      </c>
      <c r="D1671" s="43" t="s">
        <v>327</v>
      </c>
      <c r="E1671" s="43" t="s">
        <v>230</v>
      </c>
    </row>
    <row r="1672" spans="1:5" x14ac:dyDescent="0.25">
      <c r="A1672" s="41">
        <v>5526</v>
      </c>
      <c r="B1672" s="42" t="s">
        <v>2040</v>
      </c>
      <c r="C1672" s="43" t="s">
        <v>289</v>
      </c>
      <c r="D1672" s="43" t="s">
        <v>327</v>
      </c>
      <c r="E1672" s="43" t="s">
        <v>230</v>
      </c>
    </row>
    <row r="1673" spans="1:5" x14ac:dyDescent="0.25">
      <c r="A1673" s="41">
        <v>5527</v>
      </c>
      <c r="B1673" s="42" t="s">
        <v>2041</v>
      </c>
      <c r="C1673" s="43" t="s">
        <v>289</v>
      </c>
      <c r="D1673" s="43" t="s">
        <v>327</v>
      </c>
      <c r="E1673" s="43" t="s">
        <v>230</v>
      </c>
    </row>
    <row r="1674" spans="1:5" x14ac:dyDescent="0.25">
      <c r="A1674" s="41">
        <v>5529</v>
      </c>
      <c r="B1674" s="42" t="s">
        <v>2042</v>
      </c>
      <c r="C1674" s="43" t="s">
        <v>289</v>
      </c>
      <c r="D1674" s="43" t="s">
        <v>327</v>
      </c>
      <c r="E1674" s="43" t="s">
        <v>230</v>
      </c>
    </row>
    <row r="1675" spans="1:5" x14ac:dyDescent="0.25">
      <c r="A1675" s="41">
        <v>5534</v>
      </c>
      <c r="B1675" s="42" t="s">
        <v>2043</v>
      </c>
      <c r="C1675" s="43" t="s">
        <v>289</v>
      </c>
      <c r="D1675" s="43" t="s">
        <v>327</v>
      </c>
      <c r="E1675" s="43" t="s">
        <v>230</v>
      </c>
    </row>
    <row r="1676" spans="1:5" x14ac:dyDescent="0.25">
      <c r="A1676" s="41">
        <v>5550</v>
      </c>
      <c r="B1676" s="42" t="s">
        <v>2044</v>
      </c>
      <c r="C1676" s="43" t="s">
        <v>289</v>
      </c>
      <c r="D1676" s="43" t="s">
        <v>327</v>
      </c>
      <c r="E1676" s="43" t="s">
        <v>230</v>
      </c>
    </row>
    <row r="1677" spans="1:5" x14ac:dyDescent="0.25">
      <c r="A1677" s="41">
        <v>5553</v>
      </c>
      <c r="B1677" s="42" t="s">
        <v>2045</v>
      </c>
      <c r="C1677" s="43" t="s">
        <v>289</v>
      </c>
      <c r="D1677" s="43" t="s">
        <v>327</v>
      </c>
      <c r="E1677" s="43" t="s">
        <v>230</v>
      </c>
    </row>
    <row r="1678" spans="1:5" x14ac:dyDescent="0.25">
      <c r="A1678" s="41">
        <v>5554</v>
      </c>
      <c r="B1678" s="42" t="s">
        <v>2046</v>
      </c>
      <c r="C1678" s="43" t="s">
        <v>289</v>
      </c>
      <c r="D1678" s="43" t="s">
        <v>327</v>
      </c>
      <c r="E1678" s="43" t="s">
        <v>1093</v>
      </c>
    </row>
    <row r="1679" spans="1:5" x14ac:dyDescent="0.25">
      <c r="A1679" s="41">
        <v>5555</v>
      </c>
      <c r="B1679" s="42" t="s">
        <v>2047</v>
      </c>
      <c r="C1679" s="43" t="s">
        <v>289</v>
      </c>
      <c r="D1679" s="43" t="s">
        <v>327</v>
      </c>
      <c r="E1679" s="43" t="s">
        <v>230</v>
      </c>
    </row>
    <row r="1680" spans="1:5" x14ac:dyDescent="0.25">
      <c r="A1680" s="41">
        <v>5561</v>
      </c>
      <c r="B1680" s="42" t="s">
        <v>2048</v>
      </c>
      <c r="C1680" s="43" t="s">
        <v>289</v>
      </c>
      <c r="D1680" s="43" t="s">
        <v>327</v>
      </c>
      <c r="E1680" s="43" t="s">
        <v>230</v>
      </c>
    </row>
    <row r="1681" spans="1:5" x14ac:dyDescent="0.25">
      <c r="A1681" s="41">
        <v>5566</v>
      </c>
      <c r="B1681" s="42" t="s">
        <v>2049</v>
      </c>
      <c r="C1681" s="43" t="s">
        <v>289</v>
      </c>
      <c r="D1681" s="43" t="s">
        <v>327</v>
      </c>
      <c r="E1681" s="43" t="s">
        <v>230</v>
      </c>
    </row>
    <row r="1682" spans="1:5" x14ac:dyDescent="0.25">
      <c r="A1682" s="41">
        <v>5584</v>
      </c>
      <c r="B1682" s="42" t="s">
        <v>2050</v>
      </c>
      <c r="C1682" s="43" t="s">
        <v>289</v>
      </c>
      <c r="D1682" s="43" t="s">
        <v>327</v>
      </c>
      <c r="E1682" s="43" t="s">
        <v>230</v>
      </c>
    </row>
    <row r="1683" spans="1:5" x14ac:dyDescent="0.25">
      <c r="A1683" s="41">
        <v>5595</v>
      </c>
      <c r="B1683" s="42" t="s">
        <v>2051</v>
      </c>
      <c r="C1683" s="43" t="s">
        <v>289</v>
      </c>
      <c r="D1683" s="43" t="s">
        <v>941</v>
      </c>
      <c r="E1683" s="43" t="s">
        <v>454</v>
      </c>
    </row>
    <row r="1684" spans="1:5" x14ac:dyDescent="0.25">
      <c r="A1684" s="41">
        <v>5596</v>
      </c>
      <c r="B1684" s="42" t="s">
        <v>2052</v>
      </c>
      <c r="C1684" s="43" t="s">
        <v>289</v>
      </c>
      <c r="D1684" s="43" t="s">
        <v>941</v>
      </c>
      <c r="E1684" s="43" t="s">
        <v>454</v>
      </c>
    </row>
    <row r="1685" spans="1:5" x14ac:dyDescent="0.25">
      <c r="A1685" s="41">
        <v>5597</v>
      </c>
      <c r="B1685" s="42" t="s">
        <v>2053</v>
      </c>
      <c r="C1685" s="43" t="s">
        <v>289</v>
      </c>
      <c r="D1685" s="43" t="s">
        <v>941</v>
      </c>
      <c r="E1685" s="43" t="s">
        <v>454</v>
      </c>
    </row>
    <row r="1686" spans="1:5" x14ac:dyDescent="0.25">
      <c r="A1686" s="41">
        <v>5600</v>
      </c>
      <c r="B1686" s="42" t="s">
        <v>2054</v>
      </c>
      <c r="C1686" s="43" t="s">
        <v>289</v>
      </c>
      <c r="D1686" s="43" t="s">
        <v>327</v>
      </c>
      <c r="E1686" s="43" t="s">
        <v>531</v>
      </c>
    </row>
    <row r="1687" spans="1:5" x14ac:dyDescent="0.25">
      <c r="A1687" s="41">
        <v>5603</v>
      </c>
      <c r="B1687" s="42" t="s">
        <v>2055</v>
      </c>
      <c r="C1687" s="43" t="s">
        <v>289</v>
      </c>
      <c r="D1687" s="43" t="s">
        <v>1141</v>
      </c>
      <c r="E1687" s="43" t="s">
        <v>230</v>
      </c>
    </row>
    <row r="1688" spans="1:5" x14ac:dyDescent="0.25">
      <c r="A1688" s="41">
        <v>5609</v>
      </c>
      <c r="B1688" s="42" t="s">
        <v>2056</v>
      </c>
      <c r="C1688" s="43" t="s">
        <v>289</v>
      </c>
      <c r="D1688" s="43" t="s">
        <v>327</v>
      </c>
      <c r="E1688" s="43" t="s">
        <v>464</v>
      </c>
    </row>
    <row r="1689" spans="1:5" x14ac:dyDescent="0.25">
      <c r="A1689" s="41">
        <v>5612</v>
      </c>
      <c r="B1689" s="42" t="s">
        <v>2057</v>
      </c>
      <c r="C1689" s="43" t="s">
        <v>289</v>
      </c>
      <c r="D1689" s="43" t="s">
        <v>327</v>
      </c>
      <c r="E1689" s="43" t="s">
        <v>230</v>
      </c>
    </row>
    <row r="1690" spans="1:5" x14ac:dyDescent="0.25">
      <c r="A1690" s="41">
        <v>5614</v>
      </c>
      <c r="B1690" s="42" t="s">
        <v>2058</v>
      </c>
      <c r="C1690" s="43" t="s">
        <v>289</v>
      </c>
      <c r="D1690" s="43" t="s">
        <v>327</v>
      </c>
      <c r="E1690" s="43" t="s">
        <v>230</v>
      </c>
    </row>
    <row r="1691" spans="1:5" x14ac:dyDescent="0.25">
      <c r="A1691" s="41">
        <v>5616</v>
      </c>
      <c r="B1691" s="42" t="s">
        <v>2059</v>
      </c>
      <c r="C1691" s="43" t="s">
        <v>289</v>
      </c>
      <c r="D1691" s="43" t="s">
        <v>327</v>
      </c>
      <c r="E1691" s="43" t="s">
        <v>230</v>
      </c>
    </row>
    <row r="1692" spans="1:5" x14ac:dyDescent="0.25">
      <c r="A1692" s="41">
        <v>5620</v>
      </c>
      <c r="B1692" s="42" t="s">
        <v>2060</v>
      </c>
      <c r="C1692" s="43" t="s">
        <v>289</v>
      </c>
      <c r="D1692" s="43" t="s">
        <v>327</v>
      </c>
      <c r="E1692" s="43" t="s">
        <v>230</v>
      </c>
    </row>
    <row r="1693" spans="1:5" x14ac:dyDescent="0.25">
      <c r="A1693" s="41">
        <v>5623</v>
      </c>
      <c r="B1693" s="42" t="s">
        <v>2061</v>
      </c>
      <c r="C1693" s="43" t="s">
        <v>289</v>
      </c>
      <c r="D1693" s="43" t="s">
        <v>694</v>
      </c>
      <c r="E1693" s="43" t="s">
        <v>230</v>
      </c>
    </row>
    <row r="1694" spans="1:5" x14ac:dyDescent="0.25">
      <c r="A1694" s="41">
        <v>5625</v>
      </c>
      <c r="B1694" s="42" t="s">
        <v>2062</v>
      </c>
      <c r="C1694" s="43" t="s">
        <v>289</v>
      </c>
      <c r="D1694" s="43" t="s">
        <v>1141</v>
      </c>
      <c r="E1694" s="43" t="s">
        <v>230</v>
      </c>
    </row>
    <row r="1695" spans="1:5" x14ac:dyDescent="0.25">
      <c r="A1695" s="41">
        <v>5626</v>
      </c>
      <c r="B1695" s="42" t="s">
        <v>2063</v>
      </c>
      <c r="C1695" s="43" t="s">
        <v>289</v>
      </c>
      <c r="D1695" s="43" t="s">
        <v>333</v>
      </c>
      <c r="E1695" s="43" t="s">
        <v>170</v>
      </c>
    </row>
    <row r="1696" spans="1:5" x14ac:dyDescent="0.25">
      <c r="A1696" s="41">
        <v>5645</v>
      </c>
      <c r="B1696" s="42" t="s">
        <v>2064</v>
      </c>
      <c r="C1696" s="43" t="s">
        <v>289</v>
      </c>
      <c r="D1696" s="43" t="s">
        <v>327</v>
      </c>
      <c r="E1696" s="43" t="s">
        <v>230</v>
      </c>
    </row>
    <row r="1697" spans="1:5" x14ac:dyDescent="0.25">
      <c r="A1697" s="41">
        <v>5646</v>
      </c>
      <c r="B1697" s="42" t="s">
        <v>2065</v>
      </c>
      <c r="C1697" s="43" t="s">
        <v>289</v>
      </c>
      <c r="D1697" s="43" t="s">
        <v>327</v>
      </c>
      <c r="E1697" s="43" t="s">
        <v>230</v>
      </c>
    </row>
    <row r="1698" spans="1:5" x14ac:dyDescent="0.25">
      <c r="A1698" s="41">
        <v>5648</v>
      </c>
      <c r="B1698" s="42" t="s">
        <v>2066</v>
      </c>
      <c r="C1698" s="43" t="s">
        <v>289</v>
      </c>
      <c r="D1698" s="43" t="s">
        <v>327</v>
      </c>
      <c r="E1698" s="43" t="s">
        <v>864</v>
      </c>
    </row>
    <row r="1699" spans="1:5" x14ac:dyDescent="0.25">
      <c r="A1699" s="41">
        <v>5651</v>
      </c>
      <c r="B1699" s="42" t="s">
        <v>2067</v>
      </c>
      <c r="C1699" s="43" t="s">
        <v>289</v>
      </c>
      <c r="D1699" s="43" t="s">
        <v>327</v>
      </c>
      <c r="E1699" s="43" t="s">
        <v>230</v>
      </c>
    </row>
    <row r="1700" spans="1:5" x14ac:dyDescent="0.25">
      <c r="A1700" s="41">
        <v>5653</v>
      </c>
      <c r="B1700" s="42" t="s">
        <v>2068</v>
      </c>
      <c r="C1700" s="43" t="s">
        <v>289</v>
      </c>
      <c r="D1700" s="43" t="s">
        <v>327</v>
      </c>
      <c r="E1700" s="43" t="s">
        <v>230</v>
      </c>
    </row>
    <row r="1701" spans="1:5" x14ac:dyDescent="0.25">
      <c r="A1701" s="41">
        <v>5655</v>
      </c>
      <c r="B1701" s="42" t="s">
        <v>2069</v>
      </c>
      <c r="C1701" s="43" t="s">
        <v>289</v>
      </c>
      <c r="D1701" s="43" t="s">
        <v>327</v>
      </c>
      <c r="E1701" s="43" t="s">
        <v>230</v>
      </c>
    </row>
    <row r="1702" spans="1:5" x14ac:dyDescent="0.25">
      <c r="A1702" s="41">
        <v>5656</v>
      </c>
      <c r="B1702" s="42" t="s">
        <v>2070</v>
      </c>
      <c r="C1702" s="43" t="s">
        <v>289</v>
      </c>
      <c r="D1702" s="43" t="s">
        <v>327</v>
      </c>
      <c r="E1702" s="43" t="s">
        <v>230</v>
      </c>
    </row>
    <row r="1703" spans="1:5" x14ac:dyDescent="0.25">
      <c r="A1703" s="41">
        <v>5659</v>
      </c>
      <c r="B1703" s="42" t="s">
        <v>2071</v>
      </c>
      <c r="C1703" s="43" t="s">
        <v>289</v>
      </c>
      <c r="D1703" s="43" t="s">
        <v>2072</v>
      </c>
      <c r="E1703" s="43" t="s">
        <v>454</v>
      </c>
    </row>
    <row r="1704" spans="1:5" x14ac:dyDescent="0.25">
      <c r="A1704" s="41">
        <v>5664</v>
      </c>
      <c r="B1704" s="42" t="s">
        <v>2073</v>
      </c>
      <c r="C1704" s="43" t="s">
        <v>289</v>
      </c>
      <c r="D1704" s="43" t="s">
        <v>694</v>
      </c>
      <c r="E1704" s="43" t="s">
        <v>230</v>
      </c>
    </row>
    <row r="1705" spans="1:5" x14ac:dyDescent="0.25">
      <c r="A1705" s="41">
        <v>5667</v>
      </c>
      <c r="B1705" s="42" t="s">
        <v>2074</v>
      </c>
      <c r="C1705" s="43" t="s">
        <v>289</v>
      </c>
      <c r="D1705" s="43" t="s">
        <v>694</v>
      </c>
      <c r="E1705" s="43" t="s">
        <v>230</v>
      </c>
    </row>
    <row r="1706" spans="1:5" x14ac:dyDescent="0.25">
      <c r="A1706" s="41">
        <v>5668</v>
      </c>
      <c r="B1706" s="42" t="s">
        <v>2075</v>
      </c>
      <c r="C1706" s="43" t="s">
        <v>289</v>
      </c>
      <c r="D1706" s="43" t="s">
        <v>694</v>
      </c>
      <c r="E1706" s="43" t="s">
        <v>230</v>
      </c>
    </row>
    <row r="1707" spans="1:5" x14ac:dyDescent="0.25">
      <c r="A1707" s="41">
        <v>5669</v>
      </c>
      <c r="B1707" s="42" t="s">
        <v>2076</v>
      </c>
      <c r="C1707" s="43" t="s">
        <v>289</v>
      </c>
      <c r="D1707" s="43" t="s">
        <v>694</v>
      </c>
      <c r="E1707" s="43" t="s">
        <v>230</v>
      </c>
    </row>
    <row r="1708" spans="1:5" x14ac:dyDescent="0.25">
      <c r="A1708" s="41">
        <v>5671</v>
      </c>
      <c r="B1708" s="42" t="s">
        <v>2077</v>
      </c>
      <c r="C1708" s="43" t="s">
        <v>289</v>
      </c>
      <c r="D1708" s="43" t="s">
        <v>523</v>
      </c>
      <c r="E1708" s="43" t="s">
        <v>464</v>
      </c>
    </row>
    <row r="1709" spans="1:5" x14ac:dyDescent="0.25">
      <c r="A1709" s="41">
        <v>5677</v>
      </c>
      <c r="B1709" s="42" t="s">
        <v>2078</v>
      </c>
      <c r="C1709" s="43" t="s">
        <v>289</v>
      </c>
      <c r="D1709" s="43" t="s">
        <v>327</v>
      </c>
      <c r="E1709" s="43" t="s">
        <v>230</v>
      </c>
    </row>
    <row r="1710" spans="1:5" x14ac:dyDescent="0.25">
      <c r="A1710" s="41">
        <v>5683</v>
      </c>
      <c r="B1710" s="42" t="s">
        <v>2079</v>
      </c>
      <c r="C1710" s="43" t="s">
        <v>289</v>
      </c>
      <c r="D1710" s="43" t="s">
        <v>2080</v>
      </c>
      <c r="E1710" s="43" t="s">
        <v>336</v>
      </c>
    </row>
    <row r="1711" spans="1:5" x14ac:dyDescent="0.25">
      <c r="A1711" s="41">
        <v>5688</v>
      </c>
      <c r="B1711" s="42" t="s">
        <v>2081</v>
      </c>
      <c r="C1711" s="43" t="s">
        <v>289</v>
      </c>
      <c r="D1711" s="43" t="s">
        <v>327</v>
      </c>
      <c r="E1711" s="43" t="s">
        <v>230</v>
      </c>
    </row>
    <row r="1712" spans="1:5" x14ac:dyDescent="0.25">
      <c r="A1712" s="41">
        <v>5690</v>
      </c>
      <c r="B1712" s="42" t="s">
        <v>2082</v>
      </c>
      <c r="C1712" s="43" t="s">
        <v>289</v>
      </c>
      <c r="D1712" s="43" t="s">
        <v>327</v>
      </c>
      <c r="E1712" s="43" t="s">
        <v>1093</v>
      </c>
    </row>
    <row r="1713" spans="1:5" x14ac:dyDescent="0.25">
      <c r="A1713" s="41">
        <v>5692</v>
      </c>
      <c r="B1713" s="42" t="s">
        <v>2083</v>
      </c>
      <c r="C1713" s="43" t="s">
        <v>289</v>
      </c>
      <c r="D1713" s="43" t="s">
        <v>795</v>
      </c>
      <c r="E1713" s="43" t="s">
        <v>1071</v>
      </c>
    </row>
    <row r="1714" spans="1:5" x14ac:dyDescent="0.25">
      <c r="A1714" s="41">
        <v>5693</v>
      </c>
      <c r="B1714" s="42" t="s">
        <v>2084</v>
      </c>
      <c r="C1714" s="43" t="s">
        <v>289</v>
      </c>
      <c r="D1714" s="43" t="s">
        <v>327</v>
      </c>
      <c r="E1714" s="43" t="s">
        <v>1093</v>
      </c>
    </row>
    <row r="1715" spans="1:5" x14ac:dyDescent="0.25">
      <c r="A1715" s="41">
        <v>5695</v>
      </c>
      <c r="B1715" s="42" t="s">
        <v>2085</v>
      </c>
      <c r="C1715" s="43" t="s">
        <v>289</v>
      </c>
      <c r="D1715" s="43" t="s">
        <v>327</v>
      </c>
      <c r="E1715" s="43" t="s">
        <v>1093</v>
      </c>
    </row>
    <row r="1716" spans="1:5" x14ac:dyDescent="0.25">
      <c r="A1716" s="41">
        <v>5696</v>
      </c>
      <c r="B1716" s="42" t="s">
        <v>2086</v>
      </c>
      <c r="C1716" s="43" t="s">
        <v>289</v>
      </c>
      <c r="D1716" s="43" t="s">
        <v>327</v>
      </c>
      <c r="E1716" s="43" t="s">
        <v>1093</v>
      </c>
    </row>
    <row r="1717" spans="1:5" x14ac:dyDescent="0.25">
      <c r="A1717" s="41">
        <v>5697</v>
      </c>
      <c r="B1717" s="42" t="s">
        <v>2087</v>
      </c>
      <c r="C1717" s="43" t="s">
        <v>289</v>
      </c>
      <c r="D1717" s="43" t="s">
        <v>327</v>
      </c>
      <c r="E1717" s="43" t="s">
        <v>1093</v>
      </c>
    </row>
    <row r="1718" spans="1:5" x14ac:dyDescent="0.25">
      <c r="A1718" s="41">
        <v>5698</v>
      </c>
      <c r="B1718" s="42" t="s">
        <v>2088</v>
      </c>
      <c r="C1718" s="43" t="s">
        <v>289</v>
      </c>
      <c r="D1718" s="43" t="s">
        <v>327</v>
      </c>
      <c r="E1718" s="43" t="s">
        <v>336</v>
      </c>
    </row>
    <row r="1719" spans="1:5" x14ac:dyDescent="0.25">
      <c r="A1719" s="41">
        <v>5700</v>
      </c>
      <c r="B1719" s="42" t="s">
        <v>2089</v>
      </c>
      <c r="C1719" s="43" t="s">
        <v>289</v>
      </c>
      <c r="D1719" s="43" t="s">
        <v>811</v>
      </c>
      <c r="E1719" s="43" t="s">
        <v>230</v>
      </c>
    </row>
    <row r="1720" spans="1:5" x14ac:dyDescent="0.25">
      <c r="A1720" s="41">
        <v>5701</v>
      </c>
      <c r="B1720" s="42" t="s">
        <v>2090</v>
      </c>
      <c r="C1720" s="43" t="s">
        <v>289</v>
      </c>
      <c r="D1720" s="43" t="s">
        <v>811</v>
      </c>
      <c r="E1720" s="43" t="s">
        <v>230</v>
      </c>
    </row>
    <row r="1721" spans="1:5" x14ac:dyDescent="0.25">
      <c r="A1721" s="41">
        <v>5702</v>
      </c>
      <c r="B1721" s="42" t="s">
        <v>2091</v>
      </c>
      <c r="C1721" s="43" t="s">
        <v>289</v>
      </c>
      <c r="D1721" s="43" t="s">
        <v>811</v>
      </c>
      <c r="E1721" s="43" t="s">
        <v>230</v>
      </c>
    </row>
    <row r="1722" spans="1:5" x14ac:dyDescent="0.25">
      <c r="A1722" s="41">
        <v>5703</v>
      </c>
      <c r="B1722" s="42" t="s">
        <v>2092</v>
      </c>
      <c r="C1722" s="43" t="s">
        <v>289</v>
      </c>
      <c r="D1722" s="43" t="s">
        <v>811</v>
      </c>
      <c r="E1722" s="43" t="s">
        <v>531</v>
      </c>
    </row>
    <row r="1723" spans="1:5" x14ac:dyDescent="0.25">
      <c r="A1723" s="41">
        <v>5716</v>
      </c>
      <c r="B1723" s="42" t="s">
        <v>2093</v>
      </c>
      <c r="C1723" s="43" t="s">
        <v>289</v>
      </c>
      <c r="D1723" s="43" t="s">
        <v>482</v>
      </c>
      <c r="E1723" s="43" t="s">
        <v>472</v>
      </c>
    </row>
    <row r="1724" spans="1:5" x14ac:dyDescent="0.25">
      <c r="A1724" s="41">
        <v>5720</v>
      </c>
      <c r="B1724" s="42" t="s">
        <v>2094</v>
      </c>
      <c r="C1724" s="43" t="s">
        <v>289</v>
      </c>
      <c r="D1724" s="43" t="s">
        <v>327</v>
      </c>
      <c r="E1724" s="43" t="s">
        <v>336</v>
      </c>
    </row>
    <row r="1725" spans="1:5" x14ac:dyDescent="0.25">
      <c r="A1725" s="41">
        <v>5722</v>
      </c>
      <c r="B1725" s="42" t="s">
        <v>2095</v>
      </c>
      <c r="C1725" s="43" t="s">
        <v>289</v>
      </c>
      <c r="D1725" s="43" t="s">
        <v>327</v>
      </c>
      <c r="E1725" s="43" t="s">
        <v>336</v>
      </c>
    </row>
    <row r="1726" spans="1:5" x14ac:dyDescent="0.25">
      <c r="A1726" s="41">
        <v>5728</v>
      </c>
      <c r="B1726" s="42" t="s">
        <v>2096</v>
      </c>
      <c r="C1726" s="43" t="s">
        <v>289</v>
      </c>
      <c r="D1726" s="43" t="s">
        <v>694</v>
      </c>
      <c r="E1726" s="43" t="s">
        <v>766</v>
      </c>
    </row>
    <row r="1727" spans="1:5" x14ac:dyDescent="0.25">
      <c r="A1727" s="41">
        <v>5732</v>
      </c>
      <c r="B1727" s="42" t="s">
        <v>2097</v>
      </c>
      <c r="C1727" s="43" t="s">
        <v>289</v>
      </c>
      <c r="D1727" s="43" t="s">
        <v>316</v>
      </c>
      <c r="E1727" s="43" t="s">
        <v>230</v>
      </c>
    </row>
    <row r="1728" spans="1:5" x14ac:dyDescent="0.25">
      <c r="A1728" s="41">
        <v>5738</v>
      </c>
      <c r="B1728" s="42" t="s">
        <v>2098</v>
      </c>
      <c r="C1728" s="43" t="s">
        <v>289</v>
      </c>
      <c r="D1728" s="43" t="s">
        <v>333</v>
      </c>
      <c r="E1728" s="43" t="s">
        <v>230</v>
      </c>
    </row>
    <row r="1729" spans="1:5" x14ac:dyDescent="0.25">
      <c r="A1729" s="41">
        <v>5744</v>
      </c>
      <c r="B1729" s="42" t="s">
        <v>2099</v>
      </c>
      <c r="C1729" s="43" t="s">
        <v>289</v>
      </c>
      <c r="D1729" s="43" t="s">
        <v>1100</v>
      </c>
      <c r="E1729" s="43" t="s">
        <v>531</v>
      </c>
    </row>
    <row r="1730" spans="1:5" x14ac:dyDescent="0.25">
      <c r="A1730" s="41">
        <v>5752</v>
      </c>
      <c r="B1730" s="42" t="s">
        <v>2100</v>
      </c>
      <c r="C1730" s="43" t="s">
        <v>289</v>
      </c>
      <c r="D1730" s="43" t="s">
        <v>468</v>
      </c>
      <c r="E1730" s="43" t="s">
        <v>230</v>
      </c>
    </row>
    <row r="1731" spans="1:5" x14ac:dyDescent="0.25">
      <c r="A1731" s="41">
        <v>5753</v>
      </c>
      <c r="B1731" s="42" t="s">
        <v>2101</v>
      </c>
      <c r="C1731" s="43" t="s">
        <v>289</v>
      </c>
      <c r="D1731" s="43" t="s">
        <v>468</v>
      </c>
      <c r="E1731" s="43" t="s">
        <v>230</v>
      </c>
    </row>
    <row r="1732" spans="1:5" x14ac:dyDescent="0.25">
      <c r="A1732" s="41">
        <v>5754</v>
      </c>
      <c r="B1732" s="42" t="s">
        <v>2102</v>
      </c>
      <c r="C1732" s="43" t="s">
        <v>289</v>
      </c>
      <c r="D1732" s="43" t="s">
        <v>333</v>
      </c>
      <c r="E1732" s="43" t="s">
        <v>464</v>
      </c>
    </row>
    <row r="1733" spans="1:5" x14ac:dyDescent="0.25">
      <c r="A1733" s="41">
        <v>5757</v>
      </c>
      <c r="B1733" s="42" t="s">
        <v>2103</v>
      </c>
      <c r="C1733" s="43" t="s">
        <v>289</v>
      </c>
      <c r="D1733" s="43" t="s">
        <v>474</v>
      </c>
      <c r="E1733" s="43" t="s">
        <v>464</v>
      </c>
    </row>
    <row r="1734" spans="1:5" x14ac:dyDescent="0.25">
      <c r="A1734" s="41">
        <v>5764</v>
      </c>
      <c r="B1734" s="42" t="s">
        <v>2104</v>
      </c>
      <c r="C1734" s="43" t="s">
        <v>289</v>
      </c>
      <c r="D1734" s="43" t="s">
        <v>333</v>
      </c>
      <c r="E1734" s="43" t="s">
        <v>336</v>
      </c>
    </row>
    <row r="1735" spans="1:5" x14ac:dyDescent="0.25">
      <c r="A1735" s="41">
        <v>5766</v>
      </c>
      <c r="B1735" s="42" t="s">
        <v>2105</v>
      </c>
      <c r="C1735" s="43" t="s">
        <v>289</v>
      </c>
      <c r="D1735" s="43" t="s">
        <v>327</v>
      </c>
      <c r="E1735" s="43" t="s">
        <v>217</v>
      </c>
    </row>
    <row r="1736" spans="1:5" x14ac:dyDescent="0.25">
      <c r="A1736" s="41">
        <v>5774</v>
      </c>
      <c r="B1736" s="42" t="s">
        <v>2106</v>
      </c>
      <c r="C1736" s="43" t="s">
        <v>289</v>
      </c>
      <c r="D1736" s="43" t="s">
        <v>468</v>
      </c>
      <c r="E1736" s="43" t="s">
        <v>464</v>
      </c>
    </row>
    <row r="1737" spans="1:5" x14ac:dyDescent="0.25">
      <c r="A1737" s="41">
        <v>5775</v>
      </c>
      <c r="B1737" s="42" t="s">
        <v>2107</v>
      </c>
      <c r="C1737" s="43" t="s">
        <v>289</v>
      </c>
      <c r="D1737" s="43" t="s">
        <v>468</v>
      </c>
      <c r="E1737" s="43" t="s">
        <v>464</v>
      </c>
    </row>
    <row r="1738" spans="1:5" x14ac:dyDescent="0.25">
      <c r="A1738" s="41">
        <v>5776</v>
      </c>
      <c r="B1738" s="42" t="s">
        <v>2108</v>
      </c>
      <c r="C1738" s="43" t="s">
        <v>289</v>
      </c>
      <c r="D1738" s="43" t="s">
        <v>468</v>
      </c>
      <c r="E1738" s="43" t="s">
        <v>464</v>
      </c>
    </row>
    <row r="1739" spans="1:5" x14ac:dyDescent="0.25">
      <c r="A1739" s="41">
        <v>5780</v>
      </c>
      <c r="B1739" s="42" t="s">
        <v>2109</v>
      </c>
      <c r="C1739" s="43" t="s">
        <v>289</v>
      </c>
      <c r="D1739" s="43" t="s">
        <v>996</v>
      </c>
      <c r="E1739" s="43" t="s">
        <v>170</v>
      </c>
    </row>
    <row r="1740" spans="1:5" x14ac:dyDescent="0.25">
      <c r="A1740" s="41">
        <v>5789</v>
      </c>
      <c r="B1740" s="42" t="s">
        <v>2110</v>
      </c>
      <c r="C1740" s="43" t="s">
        <v>289</v>
      </c>
      <c r="D1740" s="43" t="s">
        <v>333</v>
      </c>
      <c r="E1740" s="43" t="s">
        <v>454</v>
      </c>
    </row>
    <row r="1741" spans="1:5" x14ac:dyDescent="0.25">
      <c r="A1741" s="41">
        <v>5797</v>
      </c>
      <c r="B1741" s="42" t="s">
        <v>2111</v>
      </c>
      <c r="C1741" s="43" t="s">
        <v>289</v>
      </c>
      <c r="D1741" s="43" t="s">
        <v>474</v>
      </c>
      <c r="E1741" s="43" t="s">
        <v>230</v>
      </c>
    </row>
    <row r="1742" spans="1:5" x14ac:dyDescent="0.25">
      <c r="A1742" s="41">
        <v>5801</v>
      </c>
      <c r="B1742" s="42" t="s">
        <v>2112</v>
      </c>
      <c r="C1742" s="43" t="s">
        <v>289</v>
      </c>
      <c r="D1742" s="43" t="s">
        <v>509</v>
      </c>
      <c r="E1742" s="43" t="s">
        <v>454</v>
      </c>
    </row>
    <row r="1743" spans="1:5" x14ac:dyDescent="0.25">
      <c r="A1743" s="41">
        <v>5802</v>
      </c>
      <c r="B1743" s="42" t="s">
        <v>2113</v>
      </c>
      <c r="C1743" s="43" t="s">
        <v>289</v>
      </c>
      <c r="D1743" s="43" t="s">
        <v>509</v>
      </c>
      <c r="E1743" s="43" t="s">
        <v>454</v>
      </c>
    </row>
    <row r="1744" spans="1:5" x14ac:dyDescent="0.25">
      <c r="A1744" s="41">
        <v>5803</v>
      </c>
      <c r="B1744" s="42" t="s">
        <v>2114</v>
      </c>
      <c r="C1744" s="43" t="s">
        <v>289</v>
      </c>
      <c r="D1744" s="43" t="s">
        <v>509</v>
      </c>
      <c r="E1744" s="43" t="s">
        <v>454</v>
      </c>
    </row>
    <row r="1745" spans="1:5" x14ac:dyDescent="0.25">
      <c r="A1745" s="41">
        <v>5824</v>
      </c>
      <c r="B1745" s="42" t="s">
        <v>2115</v>
      </c>
      <c r="C1745" s="43" t="s">
        <v>289</v>
      </c>
      <c r="D1745" s="43" t="s">
        <v>694</v>
      </c>
      <c r="E1745" s="43" t="s">
        <v>464</v>
      </c>
    </row>
    <row r="1746" spans="1:5" x14ac:dyDescent="0.25">
      <c r="A1746" s="41">
        <v>5832</v>
      </c>
      <c r="B1746" s="42" t="s">
        <v>2116</v>
      </c>
      <c r="C1746" s="43" t="s">
        <v>289</v>
      </c>
      <c r="D1746" s="43" t="s">
        <v>795</v>
      </c>
      <c r="E1746" s="43" t="s">
        <v>230</v>
      </c>
    </row>
    <row r="1747" spans="1:5" x14ac:dyDescent="0.25">
      <c r="A1747" s="41">
        <v>5835</v>
      </c>
      <c r="B1747" s="42" t="s">
        <v>2117</v>
      </c>
      <c r="C1747" s="43" t="s">
        <v>289</v>
      </c>
      <c r="D1747" s="43" t="s">
        <v>435</v>
      </c>
      <c r="E1747" s="43" t="s">
        <v>230</v>
      </c>
    </row>
    <row r="1748" spans="1:5" x14ac:dyDescent="0.25">
      <c r="A1748" s="41">
        <v>5836</v>
      </c>
      <c r="B1748" s="42" t="s">
        <v>2118</v>
      </c>
      <c r="C1748" s="43" t="s">
        <v>289</v>
      </c>
      <c r="D1748" s="43" t="s">
        <v>435</v>
      </c>
      <c r="E1748" s="43" t="s">
        <v>230</v>
      </c>
    </row>
    <row r="1749" spans="1:5" x14ac:dyDescent="0.25">
      <c r="A1749" s="41">
        <v>5837</v>
      </c>
      <c r="B1749" s="42" t="s">
        <v>2119</v>
      </c>
      <c r="C1749" s="43" t="s">
        <v>289</v>
      </c>
      <c r="D1749" s="43" t="s">
        <v>327</v>
      </c>
      <c r="E1749" s="43" t="s">
        <v>531</v>
      </c>
    </row>
    <row r="1750" spans="1:5" x14ac:dyDescent="0.25">
      <c r="A1750" s="41">
        <v>5838</v>
      </c>
      <c r="B1750" s="42" t="s">
        <v>2120</v>
      </c>
      <c r="C1750" s="43" t="s">
        <v>289</v>
      </c>
      <c r="D1750" s="43" t="s">
        <v>327</v>
      </c>
      <c r="E1750" s="43" t="s">
        <v>230</v>
      </c>
    </row>
    <row r="1751" spans="1:5" x14ac:dyDescent="0.25">
      <c r="A1751" s="41">
        <v>5839</v>
      </c>
      <c r="B1751" s="42" t="s">
        <v>2121</v>
      </c>
      <c r="C1751" s="43" t="s">
        <v>289</v>
      </c>
      <c r="D1751" s="43" t="s">
        <v>327</v>
      </c>
      <c r="E1751" s="43" t="s">
        <v>230</v>
      </c>
    </row>
    <row r="1752" spans="1:5" x14ac:dyDescent="0.25">
      <c r="A1752" s="41">
        <v>5840</v>
      </c>
      <c r="B1752" s="42" t="s">
        <v>2122</v>
      </c>
      <c r="C1752" s="43" t="s">
        <v>289</v>
      </c>
      <c r="D1752" s="43" t="s">
        <v>327</v>
      </c>
      <c r="E1752" s="43" t="s">
        <v>230</v>
      </c>
    </row>
    <row r="1753" spans="1:5" x14ac:dyDescent="0.25">
      <c r="A1753" s="41">
        <v>5843</v>
      </c>
      <c r="B1753" s="42" t="s">
        <v>2123</v>
      </c>
      <c r="C1753" s="43" t="s">
        <v>289</v>
      </c>
      <c r="D1753" s="43" t="s">
        <v>327</v>
      </c>
      <c r="E1753" s="43" t="s">
        <v>864</v>
      </c>
    </row>
    <row r="1754" spans="1:5" x14ac:dyDescent="0.25">
      <c r="A1754" s="41">
        <v>5846</v>
      </c>
      <c r="B1754" s="42" t="s">
        <v>2124</v>
      </c>
      <c r="C1754" s="43" t="s">
        <v>289</v>
      </c>
      <c r="D1754" s="43" t="s">
        <v>327</v>
      </c>
      <c r="E1754" s="43" t="s">
        <v>230</v>
      </c>
    </row>
    <row r="1755" spans="1:5" x14ac:dyDescent="0.25">
      <c r="A1755" s="41">
        <v>5848</v>
      </c>
      <c r="B1755" s="42" t="s">
        <v>2125</v>
      </c>
      <c r="C1755" s="43" t="s">
        <v>289</v>
      </c>
      <c r="D1755" s="43" t="s">
        <v>694</v>
      </c>
      <c r="E1755" s="43" t="s">
        <v>230</v>
      </c>
    </row>
    <row r="1756" spans="1:5" x14ac:dyDescent="0.25">
      <c r="A1756" s="41">
        <v>5862</v>
      </c>
      <c r="B1756" s="42" t="s">
        <v>2126</v>
      </c>
      <c r="C1756" s="43" t="s">
        <v>289</v>
      </c>
      <c r="D1756" s="43" t="s">
        <v>1112</v>
      </c>
      <c r="E1756" s="43" t="s">
        <v>454</v>
      </c>
    </row>
    <row r="1757" spans="1:5" x14ac:dyDescent="0.25">
      <c r="A1757" s="41">
        <v>5869</v>
      </c>
      <c r="B1757" s="42" t="s">
        <v>2127</v>
      </c>
      <c r="C1757" s="43" t="s">
        <v>289</v>
      </c>
      <c r="D1757" s="43" t="s">
        <v>314</v>
      </c>
      <c r="E1757" s="43" t="s">
        <v>230</v>
      </c>
    </row>
    <row r="1758" spans="1:5" x14ac:dyDescent="0.25">
      <c r="A1758" s="41">
        <v>5883</v>
      </c>
      <c r="B1758" s="42" t="s">
        <v>2128</v>
      </c>
      <c r="C1758" s="43" t="s">
        <v>289</v>
      </c>
      <c r="D1758" s="43" t="s">
        <v>1100</v>
      </c>
      <c r="E1758" s="43" t="s">
        <v>230</v>
      </c>
    </row>
    <row r="1759" spans="1:5" x14ac:dyDescent="0.25">
      <c r="A1759" s="41">
        <v>5884</v>
      </c>
      <c r="B1759" s="42" t="s">
        <v>2129</v>
      </c>
      <c r="C1759" s="43" t="s">
        <v>289</v>
      </c>
      <c r="D1759" s="43" t="s">
        <v>327</v>
      </c>
      <c r="E1759" s="43" t="s">
        <v>230</v>
      </c>
    </row>
    <row r="1760" spans="1:5" x14ac:dyDescent="0.25">
      <c r="A1760" s="41">
        <v>5892</v>
      </c>
      <c r="B1760" s="42" t="s">
        <v>2130</v>
      </c>
      <c r="C1760" s="43" t="s">
        <v>289</v>
      </c>
      <c r="D1760" s="43" t="s">
        <v>327</v>
      </c>
      <c r="E1760" s="43" t="s">
        <v>170</v>
      </c>
    </row>
    <row r="1761" spans="1:5" x14ac:dyDescent="0.25">
      <c r="A1761" s="41">
        <v>5900</v>
      </c>
      <c r="B1761" s="42" t="s">
        <v>2131</v>
      </c>
      <c r="C1761" s="43" t="s">
        <v>289</v>
      </c>
      <c r="D1761" s="43" t="s">
        <v>327</v>
      </c>
      <c r="E1761" s="43" t="s">
        <v>217</v>
      </c>
    </row>
    <row r="1762" spans="1:5" x14ac:dyDescent="0.25">
      <c r="A1762" s="41">
        <v>5907</v>
      </c>
      <c r="B1762" s="42" t="s">
        <v>2132</v>
      </c>
      <c r="C1762" s="43" t="s">
        <v>289</v>
      </c>
      <c r="D1762" s="43" t="s">
        <v>1100</v>
      </c>
      <c r="E1762" s="43" t="s">
        <v>531</v>
      </c>
    </row>
    <row r="1763" spans="1:5" x14ac:dyDescent="0.25">
      <c r="A1763" s="41">
        <v>5908</v>
      </c>
      <c r="B1763" s="42" t="s">
        <v>2133</v>
      </c>
      <c r="C1763" s="43" t="s">
        <v>289</v>
      </c>
      <c r="D1763" s="43" t="s">
        <v>1100</v>
      </c>
      <c r="E1763" s="43" t="s">
        <v>464</v>
      </c>
    </row>
    <row r="1764" spans="1:5" x14ac:dyDescent="0.25">
      <c r="A1764" s="41">
        <v>5913</v>
      </c>
      <c r="B1764" s="42" t="s">
        <v>808</v>
      </c>
      <c r="C1764" s="43" t="s">
        <v>289</v>
      </c>
      <c r="D1764" s="43" t="s">
        <v>1100</v>
      </c>
      <c r="E1764" s="43" t="s">
        <v>531</v>
      </c>
    </row>
    <row r="1765" spans="1:5" x14ac:dyDescent="0.25">
      <c r="A1765" s="41">
        <v>5920</v>
      </c>
      <c r="B1765" s="42" t="s">
        <v>2134</v>
      </c>
      <c r="C1765" s="43" t="s">
        <v>289</v>
      </c>
      <c r="D1765" s="43" t="s">
        <v>327</v>
      </c>
      <c r="E1765" s="43" t="s">
        <v>230</v>
      </c>
    </row>
    <row r="1766" spans="1:5" x14ac:dyDescent="0.25">
      <c r="A1766" s="41">
        <v>5921</v>
      </c>
      <c r="B1766" s="42" t="s">
        <v>2135</v>
      </c>
      <c r="C1766" s="43" t="s">
        <v>289</v>
      </c>
      <c r="D1766" s="43" t="s">
        <v>327</v>
      </c>
      <c r="E1766" s="43" t="s">
        <v>230</v>
      </c>
    </row>
    <row r="1767" spans="1:5" x14ac:dyDescent="0.25">
      <c r="A1767" s="41">
        <v>5922</v>
      </c>
      <c r="B1767" s="42" t="s">
        <v>2136</v>
      </c>
      <c r="C1767" s="43" t="s">
        <v>289</v>
      </c>
      <c r="D1767" s="43" t="s">
        <v>327</v>
      </c>
      <c r="E1767" s="43" t="s">
        <v>230</v>
      </c>
    </row>
    <row r="1768" spans="1:5" x14ac:dyDescent="0.25">
      <c r="A1768" s="41">
        <v>5924</v>
      </c>
      <c r="B1768" s="42" t="s">
        <v>2137</v>
      </c>
      <c r="C1768" s="43" t="s">
        <v>289</v>
      </c>
      <c r="D1768" s="43" t="s">
        <v>811</v>
      </c>
      <c r="E1768" s="43" t="s">
        <v>464</v>
      </c>
    </row>
    <row r="1769" spans="1:5" x14ac:dyDescent="0.25">
      <c r="A1769" s="41">
        <v>5926</v>
      </c>
      <c r="B1769" s="42" t="s">
        <v>2138</v>
      </c>
      <c r="C1769" s="43" t="s">
        <v>289</v>
      </c>
      <c r="D1769" s="43" t="s">
        <v>811</v>
      </c>
      <c r="E1769" s="43" t="s">
        <v>464</v>
      </c>
    </row>
    <row r="1770" spans="1:5" x14ac:dyDescent="0.25">
      <c r="A1770" s="41">
        <v>5928</v>
      </c>
      <c r="B1770" s="42" t="s">
        <v>2139</v>
      </c>
      <c r="C1770" s="43" t="s">
        <v>289</v>
      </c>
      <c r="D1770" s="43" t="s">
        <v>333</v>
      </c>
      <c r="E1770" s="43" t="s">
        <v>230</v>
      </c>
    </row>
    <row r="1771" spans="1:5" x14ac:dyDescent="0.25">
      <c r="A1771" s="41">
        <v>5931</v>
      </c>
      <c r="B1771" s="42" t="s">
        <v>2140</v>
      </c>
      <c r="C1771" s="43" t="s">
        <v>289</v>
      </c>
      <c r="D1771" s="43" t="s">
        <v>327</v>
      </c>
      <c r="E1771" s="43" t="s">
        <v>230</v>
      </c>
    </row>
    <row r="1772" spans="1:5" x14ac:dyDescent="0.25">
      <c r="A1772" s="41">
        <v>5935</v>
      </c>
      <c r="B1772" s="42" t="s">
        <v>2141</v>
      </c>
      <c r="C1772" s="43" t="s">
        <v>289</v>
      </c>
      <c r="D1772" s="43" t="s">
        <v>410</v>
      </c>
      <c r="E1772" s="43" t="s">
        <v>230</v>
      </c>
    </row>
    <row r="1773" spans="1:5" x14ac:dyDescent="0.25">
      <c r="A1773" s="41">
        <v>5938</v>
      </c>
      <c r="B1773" s="42" t="s">
        <v>2142</v>
      </c>
      <c r="C1773" s="43" t="s">
        <v>289</v>
      </c>
      <c r="D1773" s="43" t="s">
        <v>316</v>
      </c>
      <c r="E1773" s="43" t="s">
        <v>336</v>
      </c>
    </row>
    <row r="1774" spans="1:5" x14ac:dyDescent="0.25">
      <c r="A1774" s="41">
        <v>5940</v>
      </c>
      <c r="B1774" s="42" t="s">
        <v>2143</v>
      </c>
      <c r="C1774" s="43" t="s">
        <v>289</v>
      </c>
      <c r="D1774" s="43" t="s">
        <v>316</v>
      </c>
      <c r="E1774" s="43" t="s">
        <v>531</v>
      </c>
    </row>
    <row r="1775" spans="1:5" x14ac:dyDescent="0.25">
      <c r="A1775" s="41">
        <v>5944</v>
      </c>
      <c r="B1775" s="42" t="s">
        <v>2144</v>
      </c>
      <c r="C1775" s="43" t="s">
        <v>289</v>
      </c>
      <c r="D1775" s="43" t="s">
        <v>327</v>
      </c>
      <c r="E1775" s="43" t="s">
        <v>230</v>
      </c>
    </row>
    <row r="1776" spans="1:5" x14ac:dyDescent="0.25">
      <c r="A1776" s="41">
        <v>5953</v>
      </c>
      <c r="B1776" s="42" t="s">
        <v>2145</v>
      </c>
      <c r="C1776" s="43" t="s">
        <v>289</v>
      </c>
      <c r="D1776" s="43" t="s">
        <v>2146</v>
      </c>
      <c r="E1776" s="43" t="s">
        <v>230</v>
      </c>
    </row>
    <row r="1777" spans="1:5" x14ac:dyDescent="0.25">
      <c r="A1777" s="41">
        <v>5977</v>
      </c>
      <c r="B1777" s="42" t="s">
        <v>2147</v>
      </c>
      <c r="C1777" s="43" t="s">
        <v>289</v>
      </c>
      <c r="D1777" s="43" t="s">
        <v>333</v>
      </c>
      <c r="E1777" s="43" t="s">
        <v>230</v>
      </c>
    </row>
    <row r="1778" spans="1:5" x14ac:dyDescent="0.25">
      <c r="A1778" s="41">
        <v>5978</v>
      </c>
      <c r="B1778" s="42" t="s">
        <v>2148</v>
      </c>
      <c r="C1778" s="43" t="s">
        <v>289</v>
      </c>
      <c r="D1778" s="43" t="s">
        <v>1326</v>
      </c>
      <c r="E1778" s="43" t="s">
        <v>454</v>
      </c>
    </row>
    <row r="1779" spans="1:5" x14ac:dyDescent="0.25">
      <c r="A1779" s="41">
        <v>5982</v>
      </c>
      <c r="B1779" s="42" t="s">
        <v>2149</v>
      </c>
      <c r="C1779" s="43" t="s">
        <v>289</v>
      </c>
      <c r="D1779" s="43" t="s">
        <v>795</v>
      </c>
      <c r="E1779" s="43" t="s">
        <v>764</v>
      </c>
    </row>
    <row r="1780" spans="1:5" x14ac:dyDescent="0.25">
      <c r="A1780" s="41">
        <v>5986</v>
      </c>
      <c r="B1780" s="42" t="s">
        <v>2150</v>
      </c>
      <c r="C1780" s="43" t="s">
        <v>289</v>
      </c>
      <c r="D1780" s="43" t="s">
        <v>327</v>
      </c>
      <c r="E1780" s="43" t="s">
        <v>531</v>
      </c>
    </row>
    <row r="1781" spans="1:5" x14ac:dyDescent="0.25">
      <c r="A1781" s="41">
        <v>5987</v>
      </c>
      <c r="B1781" s="42" t="s">
        <v>2151</v>
      </c>
      <c r="C1781" s="43" t="s">
        <v>289</v>
      </c>
      <c r="D1781" s="43" t="s">
        <v>327</v>
      </c>
      <c r="E1781" s="43" t="s">
        <v>170</v>
      </c>
    </row>
    <row r="1782" spans="1:5" x14ac:dyDescent="0.25">
      <c r="A1782" s="41">
        <v>5988</v>
      </c>
      <c r="B1782" s="42" t="s">
        <v>2152</v>
      </c>
      <c r="C1782" s="43" t="s">
        <v>289</v>
      </c>
      <c r="D1782" s="43" t="s">
        <v>327</v>
      </c>
      <c r="E1782" s="43" t="s">
        <v>336</v>
      </c>
    </row>
    <row r="1783" spans="1:5" x14ac:dyDescent="0.25">
      <c r="A1783" s="41">
        <v>5989</v>
      </c>
      <c r="B1783" s="42" t="s">
        <v>2153</v>
      </c>
      <c r="C1783" s="43" t="s">
        <v>289</v>
      </c>
      <c r="D1783" s="43" t="s">
        <v>327</v>
      </c>
      <c r="E1783" s="43" t="s">
        <v>230</v>
      </c>
    </row>
    <row r="1784" spans="1:5" x14ac:dyDescent="0.25">
      <c r="A1784" s="41">
        <v>5991</v>
      </c>
      <c r="B1784" s="42" t="s">
        <v>2154</v>
      </c>
      <c r="C1784" s="43" t="s">
        <v>289</v>
      </c>
      <c r="D1784" s="43" t="s">
        <v>795</v>
      </c>
      <c r="E1784" s="43" t="s">
        <v>483</v>
      </c>
    </row>
    <row r="1785" spans="1:5" x14ac:dyDescent="0.25">
      <c r="A1785" s="41">
        <v>6008</v>
      </c>
      <c r="B1785" s="42" t="s">
        <v>2155</v>
      </c>
      <c r="C1785" s="43" t="s">
        <v>289</v>
      </c>
      <c r="D1785" s="43" t="s">
        <v>327</v>
      </c>
      <c r="E1785" s="43" t="s">
        <v>230</v>
      </c>
    </row>
    <row r="1786" spans="1:5" x14ac:dyDescent="0.25">
      <c r="A1786" s="41">
        <v>6009</v>
      </c>
      <c r="B1786" s="42" t="s">
        <v>2156</v>
      </c>
      <c r="C1786" s="43" t="s">
        <v>289</v>
      </c>
      <c r="D1786" s="43" t="s">
        <v>327</v>
      </c>
      <c r="E1786" s="43" t="s">
        <v>230</v>
      </c>
    </row>
    <row r="1787" spans="1:5" x14ac:dyDescent="0.25">
      <c r="A1787" s="41">
        <v>6011</v>
      </c>
      <c r="B1787" s="42" t="s">
        <v>2157</v>
      </c>
      <c r="C1787" s="43" t="s">
        <v>289</v>
      </c>
      <c r="D1787" s="43" t="s">
        <v>327</v>
      </c>
      <c r="E1787" s="43" t="s">
        <v>1093</v>
      </c>
    </row>
    <row r="1788" spans="1:5" x14ac:dyDescent="0.25">
      <c r="A1788" s="41">
        <v>6013</v>
      </c>
      <c r="B1788" s="42" t="s">
        <v>2158</v>
      </c>
      <c r="C1788" s="43" t="s">
        <v>289</v>
      </c>
      <c r="D1788" s="43" t="s">
        <v>327</v>
      </c>
      <c r="E1788" s="43" t="s">
        <v>864</v>
      </c>
    </row>
    <row r="1789" spans="1:5" x14ac:dyDescent="0.25">
      <c r="A1789" s="41">
        <v>6014</v>
      </c>
      <c r="B1789" s="42" t="s">
        <v>2159</v>
      </c>
      <c r="C1789" s="43" t="s">
        <v>289</v>
      </c>
      <c r="D1789" s="43" t="s">
        <v>327</v>
      </c>
      <c r="E1789" s="43" t="s">
        <v>531</v>
      </c>
    </row>
    <row r="1790" spans="1:5" x14ac:dyDescent="0.25">
      <c r="A1790" s="41">
        <v>6015</v>
      </c>
      <c r="B1790" s="42" t="s">
        <v>2160</v>
      </c>
      <c r="C1790" s="43" t="s">
        <v>289</v>
      </c>
      <c r="D1790" s="43" t="s">
        <v>327</v>
      </c>
      <c r="E1790" s="43" t="s">
        <v>230</v>
      </c>
    </row>
    <row r="1791" spans="1:5" x14ac:dyDescent="0.25">
      <c r="A1791" s="41">
        <v>6019</v>
      </c>
      <c r="B1791" s="42" t="s">
        <v>2161</v>
      </c>
      <c r="C1791" s="43" t="s">
        <v>289</v>
      </c>
      <c r="D1791" s="43" t="s">
        <v>327</v>
      </c>
      <c r="E1791" s="43" t="s">
        <v>1093</v>
      </c>
    </row>
    <row r="1792" spans="1:5" x14ac:dyDescent="0.25">
      <c r="A1792" s="41">
        <v>6020</v>
      </c>
      <c r="B1792" s="42" t="s">
        <v>2162</v>
      </c>
      <c r="C1792" s="43" t="s">
        <v>289</v>
      </c>
      <c r="D1792" s="43" t="s">
        <v>327</v>
      </c>
      <c r="E1792" s="43" t="s">
        <v>230</v>
      </c>
    </row>
    <row r="1793" spans="1:5" x14ac:dyDescent="0.25">
      <c r="A1793" s="41">
        <v>6024</v>
      </c>
      <c r="B1793" s="42" t="s">
        <v>2163</v>
      </c>
      <c r="C1793" s="43" t="s">
        <v>289</v>
      </c>
      <c r="D1793" s="43" t="s">
        <v>327</v>
      </c>
      <c r="E1793" s="43" t="s">
        <v>354</v>
      </c>
    </row>
    <row r="1794" spans="1:5" x14ac:dyDescent="0.25">
      <c r="A1794" s="41">
        <v>6026</v>
      </c>
      <c r="B1794" s="42" t="s">
        <v>2164</v>
      </c>
      <c r="C1794" s="43" t="s">
        <v>289</v>
      </c>
      <c r="D1794" s="43" t="s">
        <v>327</v>
      </c>
      <c r="E1794" s="43" t="s">
        <v>230</v>
      </c>
    </row>
    <row r="1795" spans="1:5" x14ac:dyDescent="0.25">
      <c r="A1795" s="41">
        <v>6031</v>
      </c>
      <c r="B1795" s="42" t="s">
        <v>2165</v>
      </c>
      <c r="C1795" s="43" t="s">
        <v>289</v>
      </c>
      <c r="D1795" s="43" t="s">
        <v>996</v>
      </c>
      <c r="E1795" s="43" t="s">
        <v>436</v>
      </c>
    </row>
    <row r="1796" spans="1:5" x14ac:dyDescent="0.25">
      <c r="A1796" s="41">
        <v>6034</v>
      </c>
      <c r="B1796" s="42" t="s">
        <v>2166</v>
      </c>
      <c r="C1796" s="43" t="s">
        <v>289</v>
      </c>
      <c r="D1796" s="43" t="s">
        <v>811</v>
      </c>
      <c r="E1796" s="43" t="s">
        <v>464</v>
      </c>
    </row>
    <row r="1797" spans="1:5" x14ac:dyDescent="0.25">
      <c r="A1797" s="41">
        <v>6035</v>
      </c>
      <c r="B1797" s="42" t="s">
        <v>2167</v>
      </c>
      <c r="C1797" s="43" t="s">
        <v>289</v>
      </c>
      <c r="D1797" s="43" t="s">
        <v>811</v>
      </c>
      <c r="E1797" s="43" t="s">
        <v>464</v>
      </c>
    </row>
    <row r="1798" spans="1:5" x14ac:dyDescent="0.25">
      <c r="A1798" s="41">
        <v>6037</v>
      </c>
      <c r="B1798" s="42" t="s">
        <v>2168</v>
      </c>
      <c r="C1798" s="43" t="s">
        <v>289</v>
      </c>
      <c r="D1798" s="43" t="s">
        <v>327</v>
      </c>
      <c r="E1798" s="43" t="s">
        <v>454</v>
      </c>
    </row>
    <row r="1799" spans="1:5" x14ac:dyDescent="0.25">
      <c r="A1799" s="41">
        <v>6041</v>
      </c>
      <c r="B1799" s="42" t="s">
        <v>2169</v>
      </c>
      <c r="C1799" s="43" t="s">
        <v>289</v>
      </c>
      <c r="D1799" s="43" t="s">
        <v>316</v>
      </c>
      <c r="E1799" s="43" t="s">
        <v>230</v>
      </c>
    </row>
    <row r="1800" spans="1:5" x14ac:dyDescent="0.25">
      <c r="A1800" s="41">
        <v>6047</v>
      </c>
      <c r="B1800" s="42" t="s">
        <v>2170</v>
      </c>
      <c r="C1800" s="43" t="s">
        <v>289</v>
      </c>
      <c r="D1800" s="43" t="s">
        <v>996</v>
      </c>
      <c r="E1800" s="43" t="s">
        <v>170</v>
      </c>
    </row>
    <row r="1801" spans="1:5" x14ac:dyDescent="0.25">
      <c r="A1801" s="41">
        <v>6049</v>
      </c>
      <c r="B1801" s="42" t="s">
        <v>2171</v>
      </c>
      <c r="C1801" s="43" t="s">
        <v>289</v>
      </c>
      <c r="D1801" s="43" t="s">
        <v>996</v>
      </c>
      <c r="E1801" s="43" t="s">
        <v>864</v>
      </c>
    </row>
    <row r="1802" spans="1:5" x14ac:dyDescent="0.25">
      <c r="A1802" s="41">
        <v>6052</v>
      </c>
      <c r="B1802" s="42" t="s">
        <v>2172</v>
      </c>
      <c r="C1802" s="43" t="s">
        <v>289</v>
      </c>
      <c r="D1802" s="43" t="s">
        <v>941</v>
      </c>
      <c r="E1802" s="43" t="s">
        <v>470</v>
      </c>
    </row>
    <row r="1803" spans="1:5" x14ac:dyDescent="0.25">
      <c r="A1803" s="41">
        <v>6061</v>
      </c>
      <c r="B1803" s="42" t="s">
        <v>2173</v>
      </c>
      <c r="C1803" s="43" t="s">
        <v>289</v>
      </c>
      <c r="D1803" s="43" t="s">
        <v>327</v>
      </c>
      <c r="E1803" s="43" t="s">
        <v>454</v>
      </c>
    </row>
    <row r="1804" spans="1:5" x14ac:dyDescent="0.25">
      <c r="A1804" s="41">
        <v>6066</v>
      </c>
      <c r="B1804" s="42" t="s">
        <v>2174</v>
      </c>
      <c r="C1804" s="43" t="s">
        <v>289</v>
      </c>
      <c r="D1804" s="43" t="s">
        <v>327</v>
      </c>
      <c r="E1804" s="43" t="s">
        <v>354</v>
      </c>
    </row>
    <row r="1805" spans="1:5" x14ac:dyDescent="0.25">
      <c r="A1805" s="41">
        <v>6068</v>
      </c>
      <c r="B1805" s="42" t="s">
        <v>2175</v>
      </c>
      <c r="C1805" s="43" t="s">
        <v>289</v>
      </c>
      <c r="D1805" s="43" t="s">
        <v>316</v>
      </c>
      <c r="E1805" s="43" t="s">
        <v>336</v>
      </c>
    </row>
    <row r="1806" spans="1:5" x14ac:dyDescent="0.25">
      <c r="A1806" s="41">
        <v>6072</v>
      </c>
      <c r="B1806" s="42" t="s">
        <v>2176</v>
      </c>
      <c r="C1806" s="43" t="s">
        <v>289</v>
      </c>
      <c r="D1806" s="43" t="s">
        <v>327</v>
      </c>
      <c r="E1806" s="43" t="s">
        <v>230</v>
      </c>
    </row>
    <row r="1807" spans="1:5" x14ac:dyDescent="0.25">
      <c r="A1807" s="41">
        <v>6073</v>
      </c>
      <c r="B1807" s="42" t="s">
        <v>2177</v>
      </c>
      <c r="C1807" s="43" t="s">
        <v>289</v>
      </c>
      <c r="D1807" s="43" t="s">
        <v>327</v>
      </c>
      <c r="E1807" s="43" t="s">
        <v>230</v>
      </c>
    </row>
    <row r="1808" spans="1:5" x14ac:dyDescent="0.25">
      <c r="A1808" s="41">
        <v>6075</v>
      </c>
      <c r="B1808" s="42" t="s">
        <v>2178</v>
      </c>
      <c r="C1808" s="43" t="s">
        <v>289</v>
      </c>
      <c r="D1808" s="43" t="s">
        <v>327</v>
      </c>
      <c r="E1808" s="43" t="s">
        <v>766</v>
      </c>
    </row>
    <row r="1809" spans="1:5" x14ac:dyDescent="0.25">
      <c r="A1809" s="41">
        <v>6084</v>
      </c>
      <c r="B1809" s="42" t="s">
        <v>2179</v>
      </c>
      <c r="C1809" s="43" t="s">
        <v>289</v>
      </c>
      <c r="D1809" s="43" t="s">
        <v>996</v>
      </c>
      <c r="E1809" s="43" t="s">
        <v>464</v>
      </c>
    </row>
    <row r="1810" spans="1:5" x14ac:dyDescent="0.25">
      <c r="A1810" s="41">
        <v>6086</v>
      </c>
      <c r="B1810" s="42" t="s">
        <v>2180</v>
      </c>
      <c r="C1810" s="43" t="s">
        <v>289</v>
      </c>
      <c r="D1810" s="43" t="s">
        <v>1100</v>
      </c>
      <c r="E1810" s="43" t="s">
        <v>464</v>
      </c>
    </row>
    <row r="1811" spans="1:5" x14ac:dyDescent="0.25">
      <c r="A1811" s="41">
        <v>6087</v>
      </c>
      <c r="B1811" s="42" t="s">
        <v>2181</v>
      </c>
      <c r="C1811" s="43" t="s">
        <v>289</v>
      </c>
      <c r="D1811" s="43" t="s">
        <v>1100</v>
      </c>
      <c r="E1811" s="43" t="s">
        <v>464</v>
      </c>
    </row>
    <row r="1812" spans="1:5" x14ac:dyDescent="0.25">
      <c r="A1812" s="41">
        <v>6088</v>
      </c>
      <c r="B1812" s="42" t="s">
        <v>2182</v>
      </c>
      <c r="C1812" s="43" t="s">
        <v>289</v>
      </c>
      <c r="D1812" s="43" t="s">
        <v>1100</v>
      </c>
      <c r="E1812" s="43" t="s">
        <v>464</v>
      </c>
    </row>
    <row r="1813" spans="1:5" x14ac:dyDescent="0.25">
      <c r="A1813" s="41">
        <v>6089</v>
      </c>
      <c r="B1813" s="42" t="s">
        <v>2183</v>
      </c>
      <c r="C1813" s="43" t="s">
        <v>289</v>
      </c>
      <c r="D1813" s="43" t="s">
        <v>1100</v>
      </c>
      <c r="E1813" s="43" t="s">
        <v>464</v>
      </c>
    </row>
    <row r="1814" spans="1:5" x14ac:dyDescent="0.25">
      <c r="A1814" s="41">
        <v>6090</v>
      </c>
      <c r="B1814" s="42" t="s">
        <v>2184</v>
      </c>
      <c r="C1814" s="43" t="s">
        <v>289</v>
      </c>
      <c r="D1814" s="43" t="s">
        <v>468</v>
      </c>
      <c r="E1814" s="43" t="s">
        <v>436</v>
      </c>
    </row>
    <row r="1815" spans="1:5" x14ac:dyDescent="0.25">
      <c r="A1815" s="41">
        <v>6092</v>
      </c>
      <c r="B1815" s="42" t="s">
        <v>2185</v>
      </c>
      <c r="C1815" s="43" t="s">
        <v>289</v>
      </c>
      <c r="D1815" s="43" t="s">
        <v>316</v>
      </c>
      <c r="E1815" s="43" t="s">
        <v>230</v>
      </c>
    </row>
    <row r="1816" spans="1:5" x14ac:dyDescent="0.25">
      <c r="A1816" s="41">
        <v>6099</v>
      </c>
      <c r="B1816" s="42" t="s">
        <v>2186</v>
      </c>
      <c r="C1816" s="43" t="s">
        <v>289</v>
      </c>
      <c r="D1816" s="43" t="s">
        <v>996</v>
      </c>
      <c r="E1816" s="43" t="s">
        <v>864</v>
      </c>
    </row>
    <row r="1817" spans="1:5" x14ac:dyDescent="0.25">
      <c r="A1817" s="41">
        <v>6101</v>
      </c>
      <c r="B1817" s="42" t="s">
        <v>2187</v>
      </c>
      <c r="C1817" s="43" t="s">
        <v>289</v>
      </c>
      <c r="D1817" s="43" t="s">
        <v>327</v>
      </c>
      <c r="E1817" s="43" t="s">
        <v>864</v>
      </c>
    </row>
    <row r="1818" spans="1:5" x14ac:dyDescent="0.25">
      <c r="A1818" s="41">
        <v>6102</v>
      </c>
      <c r="B1818" s="42" t="s">
        <v>2188</v>
      </c>
      <c r="C1818" s="43" t="s">
        <v>289</v>
      </c>
      <c r="D1818" s="43" t="s">
        <v>327</v>
      </c>
      <c r="E1818" s="43" t="s">
        <v>864</v>
      </c>
    </row>
    <row r="1819" spans="1:5" x14ac:dyDescent="0.25">
      <c r="A1819" s="41">
        <v>6108</v>
      </c>
      <c r="B1819" s="42" t="s">
        <v>2189</v>
      </c>
      <c r="C1819" s="43" t="s">
        <v>289</v>
      </c>
      <c r="D1819" s="43" t="s">
        <v>327</v>
      </c>
      <c r="E1819" s="43" t="s">
        <v>864</v>
      </c>
    </row>
    <row r="1820" spans="1:5" x14ac:dyDescent="0.25">
      <c r="A1820" s="41">
        <v>6110</v>
      </c>
      <c r="B1820" s="42" t="s">
        <v>2190</v>
      </c>
      <c r="C1820" s="43" t="s">
        <v>289</v>
      </c>
      <c r="D1820" s="43" t="s">
        <v>327</v>
      </c>
      <c r="E1820" s="43" t="s">
        <v>230</v>
      </c>
    </row>
    <row r="1821" spans="1:5" x14ac:dyDescent="0.25">
      <c r="A1821" s="41">
        <v>6114</v>
      </c>
      <c r="B1821" s="42" t="s">
        <v>2191</v>
      </c>
      <c r="C1821" s="43" t="s">
        <v>289</v>
      </c>
      <c r="D1821" s="43" t="s">
        <v>996</v>
      </c>
      <c r="E1821" s="43" t="s">
        <v>864</v>
      </c>
    </row>
    <row r="1822" spans="1:5" x14ac:dyDescent="0.25">
      <c r="A1822" s="41">
        <v>6115</v>
      </c>
      <c r="B1822" s="42" t="s">
        <v>2192</v>
      </c>
      <c r="C1822" s="43" t="s">
        <v>289</v>
      </c>
      <c r="D1822" s="43" t="s">
        <v>996</v>
      </c>
      <c r="E1822" s="43" t="s">
        <v>864</v>
      </c>
    </row>
    <row r="1823" spans="1:5" x14ac:dyDescent="0.25">
      <c r="A1823" s="41">
        <v>6116</v>
      </c>
      <c r="B1823" s="42" t="s">
        <v>2193</v>
      </c>
      <c r="C1823" s="43" t="s">
        <v>289</v>
      </c>
      <c r="D1823" s="43" t="s">
        <v>996</v>
      </c>
      <c r="E1823" s="43" t="s">
        <v>864</v>
      </c>
    </row>
    <row r="1824" spans="1:5" x14ac:dyDescent="0.25">
      <c r="A1824" s="41">
        <v>6117</v>
      </c>
      <c r="B1824" s="42" t="s">
        <v>2194</v>
      </c>
      <c r="C1824" s="43" t="s">
        <v>289</v>
      </c>
      <c r="D1824" s="43" t="s">
        <v>996</v>
      </c>
      <c r="E1824" s="43" t="s">
        <v>864</v>
      </c>
    </row>
    <row r="1825" spans="1:5" x14ac:dyDescent="0.25">
      <c r="A1825" s="41">
        <v>6119</v>
      </c>
      <c r="B1825" s="42" t="s">
        <v>2195</v>
      </c>
      <c r="C1825" s="43" t="s">
        <v>289</v>
      </c>
      <c r="D1825" s="43" t="s">
        <v>509</v>
      </c>
      <c r="E1825" s="43" t="s">
        <v>454</v>
      </c>
    </row>
    <row r="1826" spans="1:5" x14ac:dyDescent="0.25">
      <c r="A1826" s="41">
        <v>6120</v>
      </c>
      <c r="B1826" s="42" t="s">
        <v>2196</v>
      </c>
      <c r="C1826" s="43" t="s">
        <v>289</v>
      </c>
      <c r="D1826" s="43" t="s">
        <v>333</v>
      </c>
      <c r="E1826" s="43" t="s">
        <v>230</v>
      </c>
    </row>
    <row r="1827" spans="1:5" x14ac:dyDescent="0.25">
      <c r="A1827" s="41">
        <v>6121</v>
      </c>
      <c r="B1827" s="42" t="s">
        <v>2197</v>
      </c>
      <c r="C1827" s="43" t="s">
        <v>289</v>
      </c>
      <c r="D1827" s="43" t="s">
        <v>996</v>
      </c>
      <c r="E1827" s="43" t="s">
        <v>864</v>
      </c>
    </row>
    <row r="1828" spans="1:5" x14ac:dyDescent="0.25">
      <c r="A1828" s="41">
        <v>6123</v>
      </c>
      <c r="B1828" s="42" t="s">
        <v>2198</v>
      </c>
      <c r="C1828" s="43" t="s">
        <v>289</v>
      </c>
      <c r="D1828" s="43" t="s">
        <v>996</v>
      </c>
      <c r="E1828" s="43" t="s">
        <v>217</v>
      </c>
    </row>
    <row r="1829" spans="1:5" x14ac:dyDescent="0.25">
      <c r="A1829" s="41">
        <v>6124</v>
      </c>
      <c r="B1829" s="42" t="s">
        <v>2199</v>
      </c>
      <c r="C1829" s="43" t="s">
        <v>289</v>
      </c>
      <c r="D1829" s="43" t="s">
        <v>996</v>
      </c>
      <c r="E1829" s="43" t="s">
        <v>217</v>
      </c>
    </row>
    <row r="1830" spans="1:5" x14ac:dyDescent="0.25">
      <c r="A1830" s="41">
        <v>6129</v>
      </c>
      <c r="B1830" s="42" t="s">
        <v>2200</v>
      </c>
      <c r="C1830" s="43" t="s">
        <v>289</v>
      </c>
      <c r="D1830" s="43" t="s">
        <v>1092</v>
      </c>
      <c r="E1830" s="43" t="s">
        <v>1093</v>
      </c>
    </row>
    <row r="1831" spans="1:5" x14ac:dyDescent="0.25">
      <c r="A1831" s="41">
        <v>6131</v>
      </c>
      <c r="B1831" s="42" t="s">
        <v>2201</v>
      </c>
      <c r="C1831" s="43" t="s">
        <v>289</v>
      </c>
      <c r="D1831" s="43" t="s">
        <v>327</v>
      </c>
      <c r="E1831" s="43" t="s">
        <v>436</v>
      </c>
    </row>
    <row r="1832" spans="1:5" x14ac:dyDescent="0.25">
      <c r="A1832" s="41">
        <v>6132</v>
      </c>
      <c r="B1832" s="42" t="s">
        <v>2202</v>
      </c>
      <c r="C1832" s="43" t="s">
        <v>289</v>
      </c>
      <c r="D1832" s="43" t="s">
        <v>327</v>
      </c>
      <c r="E1832" s="43" t="s">
        <v>230</v>
      </c>
    </row>
    <row r="1833" spans="1:5" x14ac:dyDescent="0.25">
      <c r="A1833" s="41">
        <v>6133</v>
      </c>
      <c r="B1833" s="42" t="s">
        <v>2203</v>
      </c>
      <c r="C1833" s="43" t="s">
        <v>289</v>
      </c>
      <c r="D1833" s="43" t="s">
        <v>327</v>
      </c>
      <c r="E1833" s="43" t="s">
        <v>230</v>
      </c>
    </row>
    <row r="1834" spans="1:5" x14ac:dyDescent="0.25">
      <c r="A1834" s="41">
        <v>6134</v>
      </c>
      <c r="B1834" s="42" t="s">
        <v>2204</v>
      </c>
      <c r="C1834" s="43" t="s">
        <v>289</v>
      </c>
      <c r="D1834" s="43" t="s">
        <v>327</v>
      </c>
      <c r="E1834" s="43" t="s">
        <v>230</v>
      </c>
    </row>
    <row r="1835" spans="1:5" x14ac:dyDescent="0.25">
      <c r="A1835" s="41">
        <v>6135</v>
      </c>
      <c r="B1835" s="42" t="s">
        <v>2205</v>
      </c>
      <c r="C1835" s="43" t="s">
        <v>289</v>
      </c>
      <c r="D1835" s="43" t="s">
        <v>327</v>
      </c>
      <c r="E1835" s="43" t="s">
        <v>230</v>
      </c>
    </row>
    <row r="1836" spans="1:5" x14ac:dyDescent="0.25">
      <c r="A1836" s="41">
        <v>6146</v>
      </c>
      <c r="B1836" s="42" t="s">
        <v>2206</v>
      </c>
      <c r="C1836" s="43" t="s">
        <v>289</v>
      </c>
      <c r="D1836" s="43" t="s">
        <v>327</v>
      </c>
      <c r="E1836" s="43" t="s">
        <v>170</v>
      </c>
    </row>
    <row r="1837" spans="1:5" x14ac:dyDescent="0.25">
      <c r="A1837" s="41">
        <v>6147</v>
      </c>
      <c r="B1837" s="42" t="s">
        <v>2207</v>
      </c>
      <c r="C1837" s="43" t="s">
        <v>289</v>
      </c>
      <c r="D1837" s="43" t="s">
        <v>327</v>
      </c>
      <c r="E1837" s="43" t="s">
        <v>170</v>
      </c>
    </row>
    <row r="1838" spans="1:5" x14ac:dyDescent="0.25">
      <c r="A1838" s="41">
        <v>6148</v>
      </c>
      <c r="B1838" s="42" t="s">
        <v>2208</v>
      </c>
      <c r="C1838" s="43" t="s">
        <v>289</v>
      </c>
      <c r="D1838" s="43" t="s">
        <v>327</v>
      </c>
      <c r="E1838" s="43" t="s">
        <v>170</v>
      </c>
    </row>
    <row r="1839" spans="1:5" x14ac:dyDescent="0.25">
      <c r="A1839" s="41">
        <v>6149</v>
      </c>
      <c r="B1839" s="42" t="s">
        <v>2209</v>
      </c>
      <c r="C1839" s="43" t="s">
        <v>289</v>
      </c>
      <c r="D1839" s="43" t="s">
        <v>327</v>
      </c>
      <c r="E1839" s="43" t="s">
        <v>170</v>
      </c>
    </row>
    <row r="1840" spans="1:5" x14ac:dyDescent="0.25">
      <c r="A1840" s="41">
        <v>6150</v>
      </c>
      <c r="B1840" s="42" t="s">
        <v>2210</v>
      </c>
      <c r="C1840" s="43" t="s">
        <v>289</v>
      </c>
      <c r="D1840" s="43" t="s">
        <v>327</v>
      </c>
      <c r="E1840" s="43" t="s">
        <v>170</v>
      </c>
    </row>
    <row r="1841" spans="1:5" x14ac:dyDescent="0.25">
      <c r="A1841" s="41">
        <v>6151</v>
      </c>
      <c r="B1841" s="42" t="s">
        <v>2211</v>
      </c>
      <c r="C1841" s="43" t="s">
        <v>289</v>
      </c>
      <c r="D1841" s="43" t="s">
        <v>327</v>
      </c>
      <c r="E1841" s="43" t="s">
        <v>170</v>
      </c>
    </row>
    <row r="1842" spans="1:5" x14ac:dyDescent="0.25">
      <c r="A1842" s="41">
        <v>6152</v>
      </c>
      <c r="B1842" s="42" t="s">
        <v>2212</v>
      </c>
      <c r="C1842" s="43" t="s">
        <v>289</v>
      </c>
      <c r="D1842" s="43" t="s">
        <v>327</v>
      </c>
      <c r="E1842" s="43" t="s">
        <v>170</v>
      </c>
    </row>
    <row r="1843" spans="1:5" x14ac:dyDescent="0.25">
      <c r="A1843" s="41">
        <v>6153</v>
      </c>
      <c r="B1843" s="42" t="s">
        <v>2213</v>
      </c>
      <c r="C1843" s="43" t="s">
        <v>289</v>
      </c>
      <c r="D1843" s="43" t="s">
        <v>327</v>
      </c>
      <c r="E1843" s="43" t="s">
        <v>230</v>
      </c>
    </row>
    <row r="1844" spans="1:5" x14ac:dyDescent="0.25">
      <c r="A1844" s="41">
        <v>6154</v>
      </c>
      <c r="B1844" s="42" t="s">
        <v>2214</v>
      </c>
      <c r="C1844" s="43" t="s">
        <v>289</v>
      </c>
      <c r="D1844" s="43" t="s">
        <v>327</v>
      </c>
      <c r="E1844" s="43" t="s">
        <v>230</v>
      </c>
    </row>
    <row r="1845" spans="1:5" x14ac:dyDescent="0.25">
      <c r="A1845" s="41">
        <v>6155</v>
      </c>
      <c r="B1845" s="42" t="s">
        <v>2215</v>
      </c>
      <c r="C1845" s="43" t="s">
        <v>289</v>
      </c>
      <c r="D1845" s="43" t="s">
        <v>327</v>
      </c>
      <c r="E1845" s="43" t="s">
        <v>230</v>
      </c>
    </row>
    <row r="1846" spans="1:5" x14ac:dyDescent="0.25">
      <c r="A1846" s="41">
        <v>6156</v>
      </c>
      <c r="B1846" s="42" t="s">
        <v>2216</v>
      </c>
      <c r="C1846" s="43" t="s">
        <v>289</v>
      </c>
      <c r="D1846" s="43" t="s">
        <v>327</v>
      </c>
      <c r="E1846" s="43" t="s">
        <v>230</v>
      </c>
    </row>
    <row r="1847" spans="1:5" x14ac:dyDescent="0.25">
      <c r="A1847" s="41">
        <v>6157</v>
      </c>
      <c r="B1847" s="42" t="s">
        <v>2217</v>
      </c>
      <c r="C1847" s="43" t="s">
        <v>289</v>
      </c>
      <c r="D1847" s="43" t="s">
        <v>327</v>
      </c>
      <c r="E1847" s="43" t="s">
        <v>230</v>
      </c>
    </row>
    <row r="1848" spans="1:5" x14ac:dyDescent="0.25">
      <c r="A1848" s="41">
        <v>6158</v>
      </c>
      <c r="B1848" s="42" t="s">
        <v>2218</v>
      </c>
      <c r="C1848" s="43" t="s">
        <v>289</v>
      </c>
      <c r="D1848" s="43" t="s">
        <v>327</v>
      </c>
      <c r="E1848" s="43" t="s">
        <v>230</v>
      </c>
    </row>
    <row r="1849" spans="1:5" x14ac:dyDescent="0.25">
      <c r="A1849" s="41">
        <v>6159</v>
      </c>
      <c r="B1849" s="42" t="s">
        <v>2219</v>
      </c>
      <c r="C1849" s="43" t="s">
        <v>289</v>
      </c>
      <c r="D1849" s="43" t="s">
        <v>327</v>
      </c>
      <c r="E1849" s="43" t="s">
        <v>230</v>
      </c>
    </row>
    <row r="1850" spans="1:5" x14ac:dyDescent="0.25">
      <c r="A1850" s="41">
        <v>6160</v>
      </c>
      <c r="B1850" s="42" t="s">
        <v>2220</v>
      </c>
      <c r="C1850" s="43" t="s">
        <v>289</v>
      </c>
      <c r="D1850" s="43" t="s">
        <v>327</v>
      </c>
      <c r="E1850" s="43" t="s">
        <v>230</v>
      </c>
    </row>
    <row r="1851" spans="1:5" x14ac:dyDescent="0.25">
      <c r="A1851" s="41">
        <v>6161</v>
      </c>
      <c r="B1851" s="42" t="s">
        <v>2221</v>
      </c>
      <c r="C1851" s="43" t="s">
        <v>289</v>
      </c>
      <c r="D1851" s="43" t="s">
        <v>327</v>
      </c>
      <c r="E1851" s="43" t="s">
        <v>230</v>
      </c>
    </row>
    <row r="1852" spans="1:5" x14ac:dyDescent="0.25">
      <c r="A1852" s="41">
        <v>6163</v>
      </c>
      <c r="B1852" s="42" t="s">
        <v>2222</v>
      </c>
      <c r="C1852" s="43" t="s">
        <v>289</v>
      </c>
      <c r="D1852" s="43" t="s">
        <v>694</v>
      </c>
      <c r="E1852" s="43" t="s">
        <v>230</v>
      </c>
    </row>
    <row r="1853" spans="1:5" x14ac:dyDescent="0.25">
      <c r="A1853" s="41">
        <v>6164</v>
      </c>
      <c r="B1853" s="42" t="s">
        <v>2223</v>
      </c>
      <c r="C1853" s="43" t="s">
        <v>289</v>
      </c>
      <c r="D1853" s="43" t="s">
        <v>316</v>
      </c>
      <c r="E1853" s="43" t="s">
        <v>230</v>
      </c>
    </row>
    <row r="1854" spans="1:5" x14ac:dyDescent="0.25">
      <c r="A1854" s="41">
        <v>6166</v>
      </c>
      <c r="B1854" s="42" t="s">
        <v>2224</v>
      </c>
      <c r="C1854" s="43" t="s">
        <v>289</v>
      </c>
      <c r="D1854" s="43" t="s">
        <v>327</v>
      </c>
      <c r="E1854" s="43" t="s">
        <v>436</v>
      </c>
    </row>
    <row r="1855" spans="1:5" x14ac:dyDescent="0.25">
      <c r="A1855" s="41">
        <v>6167</v>
      </c>
      <c r="B1855" s="42" t="s">
        <v>2225</v>
      </c>
      <c r="C1855" s="43" t="s">
        <v>289</v>
      </c>
      <c r="D1855" s="43" t="s">
        <v>327</v>
      </c>
      <c r="E1855" s="43" t="s">
        <v>436</v>
      </c>
    </row>
    <row r="1856" spans="1:5" x14ac:dyDescent="0.25">
      <c r="A1856" s="41">
        <v>6169</v>
      </c>
      <c r="B1856" s="42" t="s">
        <v>2226</v>
      </c>
      <c r="C1856" s="43" t="s">
        <v>289</v>
      </c>
      <c r="D1856" s="43" t="s">
        <v>327</v>
      </c>
      <c r="E1856" s="43" t="s">
        <v>436</v>
      </c>
    </row>
    <row r="1857" spans="1:5" x14ac:dyDescent="0.25">
      <c r="A1857" s="41">
        <v>6170</v>
      </c>
      <c r="B1857" s="42" t="s">
        <v>2227</v>
      </c>
      <c r="C1857" s="43" t="s">
        <v>289</v>
      </c>
      <c r="D1857" s="43" t="s">
        <v>327</v>
      </c>
      <c r="E1857" s="43" t="s">
        <v>217</v>
      </c>
    </row>
    <row r="1858" spans="1:5" x14ac:dyDescent="0.25">
      <c r="A1858" s="41">
        <v>6171</v>
      </c>
      <c r="B1858" s="42" t="s">
        <v>2228</v>
      </c>
      <c r="C1858" s="43" t="s">
        <v>289</v>
      </c>
      <c r="D1858" s="43" t="s">
        <v>327</v>
      </c>
      <c r="E1858" s="43" t="s">
        <v>1093</v>
      </c>
    </row>
    <row r="1859" spans="1:5" x14ac:dyDescent="0.25">
      <c r="A1859" s="41">
        <v>6174</v>
      </c>
      <c r="B1859" s="42" t="s">
        <v>2229</v>
      </c>
      <c r="C1859" s="43" t="s">
        <v>289</v>
      </c>
      <c r="D1859" s="43" t="s">
        <v>327</v>
      </c>
      <c r="E1859" s="43" t="s">
        <v>436</v>
      </c>
    </row>
    <row r="1860" spans="1:5" x14ac:dyDescent="0.25">
      <c r="A1860" s="41">
        <v>6175</v>
      </c>
      <c r="B1860" s="42" t="s">
        <v>2230</v>
      </c>
      <c r="C1860" s="43" t="s">
        <v>289</v>
      </c>
      <c r="D1860" s="43" t="s">
        <v>327</v>
      </c>
      <c r="E1860" s="43" t="s">
        <v>436</v>
      </c>
    </row>
    <row r="1861" spans="1:5" x14ac:dyDescent="0.25">
      <c r="A1861" s="41">
        <v>6178</v>
      </c>
      <c r="B1861" s="42" t="s">
        <v>2231</v>
      </c>
      <c r="C1861" s="43" t="s">
        <v>289</v>
      </c>
      <c r="D1861" s="43" t="s">
        <v>468</v>
      </c>
      <c r="E1861" s="43" t="s">
        <v>230</v>
      </c>
    </row>
    <row r="1862" spans="1:5" x14ac:dyDescent="0.25">
      <c r="A1862" s="41">
        <v>6183</v>
      </c>
      <c r="B1862" s="42" t="s">
        <v>2232</v>
      </c>
      <c r="C1862" s="43" t="s">
        <v>289</v>
      </c>
      <c r="D1862" s="43" t="s">
        <v>763</v>
      </c>
      <c r="E1862" s="43" t="s">
        <v>436</v>
      </c>
    </row>
    <row r="1863" spans="1:5" x14ac:dyDescent="0.25">
      <c r="A1863" s="41">
        <v>6186</v>
      </c>
      <c r="B1863" s="42" t="s">
        <v>2233</v>
      </c>
      <c r="C1863" s="43" t="s">
        <v>289</v>
      </c>
      <c r="D1863" s="43" t="s">
        <v>468</v>
      </c>
      <c r="E1863" s="43" t="s">
        <v>230</v>
      </c>
    </row>
    <row r="1864" spans="1:5" x14ac:dyDescent="0.25">
      <c r="A1864" s="41">
        <v>6189</v>
      </c>
      <c r="B1864" s="42" t="s">
        <v>2234</v>
      </c>
      <c r="C1864" s="43" t="s">
        <v>289</v>
      </c>
      <c r="D1864" s="43" t="s">
        <v>316</v>
      </c>
      <c r="E1864" s="43" t="s">
        <v>531</v>
      </c>
    </row>
    <row r="1865" spans="1:5" x14ac:dyDescent="0.25">
      <c r="A1865" s="41">
        <v>6190</v>
      </c>
      <c r="B1865" s="42" t="s">
        <v>2235</v>
      </c>
      <c r="C1865" s="43" t="s">
        <v>289</v>
      </c>
      <c r="D1865" s="43" t="s">
        <v>316</v>
      </c>
      <c r="E1865" s="43" t="s">
        <v>531</v>
      </c>
    </row>
    <row r="1866" spans="1:5" x14ac:dyDescent="0.25">
      <c r="A1866" s="41">
        <v>6192</v>
      </c>
      <c r="B1866" s="42" t="s">
        <v>2236</v>
      </c>
      <c r="C1866" s="43" t="s">
        <v>289</v>
      </c>
      <c r="D1866" s="43" t="s">
        <v>314</v>
      </c>
      <c r="E1866" s="43" t="s">
        <v>230</v>
      </c>
    </row>
    <row r="1867" spans="1:5" x14ac:dyDescent="0.25">
      <c r="A1867" s="41">
        <v>6193</v>
      </c>
      <c r="B1867" s="42" t="s">
        <v>2237</v>
      </c>
      <c r="C1867" s="43" t="s">
        <v>289</v>
      </c>
      <c r="D1867" s="43" t="s">
        <v>314</v>
      </c>
      <c r="E1867" s="43" t="s">
        <v>230</v>
      </c>
    </row>
    <row r="1868" spans="1:5" x14ac:dyDescent="0.25">
      <c r="A1868" s="41">
        <v>6194</v>
      </c>
      <c r="B1868" s="42" t="s">
        <v>2238</v>
      </c>
      <c r="C1868" s="43" t="s">
        <v>289</v>
      </c>
      <c r="D1868" s="43" t="s">
        <v>333</v>
      </c>
      <c r="E1868" s="43" t="s">
        <v>531</v>
      </c>
    </row>
    <row r="1869" spans="1:5" x14ac:dyDescent="0.25">
      <c r="A1869" s="41">
        <v>6201</v>
      </c>
      <c r="B1869" s="42" t="s">
        <v>2239</v>
      </c>
      <c r="C1869" s="43" t="s">
        <v>289</v>
      </c>
      <c r="D1869" s="43" t="s">
        <v>468</v>
      </c>
      <c r="E1869" s="43" t="s">
        <v>464</v>
      </c>
    </row>
    <row r="1870" spans="1:5" x14ac:dyDescent="0.25">
      <c r="A1870" s="41">
        <v>6211</v>
      </c>
      <c r="B1870" s="42" t="s">
        <v>2240</v>
      </c>
      <c r="C1870" s="43" t="s">
        <v>289</v>
      </c>
      <c r="D1870" s="43" t="s">
        <v>327</v>
      </c>
      <c r="E1870" s="43" t="s">
        <v>464</v>
      </c>
    </row>
    <row r="1871" spans="1:5" x14ac:dyDescent="0.25">
      <c r="A1871" s="41">
        <v>6212</v>
      </c>
      <c r="B1871" s="42" t="s">
        <v>2241</v>
      </c>
      <c r="C1871" s="43" t="s">
        <v>289</v>
      </c>
      <c r="D1871" s="43" t="s">
        <v>316</v>
      </c>
      <c r="E1871" s="43" t="s">
        <v>230</v>
      </c>
    </row>
    <row r="1872" spans="1:5" x14ac:dyDescent="0.25">
      <c r="A1872" s="41">
        <v>6213</v>
      </c>
      <c r="B1872" s="42" t="s">
        <v>2242</v>
      </c>
      <c r="C1872" s="43" t="s">
        <v>289</v>
      </c>
      <c r="D1872" s="43" t="s">
        <v>314</v>
      </c>
      <c r="E1872" s="43" t="s">
        <v>230</v>
      </c>
    </row>
    <row r="1873" spans="1:5" x14ac:dyDescent="0.25">
      <c r="A1873" s="41">
        <v>6215</v>
      </c>
      <c r="B1873" s="42" t="s">
        <v>2243</v>
      </c>
      <c r="C1873" s="43" t="s">
        <v>289</v>
      </c>
      <c r="D1873" s="43" t="s">
        <v>327</v>
      </c>
      <c r="E1873" s="43" t="s">
        <v>170</v>
      </c>
    </row>
    <row r="1874" spans="1:5" x14ac:dyDescent="0.25">
      <c r="A1874" s="41">
        <v>6223</v>
      </c>
      <c r="B1874" s="42" t="s">
        <v>2244</v>
      </c>
      <c r="C1874" s="43" t="s">
        <v>289</v>
      </c>
      <c r="D1874" s="43" t="s">
        <v>433</v>
      </c>
      <c r="E1874" s="43" t="s">
        <v>464</v>
      </c>
    </row>
    <row r="1875" spans="1:5" x14ac:dyDescent="0.25">
      <c r="A1875" s="41">
        <v>6229</v>
      </c>
      <c r="B1875" s="42" t="s">
        <v>2245</v>
      </c>
      <c r="C1875" s="43" t="s">
        <v>289</v>
      </c>
      <c r="D1875" s="43" t="s">
        <v>327</v>
      </c>
      <c r="E1875" s="43" t="s">
        <v>464</v>
      </c>
    </row>
    <row r="1876" spans="1:5" x14ac:dyDescent="0.25">
      <c r="A1876" s="41">
        <v>6230</v>
      </c>
      <c r="B1876" s="42" t="s">
        <v>2246</v>
      </c>
      <c r="C1876" s="43" t="s">
        <v>289</v>
      </c>
      <c r="D1876" s="43" t="s">
        <v>327</v>
      </c>
      <c r="E1876" s="43" t="s">
        <v>464</v>
      </c>
    </row>
    <row r="1877" spans="1:5" x14ac:dyDescent="0.25">
      <c r="A1877" s="41">
        <v>6231</v>
      </c>
      <c r="B1877" s="42" t="s">
        <v>2247</v>
      </c>
      <c r="C1877" s="43" t="s">
        <v>289</v>
      </c>
      <c r="D1877" s="43" t="s">
        <v>327</v>
      </c>
      <c r="E1877" s="43" t="s">
        <v>404</v>
      </c>
    </row>
    <row r="1878" spans="1:5" x14ac:dyDescent="0.25">
      <c r="A1878" s="41">
        <v>6235</v>
      </c>
      <c r="B1878" s="42" t="s">
        <v>2248</v>
      </c>
      <c r="C1878" s="43" t="s">
        <v>289</v>
      </c>
      <c r="D1878" s="43" t="s">
        <v>316</v>
      </c>
      <c r="E1878" s="43" t="s">
        <v>230</v>
      </c>
    </row>
    <row r="1879" spans="1:5" x14ac:dyDescent="0.25">
      <c r="A1879" s="41">
        <v>6241</v>
      </c>
      <c r="B1879" s="42" t="s">
        <v>2249</v>
      </c>
      <c r="C1879" s="43" t="s">
        <v>289</v>
      </c>
      <c r="D1879" s="43" t="s">
        <v>468</v>
      </c>
      <c r="E1879" s="43" t="s">
        <v>464</v>
      </c>
    </row>
    <row r="1880" spans="1:5" x14ac:dyDescent="0.25">
      <c r="A1880" s="41">
        <v>6242</v>
      </c>
      <c r="B1880" s="42" t="s">
        <v>2250</v>
      </c>
      <c r="C1880" s="43" t="s">
        <v>289</v>
      </c>
      <c r="D1880" s="43" t="s">
        <v>327</v>
      </c>
      <c r="E1880" s="43" t="s">
        <v>464</v>
      </c>
    </row>
    <row r="1881" spans="1:5" x14ac:dyDescent="0.25">
      <c r="A1881" s="41">
        <v>6243</v>
      </c>
      <c r="B1881" s="42" t="s">
        <v>2251</v>
      </c>
      <c r="C1881" s="43" t="s">
        <v>289</v>
      </c>
      <c r="D1881" s="43" t="s">
        <v>327</v>
      </c>
      <c r="E1881" s="43" t="s">
        <v>464</v>
      </c>
    </row>
    <row r="1882" spans="1:5" x14ac:dyDescent="0.25">
      <c r="A1882" s="41">
        <v>6253</v>
      </c>
      <c r="B1882" s="42" t="s">
        <v>2252</v>
      </c>
      <c r="C1882" s="43" t="s">
        <v>289</v>
      </c>
      <c r="D1882" s="43" t="s">
        <v>327</v>
      </c>
      <c r="E1882" s="43" t="s">
        <v>170</v>
      </c>
    </row>
    <row r="1883" spans="1:5" x14ac:dyDescent="0.25">
      <c r="A1883" s="41">
        <v>6254</v>
      </c>
      <c r="B1883" s="42" t="s">
        <v>2253</v>
      </c>
      <c r="C1883" s="43" t="s">
        <v>289</v>
      </c>
      <c r="D1883" s="43" t="s">
        <v>327</v>
      </c>
      <c r="E1883" s="43" t="s">
        <v>170</v>
      </c>
    </row>
    <row r="1884" spans="1:5" x14ac:dyDescent="0.25">
      <c r="A1884" s="41">
        <v>6258</v>
      </c>
      <c r="B1884" s="42" t="s">
        <v>2254</v>
      </c>
      <c r="C1884" s="43" t="s">
        <v>289</v>
      </c>
      <c r="D1884" s="43" t="s">
        <v>327</v>
      </c>
      <c r="E1884" s="43" t="s">
        <v>464</v>
      </c>
    </row>
    <row r="1885" spans="1:5" x14ac:dyDescent="0.25">
      <c r="A1885" s="41">
        <v>6259</v>
      </c>
      <c r="B1885" s="42" t="s">
        <v>2255</v>
      </c>
      <c r="C1885" s="43" t="s">
        <v>289</v>
      </c>
      <c r="D1885" s="43" t="s">
        <v>327</v>
      </c>
      <c r="E1885" s="43" t="s">
        <v>464</v>
      </c>
    </row>
    <row r="1886" spans="1:5" x14ac:dyDescent="0.25">
      <c r="A1886" s="41">
        <v>6260</v>
      </c>
      <c r="B1886" s="42" t="s">
        <v>2256</v>
      </c>
      <c r="C1886" s="43" t="s">
        <v>289</v>
      </c>
      <c r="D1886" s="43" t="s">
        <v>327</v>
      </c>
      <c r="E1886" s="43" t="s">
        <v>464</v>
      </c>
    </row>
    <row r="1887" spans="1:5" x14ac:dyDescent="0.25">
      <c r="A1887" s="41">
        <v>6261</v>
      </c>
      <c r="B1887" s="42" t="s">
        <v>2257</v>
      </c>
      <c r="C1887" s="43" t="s">
        <v>289</v>
      </c>
      <c r="D1887" s="43" t="s">
        <v>290</v>
      </c>
      <c r="E1887" s="43" t="s">
        <v>230</v>
      </c>
    </row>
    <row r="1888" spans="1:5" x14ac:dyDescent="0.25">
      <c r="A1888" s="41">
        <v>6266</v>
      </c>
      <c r="B1888" s="42" t="s">
        <v>2258</v>
      </c>
      <c r="C1888" s="43" t="s">
        <v>289</v>
      </c>
      <c r="D1888" s="43" t="s">
        <v>327</v>
      </c>
      <c r="E1888" s="43" t="s">
        <v>170</v>
      </c>
    </row>
    <row r="1889" spans="1:5" x14ac:dyDescent="0.25">
      <c r="A1889" s="41">
        <v>6268</v>
      </c>
      <c r="B1889" s="42" t="s">
        <v>2259</v>
      </c>
      <c r="C1889" s="43" t="s">
        <v>289</v>
      </c>
      <c r="D1889" s="43" t="s">
        <v>327</v>
      </c>
      <c r="E1889" s="43" t="s">
        <v>464</v>
      </c>
    </row>
    <row r="1890" spans="1:5" x14ac:dyDescent="0.25">
      <c r="A1890" s="41">
        <v>6269</v>
      </c>
      <c r="B1890" s="42" t="s">
        <v>2260</v>
      </c>
      <c r="C1890" s="43" t="s">
        <v>289</v>
      </c>
      <c r="D1890" s="43" t="s">
        <v>333</v>
      </c>
      <c r="E1890" s="43" t="s">
        <v>373</v>
      </c>
    </row>
    <row r="1891" spans="1:5" x14ac:dyDescent="0.25">
      <c r="A1891" s="41">
        <v>6270</v>
      </c>
      <c r="B1891" s="42" t="s">
        <v>2261</v>
      </c>
      <c r="C1891" s="43" t="s">
        <v>289</v>
      </c>
      <c r="D1891" s="43" t="s">
        <v>327</v>
      </c>
      <c r="E1891" s="43" t="s">
        <v>464</v>
      </c>
    </row>
    <row r="1892" spans="1:5" x14ac:dyDescent="0.25">
      <c r="A1892" s="41">
        <v>6271</v>
      </c>
      <c r="B1892" s="42" t="s">
        <v>2262</v>
      </c>
      <c r="C1892" s="43" t="s">
        <v>289</v>
      </c>
      <c r="D1892" s="43" t="s">
        <v>327</v>
      </c>
      <c r="E1892" s="43" t="s">
        <v>464</v>
      </c>
    </row>
    <row r="1893" spans="1:5" x14ac:dyDescent="0.25">
      <c r="A1893" s="41">
        <v>6272</v>
      </c>
      <c r="B1893" s="42" t="s">
        <v>2263</v>
      </c>
      <c r="C1893" s="43" t="s">
        <v>289</v>
      </c>
      <c r="D1893" s="43" t="s">
        <v>694</v>
      </c>
      <c r="E1893" s="43" t="s">
        <v>531</v>
      </c>
    </row>
    <row r="1894" spans="1:5" x14ac:dyDescent="0.25">
      <c r="A1894" s="41">
        <v>6274</v>
      </c>
      <c r="B1894" s="42" t="s">
        <v>2264</v>
      </c>
      <c r="C1894" s="43" t="s">
        <v>289</v>
      </c>
      <c r="D1894" s="43" t="s">
        <v>327</v>
      </c>
      <c r="E1894" s="43" t="s">
        <v>464</v>
      </c>
    </row>
    <row r="1895" spans="1:5" x14ac:dyDescent="0.25">
      <c r="A1895" s="41">
        <v>6275</v>
      </c>
      <c r="B1895" s="42" t="s">
        <v>2265</v>
      </c>
      <c r="C1895" s="43" t="s">
        <v>289</v>
      </c>
      <c r="D1895" s="43" t="s">
        <v>327</v>
      </c>
      <c r="E1895" s="43" t="s">
        <v>464</v>
      </c>
    </row>
    <row r="1896" spans="1:5" x14ac:dyDescent="0.25">
      <c r="A1896" s="41">
        <v>6277</v>
      </c>
      <c r="B1896" s="42" t="s">
        <v>2266</v>
      </c>
      <c r="C1896" s="43" t="s">
        <v>289</v>
      </c>
      <c r="D1896" s="43" t="s">
        <v>327</v>
      </c>
      <c r="E1896" s="43" t="s">
        <v>464</v>
      </c>
    </row>
    <row r="1897" spans="1:5" x14ac:dyDescent="0.25">
      <c r="A1897" s="41">
        <v>6279</v>
      </c>
      <c r="B1897" s="42" t="s">
        <v>2267</v>
      </c>
      <c r="C1897" s="43" t="s">
        <v>289</v>
      </c>
      <c r="D1897" s="43" t="s">
        <v>327</v>
      </c>
      <c r="E1897" s="43" t="s">
        <v>464</v>
      </c>
    </row>
    <row r="1898" spans="1:5" x14ac:dyDescent="0.25">
      <c r="A1898" s="41">
        <v>6296</v>
      </c>
      <c r="B1898" s="42" t="s">
        <v>2268</v>
      </c>
      <c r="C1898" s="43" t="s">
        <v>289</v>
      </c>
      <c r="D1898" s="43" t="s">
        <v>996</v>
      </c>
      <c r="E1898" s="43" t="s">
        <v>531</v>
      </c>
    </row>
    <row r="1899" spans="1:5" x14ac:dyDescent="0.25">
      <c r="A1899" s="41">
        <v>6297</v>
      </c>
      <c r="B1899" s="42" t="s">
        <v>2269</v>
      </c>
      <c r="C1899" s="43" t="s">
        <v>289</v>
      </c>
      <c r="D1899" s="43" t="s">
        <v>811</v>
      </c>
      <c r="E1899" s="43" t="s">
        <v>230</v>
      </c>
    </row>
    <row r="1900" spans="1:5" x14ac:dyDescent="0.25">
      <c r="A1900" s="41">
        <v>6299</v>
      </c>
      <c r="B1900" s="42" t="s">
        <v>2270</v>
      </c>
      <c r="C1900" s="43" t="s">
        <v>289</v>
      </c>
      <c r="D1900" s="43" t="s">
        <v>327</v>
      </c>
      <c r="E1900" s="43" t="s">
        <v>230</v>
      </c>
    </row>
    <row r="1901" spans="1:5" x14ac:dyDescent="0.25">
      <c r="A1901" s="41">
        <v>6303</v>
      </c>
      <c r="B1901" s="42" t="s">
        <v>2271</v>
      </c>
      <c r="C1901" s="43" t="s">
        <v>289</v>
      </c>
      <c r="D1901" s="43" t="s">
        <v>494</v>
      </c>
      <c r="E1901" s="43" t="s">
        <v>230</v>
      </c>
    </row>
    <row r="1902" spans="1:5" x14ac:dyDescent="0.25">
      <c r="A1902" s="41">
        <v>6304</v>
      </c>
      <c r="B1902" s="42" t="s">
        <v>2272</v>
      </c>
      <c r="C1902" s="43" t="s">
        <v>289</v>
      </c>
      <c r="D1902" s="43" t="s">
        <v>494</v>
      </c>
      <c r="E1902" s="43" t="s">
        <v>230</v>
      </c>
    </row>
    <row r="1903" spans="1:5" x14ac:dyDescent="0.25">
      <c r="A1903" s="41">
        <v>6306</v>
      </c>
      <c r="B1903" s="42" t="s">
        <v>2273</v>
      </c>
      <c r="C1903" s="43" t="s">
        <v>289</v>
      </c>
      <c r="D1903" s="43" t="s">
        <v>694</v>
      </c>
      <c r="E1903" s="43" t="s">
        <v>170</v>
      </c>
    </row>
    <row r="1904" spans="1:5" x14ac:dyDescent="0.25">
      <c r="A1904" s="41">
        <v>6308</v>
      </c>
      <c r="B1904" s="42" t="s">
        <v>2274</v>
      </c>
      <c r="C1904" s="43" t="s">
        <v>289</v>
      </c>
      <c r="D1904" s="43" t="s">
        <v>795</v>
      </c>
      <c r="E1904" s="43" t="s">
        <v>170</v>
      </c>
    </row>
    <row r="1905" spans="1:5" x14ac:dyDescent="0.25">
      <c r="A1905" s="41">
        <v>6309</v>
      </c>
      <c r="B1905" s="42" t="s">
        <v>2275</v>
      </c>
      <c r="C1905" s="43" t="s">
        <v>289</v>
      </c>
      <c r="D1905" s="43" t="s">
        <v>433</v>
      </c>
      <c r="E1905" s="43" t="s">
        <v>454</v>
      </c>
    </row>
    <row r="1906" spans="1:5" x14ac:dyDescent="0.25">
      <c r="A1906" s="41">
        <v>6318</v>
      </c>
      <c r="B1906" s="42" t="s">
        <v>2276</v>
      </c>
      <c r="C1906" s="43" t="s">
        <v>289</v>
      </c>
      <c r="D1906" s="43" t="s">
        <v>494</v>
      </c>
      <c r="E1906" s="43" t="s">
        <v>472</v>
      </c>
    </row>
    <row r="1907" spans="1:5" x14ac:dyDescent="0.25">
      <c r="A1907" s="41">
        <v>6346</v>
      </c>
      <c r="B1907" s="42" t="s">
        <v>2277</v>
      </c>
      <c r="C1907" s="43" t="s">
        <v>289</v>
      </c>
      <c r="D1907" s="43" t="s">
        <v>327</v>
      </c>
      <c r="E1907" s="43" t="s">
        <v>404</v>
      </c>
    </row>
    <row r="1908" spans="1:5" x14ac:dyDescent="0.25">
      <c r="A1908" s="41">
        <v>6347</v>
      </c>
      <c r="B1908" s="42" t="s">
        <v>2278</v>
      </c>
      <c r="C1908" s="43" t="s">
        <v>289</v>
      </c>
      <c r="D1908" s="43" t="s">
        <v>316</v>
      </c>
      <c r="E1908" s="43" t="s">
        <v>454</v>
      </c>
    </row>
    <row r="1909" spans="1:5" x14ac:dyDescent="0.25">
      <c r="A1909" s="41">
        <v>6358</v>
      </c>
      <c r="B1909" s="42" t="s">
        <v>2279</v>
      </c>
      <c r="C1909" s="43" t="s">
        <v>289</v>
      </c>
      <c r="D1909" s="43" t="s">
        <v>327</v>
      </c>
      <c r="E1909" s="43" t="s">
        <v>454</v>
      </c>
    </row>
    <row r="1910" spans="1:5" x14ac:dyDescent="0.25">
      <c r="A1910" s="41">
        <v>6360</v>
      </c>
      <c r="B1910" s="42" t="s">
        <v>2280</v>
      </c>
      <c r="C1910" s="43" t="s">
        <v>289</v>
      </c>
      <c r="D1910" s="43" t="s">
        <v>2281</v>
      </c>
      <c r="E1910" s="43" t="s">
        <v>230</v>
      </c>
    </row>
    <row r="1911" spans="1:5" x14ac:dyDescent="0.25">
      <c r="A1911" s="41">
        <v>6361</v>
      </c>
      <c r="B1911" s="42" t="s">
        <v>2282</v>
      </c>
      <c r="C1911" s="43" t="s">
        <v>289</v>
      </c>
      <c r="D1911" s="43" t="s">
        <v>2281</v>
      </c>
      <c r="E1911" s="43" t="s">
        <v>230</v>
      </c>
    </row>
    <row r="1912" spans="1:5" x14ac:dyDescent="0.25">
      <c r="A1912" s="41">
        <v>6362</v>
      </c>
      <c r="B1912" s="42" t="s">
        <v>2283</v>
      </c>
      <c r="C1912" s="43" t="s">
        <v>289</v>
      </c>
      <c r="D1912" s="43" t="s">
        <v>2281</v>
      </c>
      <c r="E1912" s="43" t="s">
        <v>230</v>
      </c>
    </row>
    <row r="1913" spans="1:5" x14ac:dyDescent="0.25">
      <c r="A1913" s="41">
        <v>6363</v>
      </c>
      <c r="B1913" s="42" t="s">
        <v>2284</v>
      </c>
      <c r="C1913" s="43" t="s">
        <v>289</v>
      </c>
      <c r="D1913" s="43" t="s">
        <v>327</v>
      </c>
      <c r="E1913" s="43" t="s">
        <v>464</v>
      </c>
    </row>
    <row r="1914" spans="1:5" x14ac:dyDescent="0.25">
      <c r="A1914" s="41">
        <v>6367</v>
      </c>
      <c r="B1914" s="42" t="s">
        <v>2285</v>
      </c>
      <c r="C1914" s="43" t="s">
        <v>289</v>
      </c>
      <c r="D1914" s="43" t="s">
        <v>327</v>
      </c>
      <c r="E1914" s="43" t="s">
        <v>230</v>
      </c>
    </row>
    <row r="1915" spans="1:5" x14ac:dyDescent="0.25">
      <c r="A1915" s="41">
        <v>6368</v>
      </c>
      <c r="B1915" s="42" t="s">
        <v>2286</v>
      </c>
      <c r="C1915" s="43" t="s">
        <v>289</v>
      </c>
      <c r="D1915" s="43" t="s">
        <v>327</v>
      </c>
      <c r="E1915" s="43" t="s">
        <v>230</v>
      </c>
    </row>
    <row r="1916" spans="1:5" x14ac:dyDescent="0.25">
      <c r="A1916" s="41">
        <v>6369</v>
      </c>
      <c r="B1916" s="42" t="s">
        <v>2287</v>
      </c>
      <c r="C1916" s="43" t="s">
        <v>289</v>
      </c>
      <c r="D1916" s="43" t="s">
        <v>327</v>
      </c>
      <c r="E1916" s="43" t="s">
        <v>230</v>
      </c>
    </row>
    <row r="1917" spans="1:5" x14ac:dyDescent="0.25">
      <c r="A1917" s="41">
        <v>6370</v>
      </c>
      <c r="B1917" s="42" t="s">
        <v>2288</v>
      </c>
      <c r="C1917" s="43" t="s">
        <v>289</v>
      </c>
      <c r="D1917" s="43" t="s">
        <v>327</v>
      </c>
      <c r="E1917" s="43" t="s">
        <v>230</v>
      </c>
    </row>
    <row r="1918" spans="1:5" x14ac:dyDescent="0.25">
      <c r="A1918" s="41">
        <v>6379</v>
      </c>
      <c r="B1918" s="42" t="s">
        <v>2289</v>
      </c>
      <c r="C1918" s="43" t="s">
        <v>289</v>
      </c>
      <c r="D1918" s="43" t="s">
        <v>1100</v>
      </c>
      <c r="E1918" s="43" t="s">
        <v>531</v>
      </c>
    </row>
    <row r="1919" spans="1:5" x14ac:dyDescent="0.25">
      <c r="A1919" s="41">
        <v>6381</v>
      </c>
      <c r="B1919" s="42" t="s">
        <v>2290</v>
      </c>
      <c r="C1919" s="43" t="s">
        <v>289</v>
      </c>
      <c r="D1919" s="43" t="s">
        <v>327</v>
      </c>
      <c r="E1919" s="43" t="s">
        <v>230</v>
      </c>
    </row>
    <row r="1920" spans="1:5" x14ac:dyDescent="0.25">
      <c r="A1920" s="41">
        <v>6383</v>
      </c>
      <c r="B1920" s="42" t="s">
        <v>2291</v>
      </c>
      <c r="C1920" s="43" t="s">
        <v>289</v>
      </c>
      <c r="D1920" s="43" t="s">
        <v>996</v>
      </c>
      <c r="E1920" s="43" t="s">
        <v>230</v>
      </c>
    </row>
    <row r="1921" spans="1:5" x14ac:dyDescent="0.25">
      <c r="A1921" s="41">
        <v>6384</v>
      </c>
      <c r="B1921" s="42" t="s">
        <v>2292</v>
      </c>
      <c r="C1921" s="43" t="s">
        <v>289</v>
      </c>
      <c r="D1921" s="43" t="s">
        <v>996</v>
      </c>
      <c r="E1921" s="43" t="s">
        <v>230</v>
      </c>
    </row>
    <row r="1922" spans="1:5" x14ac:dyDescent="0.25">
      <c r="A1922" s="41">
        <v>6385</v>
      </c>
      <c r="B1922" s="42" t="s">
        <v>2293</v>
      </c>
      <c r="C1922" s="43" t="s">
        <v>289</v>
      </c>
      <c r="D1922" s="43" t="s">
        <v>327</v>
      </c>
      <c r="E1922" s="43" t="s">
        <v>230</v>
      </c>
    </row>
    <row r="1923" spans="1:5" x14ac:dyDescent="0.25">
      <c r="A1923" s="41">
        <v>6389</v>
      </c>
      <c r="B1923" s="42" t="s">
        <v>2294</v>
      </c>
      <c r="C1923" s="43" t="s">
        <v>289</v>
      </c>
      <c r="D1923" s="43" t="s">
        <v>327</v>
      </c>
      <c r="E1923" s="43" t="s">
        <v>230</v>
      </c>
    </row>
    <row r="1924" spans="1:5" x14ac:dyDescent="0.25">
      <c r="A1924" s="41">
        <v>6390</v>
      </c>
      <c r="B1924" s="42" t="s">
        <v>2295</v>
      </c>
      <c r="C1924" s="43" t="s">
        <v>289</v>
      </c>
      <c r="D1924" s="43" t="s">
        <v>327</v>
      </c>
      <c r="E1924" s="43" t="s">
        <v>230</v>
      </c>
    </row>
    <row r="1925" spans="1:5" x14ac:dyDescent="0.25">
      <c r="A1925" s="41">
        <v>6397</v>
      </c>
      <c r="B1925" s="42" t="s">
        <v>2296</v>
      </c>
      <c r="C1925" s="43" t="s">
        <v>289</v>
      </c>
      <c r="D1925" s="43" t="s">
        <v>329</v>
      </c>
      <c r="E1925" s="43" t="s">
        <v>472</v>
      </c>
    </row>
    <row r="1926" spans="1:5" x14ac:dyDescent="0.25">
      <c r="A1926" s="41">
        <v>6399</v>
      </c>
      <c r="B1926" s="42" t="s">
        <v>2297</v>
      </c>
      <c r="C1926" s="43" t="s">
        <v>289</v>
      </c>
      <c r="D1926" s="43" t="s">
        <v>333</v>
      </c>
      <c r="E1926" s="43" t="s">
        <v>170</v>
      </c>
    </row>
    <row r="1927" spans="1:5" x14ac:dyDescent="0.25">
      <c r="A1927" s="41">
        <v>6410</v>
      </c>
      <c r="B1927" s="42" t="s">
        <v>2298</v>
      </c>
      <c r="C1927" s="43" t="s">
        <v>289</v>
      </c>
      <c r="D1927" s="43" t="s">
        <v>314</v>
      </c>
      <c r="E1927" s="43" t="s">
        <v>336</v>
      </c>
    </row>
    <row r="1928" spans="1:5" x14ac:dyDescent="0.25">
      <c r="A1928" s="41">
        <v>6412</v>
      </c>
      <c r="B1928" s="42" t="s">
        <v>2299</v>
      </c>
      <c r="C1928" s="43" t="s">
        <v>289</v>
      </c>
      <c r="D1928" s="43" t="s">
        <v>316</v>
      </c>
      <c r="E1928" s="43" t="s">
        <v>230</v>
      </c>
    </row>
    <row r="1929" spans="1:5" x14ac:dyDescent="0.25">
      <c r="A1929" s="41">
        <v>6415</v>
      </c>
      <c r="B1929" s="42" t="s">
        <v>2300</v>
      </c>
      <c r="C1929" s="43" t="s">
        <v>289</v>
      </c>
      <c r="D1929" s="43" t="s">
        <v>316</v>
      </c>
      <c r="E1929" s="43" t="s">
        <v>230</v>
      </c>
    </row>
    <row r="1930" spans="1:5" x14ac:dyDescent="0.25">
      <c r="A1930" s="41">
        <v>6416</v>
      </c>
      <c r="B1930" s="42" t="s">
        <v>2301</v>
      </c>
      <c r="C1930" s="43" t="s">
        <v>289</v>
      </c>
      <c r="D1930" s="43" t="s">
        <v>316</v>
      </c>
      <c r="E1930" s="43" t="s">
        <v>230</v>
      </c>
    </row>
    <row r="1931" spans="1:5" x14ac:dyDescent="0.25">
      <c r="A1931" s="41">
        <v>6417</v>
      </c>
      <c r="B1931" s="42" t="s">
        <v>2302</v>
      </c>
      <c r="C1931" s="43" t="s">
        <v>289</v>
      </c>
      <c r="D1931" s="43" t="s">
        <v>316</v>
      </c>
      <c r="E1931" s="43" t="s">
        <v>230</v>
      </c>
    </row>
    <row r="1932" spans="1:5" x14ac:dyDescent="0.25">
      <c r="A1932" s="41">
        <v>6423</v>
      </c>
      <c r="B1932" s="42" t="s">
        <v>2303</v>
      </c>
      <c r="C1932" s="43" t="s">
        <v>289</v>
      </c>
      <c r="D1932" s="43" t="s">
        <v>327</v>
      </c>
      <c r="E1932" s="43" t="s">
        <v>230</v>
      </c>
    </row>
    <row r="1933" spans="1:5" x14ac:dyDescent="0.25">
      <c r="A1933" s="41">
        <v>6429</v>
      </c>
      <c r="B1933" s="42" t="s">
        <v>2304</v>
      </c>
      <c r="C1933" s="43" t="s">
        <v>289</v>
      </c>
      <c r="D1933" s="43" t="s">
        <v>327</v>
      </c>
      <c r="E1933" s="43" t="s">
        <v>230</v>
      </c>
    </row>
    <row r="1934" spans="1:5" x14ac:dyDescent="0.25">
      <c r="A1934" s="41">
        <v>6430</v>
      </c>
      <c r="B1934" s="42" t="s">
        <v>2305</v>
      </c>
      <c r="C1934" s="43" t="s">
        <v>289</v>
      </c>
      <c r="D1934" s="43" t="s">
        <v>327</v>
      </c>
      <c r="E1934" s="43" t="s">
        <v>230</v>
      </c>
    </row>
    <row r="1935" spans="1:5" x14ac:dyDescent="0.25">
      <c r="A1935" s="41">
        <v>6431</v>
      </c>
      <c r="B1935" s="42" t="s">
        <v>2306</v>
      </c>
      <c r="C1935" s="43" t="s">
        <v>289</v>
      </c>
      <c r="D1935" s="43" t="s">
        <v>474</v>
      </c>
      <c r="E1935" s="43" t="s">
        <v>230</v>
      </c>
    </row>
    <row r="1936" spans="1:5" x14ac:dyDescent="0.25">
      <c r="A1936" s="41">
        <v>6432</v>
      </c>
      <c r="B1936" s="42" t="s">
        <v>2307</v>
      </c>
      <c r="C1936" s="43" t="s">
        <v>289</v>
      </c>
      <c r="D1936" s="43" t="s">
        <v>327</v>
      </c>
      <c r="E1936" s="43" t="s">
        <v>230</v>
      </c>
    </row>
    <row r="1937" spans="1:5" x14ac:dyDescent="0.25">
      <c r="A1937" s="41">
        <v>6447</v>
      </c>
      <c r="B1937" s="42" t="s">
        <v>2308</v>
      </c>
      <c r="C1937" s="43" t="s">
        <v>289</v>
      </c>
      <c r="D1937" s="43" t="s">
        <v>327</v>
      </c>
      <c r="E1937" s="43" t="s">
        <v>230</v>
      </c>
    </row>
    <row r="1938" spans="1:5" x14ac:dyDescent="0.25">
      <c r="A1938" s="41">
        <v>6450</v>
      </c>
      <c r="B1938" s="42" t="s">
        <v>2309</v>
      </c>
      <c r="C1938" s="43" t="s">
        <v>289</v>
      </c>
      <c r="D1938" s="43" t="s">
        <v>327</v>
      </c>
      <c r="E1938" s="43" t="s">
        <v>230</v>
      </c>
    </row>
    <row r="1939" spans="1:5" x14ac:dyDescent="0.25">
      <c r="A1939" s="41">
        <v>6451</v>
      </c>
      <c r="B1939" s="42" t="s">
        <v>2310</v>
      </c>
      <c r="C1939" s="43" t="s">
        <v>289</v>
      </c>
      <c r="D1939" s="43" t="s">
        <v>327</v>
      </c>
      <c r="E1939" s="43" t="s">
        <v>230</v>
      </c>
    </row>
    <row r="1940" spans="1:5" x14ac:dyDescent="0.25">
      <c r="A1940" s="41">
        <v>6456</v>
      </c>
      <c r="B1940" s="42" t="s">
        <v>2311</v>
      </c>
      <c r="C1940" s="43" t="s">
        <v>289</v>
      </c>
      <c r="D1940" s="43" t="s">
        <v>327</v>
      </c>
      <c r="E1940" s="43" t="s">
        <v>230</v>
      </c>
    </row>
    <row r="1941" spans="1:5" x14ac:dyDescent="0.25">
      <c r="A1941" s="41">
        <v>6461</v>
      </c>
      <c r="B1941" s="42" t="s">
        <v>2312</v>
      </c>
      <c r="C1941" s="43" t="s">
        <v>289</v>
      </c>
      <c r="D1941" s="43" t="s">
        <v>1326</v>
      </c>
      <c r="E1941" s="43" t="s">
        <v>464</v>
      </c>
    </row>
    <row r="1942" spans="1:5" x14ac:dyDescent="0.25">
      <c r="A1942" s="41">
        <v>6465</v>
      </c>
      <c r="B1942" s="42" t="s">
        <v>2313</v>
      </c>
      <c r="C1942" s="43" t="s">
        <v>289</v>
      </c>
      <c r="D1942" s="43" t="s">
        <v>327</v>
      </c>
      <c r="E1942" s="43" t="s">
        <v>230</v>
      </c>
    </row>
    <row r="1943" spans="1:5" x14ac:dyDescent="0.25">
      <c r="A1943" s="41">
        <v>6468</v>
      </c>
      <c r="B1943" s="42" t="s">
        <v>2314</v>
      </c>
      <c r="C1943" s="43" t="s">
        <v>289</v>
      </c>
      <c r="D1943" s="43" t="s">
        <v>410</v>
      </c>
      <c r="E1943" s="43" t="s">
        <v>404</v>
      </c>
    </row>
    <row r="1944" spans="1:5" x14ac:dyDescent="0.25">
      <c r="A1944" s="41">
        <v>6471</v>
      </c>
      <c r="B1944" s="42" t="s">
        <v>2315</v>
      </c>
      <c r="C1944" s="43" t="s">
        <v>289</v>
      </c>
      <c r="D1944" s="43" t="s">
        <v>333</v>
      </c>
      <c r="E1944" s="43" t="s">
        <v>230</v>
      </c>
    </row>
    <row r="1945" spans="1:5" x14ac:dyDescent="0.25">
      <c r="A1945" s="41">
        <v>6472</v>
      </c>
      <c r="B1945" s="42" t="s">
        <v>2316</v>
      </c>
      <c r="C1945" s="43" t="s">
        <v>289</v>
      </c>
      <c r="D1945" s="43" t="s">
        <v>375</v>
      </c>
      <c r="E1945" s="43" t="s">
        <v>230</v>
      </c>
    </row>
    <row r="1946" spans="1:5" x14ac:dyDescent="0.25">
      <c r="A1946" s="41">
        <v>6474</v>
      </c>
      <c r="B1946" s="42" t="s">
        <v>2317</v>
      </c>
      <c r="C1946" s="43" t="s">
        <v>289</v>
      </c>
      <c r="D1946" s="43" t="s">
        <v>333</v>
      </c>
      <c r="E1946" s="43" t="s">
        <v>336</v>
      </c>
    </row>
    <row r="1947" spans="1:5" x14ac:dyDescent="0.25">
      <c r="A1947" s="41">
        <v>6477</v>
      </c>
      <c r="B1947" s="42" t="s">
        <v>2318</v>
      </c>
      <c r="C1947" s="43" t="s">
        <v>289</v>
      </c>
      <c r="D1947" s="43" t="s">
        <v>316</v>
      </c>
      <c r="E1947" s="43" t="s">
        <v>454</v>
      </c>
    </row>
    <row r="1948" spans="1:5" x14ac:dyDescent="0.25">
      <c r="A1948" s="41">
        <v>6478</v>
      </c>
      <c r="B1948" s="42" t="s">
        <v>2319</v>
      </c>
      <c r="C1948" s="43" t="s">
        <v>289</v>
      </c>
      <c r="D1948" s="43" t="s">
        <v>316</v>
      </c>
      <c r="E1948" s="43" t="s">
        <v>454</v>
      </c>
    </row>
    <row r="1949" spans="1:5" x14ac:dyDescent="0.25">
      <c r="A1949" s="41">
        <v>6487</v>
      </c>
      <c r="B1949" s="42" t="s">
        <v>2320</v>
      </c>
      <c r="C1949" s="43" t="s">
        <v>289</v>
      </c>
      <c r="D1949" s="43" t="s">
        <v>327</v>
      </c>
      <c r="E1949" s="43" t="s">
        <v>766</v>
      </c>
    </row>
    <row r="1950" spans="1:5" x14ac:dyDescent="0.25">
      <c r="A1950" s="41">
        <v>6489</v>
      </c>
      <c r="B1950" s="42" t="s">
        <v>2321</v>
      </c>
      <c r="C1950" s="43" t="s">
        <v>289</v>
      </c>
      <c r="D1950" s="43" t="s">
        <v>327</v>
      </c>
      <c r="E1950" s="43" t="s">
        <v>766</v>
      </c>
    </row>
    <row r="1951" spans="1:5" x14ac:dyDescent="0.25">
      <c r="A1951" s="41">
        <v>6490</v>
      </c>
      <c r="B1951" s="42" t="s">
        <v>2322</v>
      </c>
      <c r="C1951" s="43" t="s">
        <v>289</v>
      </c>
      <c r="D1951" s="43" t="s">
        <v>316</v>
      </c>
      <c r="E1951" s="43" t="s">
        <v>454</v>
      </c>
    </row>
    <row r="1952" spans="1:5" x14ac:dyDescent="0.25">
      <c r="A1952" s="41">
        <v>6497</v>
      </c>
      <c r="B1952" s="42" t="s">
        <v>2323</v>
      </c>
      <c r="C1952" s="43" t="s">
        <v>289</v>
      </c>
      <c r="D1952" s="43" t="s">
        <v>316</v>
      </c>
      <c r="E1952" s="43" t="s">
        <v>531</v>
      </c>
    </row>
    <row r="1953" spans="1:5" x14ac:dyDescent="0.25">
      <c r="A1953" s="41">
        <v>6499</v>
      </c>
      <c r="B1953" s="42" t="s">
        <v>2324</v>
      </c>
      <c r="C1953" s="43" t="s">
        <v>289</v>
      </c>
      <c r="D1953" s="43" t="s">
        <v>523</v>
      </c>
      <c r="E1953" s="43" t="s">
        <v>864</v>
      </c>
    </row>
    <row r="1954" spans="1:5" x14ac:dyDescent="0.25">
      <c r="A1954" s="41">
        <v>6500</v>
      </c>
      <c r="B1954" s="42" t="s">
        <v>2325</v>
      </c>
      <c r="C1954" s="43" t="s">
        <v>289</v>
      </c>
      <c r="D1954" s="43" t="s">
        <v>327</v>
      </c>
      <c r="E1954" s="43" t="s">
        <v>531</v>
      </c>
    </row>
    <row r="1955" spans="1:5" x14ac:dyDescent="0.25">
      <c r="A1955" s="41">
        <v>6503</v>
      </c>
      <c r="B1955" s="42" t="s">
        <v>2326</v>
      </c>
      <c r="C1955" s="43" t="s">
        <v>289</v>
      </c>
      <c r="D1955" s="43" t="s">
        <v>333</v>
      </c>
      <c r="E1955" s="43" t="s">
        <v>170</v>
      </c>
    </row>
    <row r="1956" spans="1:5" x14ac:dyDescent="0.25">
      <c r="A1956" s="41">
        <v>6511</v>
      </c>
      <c r="B1956" s="42" t="s">
        <v>2327</v>
      </c>
      <c r="C1956" s="43" t="s">
        <v>289</v>
      </c>
      <c r="D1956" s="43" t="s">
        <v>795</v>
      </c>
      <c r="E1956" s="43" t="s">
        <v>373</v>
      </c>
    </row>
    <row r="1957" spans="1:5" x14ac:dyDescent="0.25">
      <c r="A1957" s="41">
        <v>6512</v>
      </c>
      <c r="B1957" s="42" t="s">
        <v>2328</v>
      </c>
      <c r="C1957" s="43" t="s">
        <v>289</v>
      </c>
      <c r="D1957" s="43" t="s">
        <v>811</v>
      </c>
      <c r="E1957" s="43" t="s">
        <v>230</v>
      </c>
    </row>
    <row r="1958" spans="1:5" x14ac:dyDescent="0.25">
      <c r="A1958" s="41">
        <v>6513</v>
      </c>
      <c r="B1958" s="42" t="s">
        <v>2329</v>
      </c>
      <c r="C1958" s="43" t="s">
        <v>289</v>
      </c>
      <c r="D1958" s="43" t="s">
        <v>811</v>
      </c>
      <c r="E1958" s="43" t="s">
        <v>373</v>
      </c>
    </row>
    <row r="1959" spans="1:5" x14ac:dyDescent="0.25">
      <c r="A1959" s="41">
        <v>6514</v>
      </c>
      <c r="B1959" s="42" t="s">
        <v>2330</v>
      </c>
      <c r="C1959" s="43" t="s">
        <v>289</v>
      </c>
      <c r="D1959" s="43" t="s">
        <v>523</v>
      </c>
      <c r="E1959" s="43" t="s">
        <v>230</v>
      </c>
    </row>
    <row r="1960" spans="1:5" x14ac:dyDescent="0.25">
      <c r="A1960" s="41">
        <v>6515</v>
      </c>
      <c r="B1960" s="42" t="s">
        <v>2331</v>
      </c>
      <c r="C1960" s="43" t="s">
        <v>289</v>
      </c>
      <c r="D1960" s="43" t="s">
        <v>523</v>
      </c>
      <c r="E1960" s="43" t="s">
        <v>230</v>
      </c>
    </row>
    <row r="1961" spans="1:5" x14ac:dyDescent="0.25">
      <c r="A1961" s="41">
        <v>6518</v>
      </c>
      <c r="B1961" s="42" t="s">
        <v>2332</v>
      </c>
      <c r="C1961" s="43" t="s">
        <v>289</v>
      </c>
      <c r="D1961" s="43" t="s">
        <v>996</v>
      </c>
      <c r="E1961" s="43" t="s">
        <v>336</v>
      </c>
    </row>
    <row r="1962" spans="1:5" x14ac:dyDescent="0.25">
      <c r="A1962" s="41">
        <v>6519</v>
      </c>
      <c r="B1962" s="42" t="s">
        <v>2333</v>
      </c>
      <c r="C1962" s="43" t="s">
        <v>289</v>
      </c>
      <c r="D1962" s="43" t="s">
        <v>2334</v>
      </c>
      <c r="E1962" s="43" t="s">
        <v>230</v>
      </c>
    </row>
    <row r="1963" spans="1:5" x14ac:dyDescent="0.25">
      <c r="A1963" s="41">
        <v>6525</v>
      </c>
      <c r="B1963" s="42" t="s">
        <v>2335</v>
      </c>
      <c r="C1963" s="43" t="s">
        <v>289</v>
      </c>
      <c r="D1963" s="43" t="s">
        <v>316</v>
      </c>
      <c r="E1963" s="43" t="s">
        <v>454</v>
      </c>
    </row>
    <row r="1964" spans="1:5" x14ac:dyDescent="0.25">
      <c r="A1964" s="41">
        <v>6531</v>
      </c>
      <c r="B1964" s="42" t="s">
        <v>2336</v>
      </c>
      <c r="C1964" s="43" t="s">
        <v>289</v>
      </c>
      <c r="D1964" s="43" t="s">
        <v>327</v>
      </c>
      <c r="E1964" s="43" t="s">
        <v>230</v>
      </c>
    </row>
    <row r="1965" spans="1:5" x14ac:dyDescent="0.25">
      <c r="A1965" s="41">
        <v>6532</v>
      </c>
      <c r="B1965" s="42" t="s">
        <v>2337</v>
      </c>
      <c r="C1965" s="43" t="s">
        <v>289</v>
      </c>
      <c r="D1965" s="43" t="s">
        <v>327</v>
      </c>
      <c r="E1965" s="43" t="s">
        <v>230</v>
      </c>
    </row>
    <row r="1966" spans="1:5" x14ac:dyDescent="0.25">
      <c r="A1966" s="41">
        <v>6541</v>
      </c>
      <c r="B1966" s="42" t="s">
        <v>2338</v>
      </c>
      <c r="C1966" s="43" t="s">
        <v>289</v>
      </c>
      <c r="D1966" s="43" t="s">
        <v>327</v>
      </c>
      <c r="E1966" s="43" t="s">
        <v>230</v>
      </c>
    </row>
    <row r="1967" spans="1:5" x14ac:dyDescent="0.25">
      <c r="A1967" s="41">
        <v>6542</v>
      </c>
      <c r="B1967" s="42" t="s">
        <v>2339</v>
      </c>
      <c r="C1967" s="43" t="s">
        <v>289</v>
      </c>
      <c r="D1967" s="43" t="s">
        <v>499</v>
      </c>
      <c r="E1967" s="43" t="s">
        <v>472</v>
      </c>
    </row>
    <row r="1968" spans="1:5" x14ac:dyDescent="0.25">
      <c r="A1968" s="41">
        <v>6547</v>
      </c>
      <c r="B1968" s="42" t="s">
        <v>2340</v>
      </c>
      <c r="C1968" s="43" t="s">
        <v>289</v>
      </c>
      <c r="D1968" s="43" t="s">
        <v>941</v>
      </c>
      <c r="E1968" s="43" t="s">
        <v>217</v>
      </c>
    </row>
    <row r="1969" spans="1:5" x14ac:dyDescent="0.25">
      <c r="A1969" s="41">
        <v>6549</v>
      </c>
      <c r="B1969" s="42" t="s">
        <v>2341</v>
      </c>
      <c r="C1969" s="43" t="s">
        <v>289</v>
      </c>
      <c r="D1969" s="43" t="s">
        <v>327</v>
      </c>
      <c r="E1969" s="43" t="s">
        <v>531</v>
      </c>
    </row>
    <row r="1970" spans="1:5" x14ac:dyDescent="0.25">
      <c r="A1970" s="41">
        <v>6579</v>
      </c>
      <c r="B1970" s="42" t="s">
        <v>2342</v>
      </c>
      <c r="C1970" s="43" t="s">
        <v>289</v>
      </c>
      <c r="D1970" s="43" t="s">
        <v>433</v>
      </c>
      <c r="E1970" s="43" t="s">
        <v>230</v>
      </c>
    </row>
    <row r="1971" spans="1:5" x14ac:dyDescent="0.25">
      <c r="A1971" s="41">
        <v>6580</v>
      </c>
      <c r="B1971" s="42" t="s">
        <v>2343</v>
      </c>
      <c r="C1971" s="43" t="s">
        <v>289</v>
      </c>
      <c r="D1971" s="43" t="s">
        <v>435</v>
      </c>
      <c r="E1971" s="43" t="s">
        <v>230</v>
      </c>
    </row>
    <row r="1972" spans="1:5" x14ac:dyDescent="0.25">
      <c r="A1972" s="41">
        <v>6581</v>
      </c>
      <c r="B1972" s="42" t="s">
        <v>2344</v>
      </c>
      <c r="C1972" s="43" t="s">
        <v>289</v>
      </c>
      <c r="D1972" s="43" t="s">
        <v>327</v>
      </c>
      <c r="E1972" s="43" t="s">
        <v>170</v>
      </c>
    </row>
    <row r="1973" spans="1:5" x14ac:dyDescent="0.25">
      <c r="A1973" s="41">
        <v>6582</v>
      </c>
      <c r="B1973" s="42" t="s">
        <v>2345</v>
      </c>
      <c r="C1973" s="43" t="s">
        <v>289</v>
      </c>
      <c r="D1973" s="43" t="s">
        <v>327</v>
      </c>
      <c r="E1973" s="43" t="s">
        <v>170</v>
      </c>
    </row>
    <row r="1974" spans="1:5" x14ac:dyDescent="0.25">
      <c r="A1974" s="41">
        <v>6584</v>
      </c>
      <c r="B1974" s="42" t="s">
        <v>2346</v>
      </c>
      <c r="C1974" s="43" t="s">
        <v>289</v>
      </c>
      <c r="D1974" s="43" t="s">
        <v>316</v>
      </c>
      <c r="E1974" s="43" t="s">
        <v>230</v>
      </c>
    </row>
    <row r="1975" spans="1:5" x14ac:dyDescent="0.25">
      <c r="A1975" s="41">
        <v>6585</v>
      </c>
      <c r="B1975" s="42" t="s">
        <v>2347</v>
      </c>
      <c r="C1975" s="43" t="s">
        <v>289</v>
      </c>
      <c r="D1975" s="43" t="s">
        <v>316</v>
      </c>
      <c r="E1975" s="43" t="s">
        <v>230</v>
      </c>
    </row>
    <row r="1976" spans="1:5" x14ac:dyDescent="0.25">
      <c r="A1976" s="41">
        <v>6586</v>
      </c>
      <c r="B1976" s="42" t="s">
        <v>2348</v>
      </c>
      <c r="C1976" s="43" t="s">
        <v>289</v>
      </c>
      <c r="D1976" s="43" t="s">
        <v>316</v>
      </c>
      <c r="E1976" s="43" t="s">
        <v>864</v>
      </c>
    </row>
    <row r="1977" spans="1:5" x14ac:dyDescent="0.25">
      <c r="A1977" s="41">
        <v>6588</v>
      </c>
      <c r="B1977" s="42" t="s">
        <v>2349</v>
      </c>
      <c r="C1977" s="43" t="s">
        <v>289</v>
      </c>
      <c r="D1977" s="43" t="s">
        <v>316</v>
      </c>
      <c r="E1977" s="43" t="s">
        <v>217</v>
      </c>
    </row>
    <row r="1978" spans="1:5" x14ac:dyDescent="0.25">
      <c r="A1978" s="41">
        <v>6590</v>
      </c>
      <c r="B1978" s="42" t="s">
        <v>2350</v>
      </c>
      <c r="C1978" s="43" t="s">
        <v>289</v>
      </c>
      <c r="D1978" s="43" t="s">
        <v>694</v>
      </c>
      <c r="E1978" s="43" t="s">
        <v>170</v>
      </c>
    </row>
    <row r="1979" spans="1:5" x14ac:dyDescent="0.25">
      <c r="A1979" s="41">
        <v>6592</v>
      </c>
      <c r="B1979" s="42" t="s">
        <v>2351</v>
      </c>
      <c r="C1979" s="43" t="s">
        <v>289</v>
      </c>
      <c r="D1979" s="43" t="s">
        <v>327</v>
      </c>
      <c r="E1979" s="43" t="s">
        <v>864</v>
      </c>
    </row>
    <row r="1980" spans="1:5" x14ac:dyDescent="0.25">
      <c r="A1980" s="41">
        <v>6594</v>
      </c>
      <c r="B1980" s="42" t="s">
        <v>2352</v>
      </c>
      <c r="C1980" s="43" t="s">
        <v>289</v>
      </c>
      <c r="D1980" s="43" t="s">
        <v>316</v>
      </c>
      <c r="E1980" s="43" t="s">
        <v>230</v>
      </c>
    </row>
    <row r="1981" spans="1:5" x14ac:dyDescent="0.25">
      <c r="A1981" s="41">
        <v>6600</v>
      </c>
      <c r="B1981" s="42" t="s">
        <v>2353</v>
      </c>
      <c r="C1981" s="43" t="s">
        <v>289</v>
      </c>
      <c r="D1981" s="43" t="s">
        <v>327</v>
      </c>
      <c r="E1981" s="43" t="s">
        <v>230</v>
      </c>
    </row>
    <row r="1982" spans="1:5" x14ac:dyDescent="0.25">
      <c r="A1982" s="41">
        <v>6618</v>
      </c>
      <c r="B1982" s="42" t="s">
        <v>2354</v>
      </c>
      <c r="C1982" s="43" t="s">
        <v>289</v>
      </c>
      <c r="D1982" s="43" t="s">
        <v>468</v>
      </c>
      <c r="E1982" s="43" t="s">
        <v>230</v>
      </c>
    </row>
    <row r="1983" spans="1:5" x14ac:dyDescent="0.25">
      <c r="A1983" s="41">
        <v>6621</v>
      </c>
      <c r="B1983" s="42" t="s">
        <v>2355</v>
      </c>
      <c r="C1983" s="43" t="s">
        <v>289</v>
      </c>
      <c r="D1983" s="43" t="s">
        <v>435</v>
      </c>
      <c r="E1983" s="43" t="s">
        <v>373</v>
      </c>
    </row>
    <row r="1984" spans="1:5" x14ac:dyDescent="0.25">
      <c r="A1984" s="41">
        <v>6629</v>
      </c>
      <c r="B1984" s="42" t="s">
        <v>2356</v>
      </c>
      <c r="C1984" s="43" t="s">
        <v>289</v>
      </c>
      <c r="D1984" s="43" t="s">
        <v>468</v>
      </c>
      <c r="E1984" s="43" t="s">
        <v>230</v>
      </c>
    </row>
    <row r="1985" spans="1:5" x14ac:dyDescent="0.25">
      <c r="A1985" s="41">
        <v>6636</v>
      </c>
      <c r="B1985" s="42" t="s">
        <v>2357</v>
      </c>
      <c r="C1985" s="43" t="s">
        <v>289</v>
      </c>
      <c r="D1985" s="43" t="s">
        <v>468</v>
      </c>
      <c r="E1985" s="43" t="s">
        <v>230</v>
      </c>
    </row>
    <row r="1986" spans="1:5" x14ac:dyDescent="0.25">
      <c r="A1986" s="41">
        <v>6638</v>
      </c>
      <c r="B1986" s="42" t="s">
        <v>2358</v>
      </c>
      <c r="C1986" s="43" t="s">
        <v>289</v>
      </c>
      <c r="D1986" s="43" t="s">
        <v>474</v>
      </c>
      <c r="E1986" s="43" t="s">
        <v>336</v>
      </c>
    </row>
    <row r="1987" spans="1:5" x14ac:dyDescent="0.25">
      <c r="A1987" s="41">
        <v>6639</v>
      </c>
      <c r="B1987" s="42" t="s">
        <v>2359</v>
      </c>
      <c r="C1987" s="43" t="s">
        <v>289</v>
      </c>
      <c r="D1987" s="43" t="s">
        <v>327</v>
      </c>
      <c r="E1987" s="43" t="s">
        <v>230</v>
      </c>
    </row>
    <row r="1988" spans="1:5" x14ac:dyDescent="0.25">
      <c r="A1988" s="41">
        <v>6640</v>
      </c>
      <c r="B1988" s="42" t="s">
        <v>2360</v>
      </c>
      <c r="C1988" s="43" t="s">
        <v>289</v>
      </c>
      <c r="D1988" s="43" t="s">
        <v>327</v>
      </c>
      <c r="E1988" s="43" t="s">
        <v>230</v>
      </c>
    </row>
    <row r="1989" spans="1:5" x14ac:dyDescent="0.25">
      <c r="A1989" s="41">
        <v>6650</v>
      </c>
      <c r="B1989" s="42" t="s">
        <v>2361</v>
      </c>
      <c r="C1989" s="43" t="s">
        <v>289</v>
      </c>
      <c r="D1989" s="43" t="s">
        <v>1141</v>
      </c>
      <c r="E1989" s="43" t="s">
        <v>230</v>
      </c>
    </row>
    <row r="1990" spans="1:5" x14ac:dyDescent="0.25">
      <c r="A1990" s="41">
        <v>6653</v>
      </c>
      <c r="B1990" s="42" t="s">
        <v>2362</v>
      </c>
      <c r="C1990" s="43" t="s">
        <v>289</v>
      </c>
      <c r="D1990" s="43" t="s">
        <v>327</v>
      </c>
      <c r="E1990" s="43" t="s">
        <v>230</v>
      </c>
    </row>
    <row r="1991" spans="1:5" x14ac:dyDescent="0.25">
      <c r="A1991" s="41">
        <v>6654</v>
      </c>
      <c r="B1991" s="42" t="s">
        <v>2363</v>
      </c>
      <c r="C1991" s="43" t="s">
        <v>289</v>
      </c>
      <c r="D1991" s="43" t="s">
        <v>327</v>
      </c>
      <c r="E1991" s="43" t="s">
        <v>230</v>
      </c>
    </row>
    <row r="1992" spans="1:5" x14ac:dyDescent="0.25">
      <c r="A1992" s="41">
        <v>6656</v>
      </c>
      <c r="B1992" s="42" t="s">
        <v>2364</v>
      </c>
      <c r="C1992" s="43" t="s">
        <v>289</v>
      </c>
      <c r="D1992" s="43" t="s">
        <v>327</v>
      </c>
      <c r="E1992" s="43" t="s">
        <v>354</v>
      </c>
    </row>
    <row r="1993" spans="1:5" x14ac:dyDescent="0.25">
      <c r="A1993" s="41">
        <v>6658</v>
      </c>
      <c r="B1993" s="42" t="s">
        <v>2365</v>
      </c>
      <c r="C1993" s="43" t="s">
        <v>289</v>
      </c>
      <c r="D1993" s="43" t="s">
        <v>327</v>
      </c>
      <c r="E1993" s="43" t="s">
        <v>230</v>
      </c>
    </row>
    <row r="1994" spans="1:5" x14ac:dyDescent="0.25">
      <c r="A1994" s="41">
        <v>6660</v>
      </c>
      <c r="B1994" s="42" t="s">
        <v>2366</v>
      </c>
      <c r="C1994" s="43" t="s">
        <v>289</v>
      </c>
      <c r="D1994" s="43" t="s">
        <v>327</v>
      </c>
      <c r="E1994" s="43" t="s">
        <v>230</v>
      </c>
    </row>
    <row r="1995" spans="1:5" x14ac:dyDescent="0.25">
      <c r="A1995" s="41">
        <v>6662</v>
      </c>
      <c r="B1995" s="42" t="s">
        <v>2367</v>
      </c>
      <c r="C1995" s="43" t="s">
        <v>289</v>
      </c>
      <c r="D1995" s="43" t="s">
        <v>1112</v>
      </c>
      <c r="E1995" s="43" t="s">
        <v>464</v>
      </c>
    </row>
    <row r="1996" spans="1:5" x14ac:dyDescent="0.25">
      <c r="A1996" s="41">
        <v>6668</v>
      </c>
      <c r="B1996" s="42" t="s">
        <v>2368</v>
      </c>
      <c r="C1996" s="43" t="s">
        <v>289</v>
      </c>
      <c r="D1996" s="43" t="s">
        <v>316</v>
      </c>
      <c r="E1996" s="43" t="s">
        <v>230</v>
      </c>
    </row>
    <row r="1997" spans="1:5" x14ac:dyDescent="0.25">
      <c r="A1997" s="41">
        <v>6670</v>
      </c>
      <c r="B1997" s="42" t="s">
        <v>2369</v>
      </c>
      <c r="C1997" s="43" t="s">
        <v>289</v>
      </c>
      <c r="D1997" s="43" t="s">
        <v>327</v>
      </c>
      <c r="E1997" s="43" t="s">
        <v>230</v>
      </c>
    </row>
    <row r="1998" spans="1:5" x14ac:dyDescent="0.25">
      <c r="A1998" s="41">
        <v>6672</v>
      </c>
      <c r="B1998" s="42" t="s">
        <v>2370</v>
      </c>
      <c r="C1998" s="43" t="s">
        <v>289</v>
      </c>
      <c r="D1998" s="43" t="s">
        <v>795</v>
      </c>
      <c r="E1998" s="43" t="s">
        <v>436</v>
      </c>
    </row>
    <row r="1999" spans="1:5" x14ac:dyDescent="0.25">
      <c r="A1999" s="41">
        <v>6674</v>
      </c>
      <c r="B1999" s="42" t="s">
        <v>2371</v>
      </c>
      <c r="C1999" s="43" t="s">
        <v>289</v>
      </c>
      <c r="D1999" s="43" t="s">
        <v>327</v>
      </c>
      <c r="E1999" s="43" t="s">
        <v>464</v>
      </c>
    </row>
    <row r="2000" spans="1:5" x14ac:dyDescent="0.25">
      <c r="A2000" s="41">
        <v>6676</v>
      </c>
      <c r="B2000" s="42" t="s">
        <v>2372</v>
      </c>
      <c r="C2000" s="43" t="s">
        <v>289</v>
      </c>
      <c r="D2000" s="43" t="s">
        <v>327</v>
      </c>
      <c r="E2000" s="43" t="s">
        <v>170</v>
      </c>
    </row>
    <row r="2001" spans="1:5" x14ac:dyDescent="0.25">
      <c r="A2001" s="41">
        <v>6677</v>
      </c>
      <c r="B2001" s="42" t="s">
        <v>2373</v>
      </c>
      <c r="C2001" s="43" t="s">
        <v>289</v>
      </c>
      <c r="D2001" s="43" t="s">
        <v>327</v>
      </c>
      <c r="E2001" s="43" t="s">
        <v>170</v>
      </c>
    </row>
    <row r="2002" spans="1:5" x14ac:dyDescent="0.25">
      <c r="A2002" s="41">
        <v>6678</v>
      </c>
      <c r="B2002" s="42" t="s">
        <v>2374</v>
      </c>
      <c r="C2002" s="43" t="s">
        <v>289</v>
      </c>
      <c r="D2002" s="43" t="s">
        <v>327</v>
      </c>
      <c r="E2002" s="43" t="s">
        <v>170</v>
      </c>
    </row>
    <row r="2003" spans="1:5" x14ac:dyDescent="0.25">
      <c r="A2003" s="41">
        <v>6704</v>
      </c>
      <c r="B2003" s="42" t="s">
        <v>2375</v>
      </c>
      <c r="C2003" s="43" t="s">
        <v>289</v>
      </c>
      <c r="D2003" s="43" t="s">
        <v>996</v>
      </c>
      <c r="E2003" s="43" t="s">
        <v>864</v>
      </c>
    </row>
    <row r="2004" spans="1:5" x14ac:dyDescent="0.25">
      <c r="A2004" s="41">
        <v>6706</v>
      </c>
      <c r="B2004" s="42" t="s">
        <v>2376</v>
      </c>
      <c r="C2004" s="43" t="s">
        <v>289</v>
      </c>
      <c r="D2004" s="43" t="s">
        <v>996</v>
      </c>
      <c r="E2004" s="43" t="s">
        <v>864</v>
      </c>
    </row>
    <row r="2005" spans="1:5" x14ac:dyDescent="0.25">
      <c r="A2005" s="41">
        <v>6708</v>
      </c>
      <c r="B2005" s="42" t="s">
        <v>2377</v>
      </c>
      <c r="C2005" s="43" t="s">
        <v>289</v>
      </c>
      <c r="D2005" s="43" t="s">
        <v>996</v>
      </c>
      <c r="E2005" s="43" t="s">
        <v>864</v>
      </c>
    </row>
    <row r="2006" spans="1:5" x14ac:dyDescent="0.25">
      <c r="A2006" s="41">
        <v>6709</v>
      </c>
      <c r="B2006" s="42" t="s">
        <v>2378</v>
      </c>
      <c r="C2006" s="43" t="s">
        <v>289</v>
      </c>
      <c r="D2006" s="43" t="s">
        <v>996</v>
      </c>
      <c r="E2006" s="43" t="s">
        <v>864</v>
      </c>
    </row>
    <row r="2007" spans="1:5" x14ac:dyDescent="0.25">
      <c r="A2007" s="41">
        <v>6710</v>
      </c>
      <c r="B2007" s="42" t="s">
        <v>2379</v>
      </c>
      <c r="C2007" s="43" t="s">
        <v>289</v>
      </c>
      <c r="D2007" s="43" t="s">
        <v>996</v>
      </c>
      <c r="E2007" s="43" t="s">
        <v>864</v>
      </c>
    </row>
    <row r="2008" spans="1:5" x14ac:dyDescent="0.25">
      <c r="A2008" s="41">
        <v>6714</v>
      </c>
      <c r="B2008" s="42" t="s">
        <v>2380</v>
      </c>
      <c r="C2008" s="43" t="s">
        <v>289</v>
      </c>
      <c r="D2008" s="43" t="s">
        <v>2146</v>
      </c>
      <c r="E2008" s="43" t="s">
        <v>230</v>
      </c>
    </row>
    <row r="2009" spans="1:5" x14ac:dyDescent="0.25">
      <c r="A2009" s="41">
        <v>6716</v>
      </c>
      <c r="B2009" s="42" t="s">
        <v>2381</v>
      </c>
      <c r="C2009" s="43" t="s">
        <v>289</v>
      </c>
      <c r="D2009" s="43" t="s">
        <v>2146</v>
      </c>
      <c r="E2009" s="43" t="s">
        <v>230</v>
      </c>
    </row>
    <row r="2010" spans="1:5" x14ac:dyDescent="0.25">
      <c r="A2010" s="41">
        <v>6717</v>
      </c>
      <c r="B2010" s="42" t="s">
        <v>2382</v>
      </c>
      <c r="C2010" s="43" t="s">
        <v>289</v>
      </c>
      <c r="D2010" s="43" t="s">
        <v>811</v>
      </c>
      <c r="E2010" s="43" t="s">
        <v>230</v>
      </c>
    </row>
    <row r="2011" spans="1:5" x14ac:dyDescent="0.25">
      <c r="A2011" s="41">
        <v>6718</v>
      </c>
      <c r="B2011" s="42" t="s">
        <v>2383</v>
      </c>
      <c r="C2011" s="43" t="s">
        <v>289</v>
      </c>
      <c r="D2011" s="43" t="s">
        <v>811</v>
      </c>
      <c r="E2011" s="43" t="s">
        <v>230</v>
      </c>
    </row>
    <row r="2012" spans="1:5" x14ac:dyDescent="0.25">
      <c r="A2012" s="41">
        <v>6721</v>
      </c>
      <c r="B2012" s="42" t="s">
        <v>2384</v>
      </c>
      <c r="C2012" s="43" t="s">
        <v>289</v>
      </c>
      <c r="D2012" s="43" t="s">
        <v>375</v>
      </c>
      <c r="E2012" s="43" t="s">
        <v>373</v>
      </c>
    </row>
    <row r="2013" spans="1:5" x14ac:dyDescent="0.25">
      <c r="A2013" s="41">
        <v>6722</v>
      </c>
      <c r="B2013" s="42" t="s">
        <v>2385</v>
      </c>
      <c r="C2013" s="43" t="s">
        <v>289</v>
      </c>
      <c r="D2013" s="43" t="s">
        <v>941</v>
      </c>
      <c r="E2013" s="43" t="s">
        <v>230</v>
      </c>
    </row>
    <row r="2014" spans="1:5" x14ac:dyDescent="0.25">
      <c r="A2014" s="41">
        <v>6723</v>
      </c>
      <c r="B2014" s="42" t="s">
        <v>2386</v>
      </c>
      <c r="C2014" s="43" t="s">
        <v>289</v>
      </c>
      <c r="D2014" s="43" t="s">
        <v>327</v>
      </c>
      <c r="E2014" s="43" t="s">
        <v>230</v>
      </c>
    </row>
    <row r="2015" spans="1:5" x14ac:dyDescent="0.25">
      <c r="A2015" s="41">
        <v>6725</v>
      </c>
      <c r="B2015" s="42" t="s">
        <v>2387</v>
      </c>
      <c r="C2015" s="43" t="s">
        <v>289</v>
      </c>
      <c r="D2015" s="43" t="s">
        <v>1141</v>
      </c>
      <c r="E2015" s="43" t="s">
        <v>230</v>
      </c>
    </row>
    <row r="2016" spans="1:5" x14ac:dyDescent="0.25">
      <c r="A2016" s="41">
        <v>6730</v>
      </c>
      <c r="B2016" s="42" t="s">
        <v>2388</v>
      </c>
      <c r="C2016" s="43" t="s">
        <v>289</v>
      </c>
      <c r="D2016" s="43" t="s">
        <v>694</v>
      </c>
      <c r="E2016" s="43" t="s">
        <v>230</v>
      </c>
    </row>
    <row r="2017" spans="1:5" x14ac:dyDescent="0.25">
      <c r="A2017" s="41">
        <v>6732</v>
      </c>
      <c r="B2017" s="42" t="s">
        <v>2389</v>
      </c>
      <c r="C2017" s="43" t="s">
        <v>289</v>
      </c>
      <c r="D2017" s="43" t="s">
        <v>996</v>
      </c>
      <c r="E2017" s="43" t="s">
        <v>864</v>
      </c>
    </row>
    <row r="2018" spans="1:5" x14ac:dyDescent="0.25">
      <c r="A2018" s="41">
        <v>6741</v>
      </c>
      <c r="B2018" s="42" t="s">
        <v>2390</v>
      </c>
      <c r="C2018" s="43" t="s">
        <v>289</v>
      </c>
      <c r="D2018" s="43" t="s">
        <v>316</v>
      </c>
      <c r="E2018" s="43" t="s">
        <v>230</v>
      </c>
    </row>
    <row r="2019" spans="1:5" x14ac:dyDescent="0.25">
      <c r="A2019" s="41">
        <v>6742</v>
      </c>
      <c r="B2019" s="42" t="s">
        <v>2391</v>
      </c>
      <c r="C2019" s="43" t="s">
        <v>289</v>
      </c>
      <c r="D2019" s="43" t="s">
        <v>996</v>
      </c>
      <c r="E2019" s="43" t="s">
        <v>336</v>
      </c>
    </row>
    <row r="2020" spans="1:5" x14ac:dyDescent="0.25">
      <c r="A2020" s="41">
        <v>6745</v>
      </c>
      <c r="B2020" s="42" t="s">
        <v>2392</v>
      </c>
      <c r="C2020" s="43" t="s">
        <v>289</v>
      </c>
      <c r="D2020" s="43" t="s">
        <v>327</v>
      </c>
      <c r="E2020" s="43" t="s">
        <v>230</v>
      </c>
    </row>
    <row r="2021" spans="1:5" x14ac:dyDescent="0.25">
      <c r="A2021" s="41">
        <v>6748</v>
      </c>
      <c r="B2021" s="42" t="s">
        <v>2393</v>
      </c>
      <c r="C2021" s="43" t="s">
        <v>289</v>
      </c>
      <c r="D2021" s="43" t="s">
        <v>316</v>
      </c>
      <c r="E2021" s="43" t="s">
        <v>230</v>
      </c>
    </row>
    <row r="2022" spans="1:5" x14ac:dyDescent="0.25">
      <c r="A2022" s="41">
        <v>6750</v>
      </c>
      <c r="B2022" s="42" t="s">
        <v>2394</v>
      </c>
      <c r="C2022" s="43" t="s">
        <v>289</v>
      </c>
      <c r="D2022" s="43" t="s">
        <v>996</v>
      </c>
      <c r="E2022" s="43" t="s">
        <v>766</v>
      </c>
    </row>
    <row r="2023" spans="1:5" x14ac:dyDescent="0.25">
      <c r="A2023" s="41">
        <v>6751</v>
      </c>
      <c r="B2023" s="42" t="s">
        <v>2395</v>
      </c>
      <c r="C2023" s="43" t="s">
        <v>289</v>
      </c>
      <c r="D2023" s="43" t="s">
        <v>327</v>
      </c>
      <c r="E2023" s="43" t="s">
        <v>1093</v>
      </c>
    </row>
    <row r="2024" spans="1:5" x14ac:dyDescent="0.25">
      <c r="A2024" s="41">
        <v>6752</v>
      </c>
      <c r="B2024" s="42" t="s">
        <v>2396</v>
      </c>
      <c r="C2024" s="43" t="s">
        <v>289</v>
      </c>
      <c r="D2024" s="43" t="s">
        <v>327</v>
      </c>
      <c r="E2024" s="43" t="s">
        <v>1093</v>
      </c>
    </row>
    <row r="2025" spans="1:5" x14ac:dyDescent="0.25">
      <c r="A2025" s="41">
        <v>6754</v>
      </c>
      <c r="B2025" s="42" t="s">
        <v>2397</v>
      </c>
      <c r="C2025" s="43" t="s">
        <v>289</v>
      </c>
      <c r="D2025" s="43" t="s">
        <v>811</v>
      </c>
      <c r="E2025" s="43" t="s">
        <v>230</v>
      </c>
    </row>
    <row r="2026" spans="1:5" x14ac:dyDescent="0.25">
      <c r="A2026" s="41">
        <v>6755</v>
      </c>
      <c r="B2026" s="42" t="s">
        <v>2398</v>
      </c>
      <c r="C2026" s="43" t="s">
        <v>289</v>
      </c>
      <c r="D2026" s="43" t="s">
        <v>433</v>
      </c>
      <c r="E2026" s="43" t="s">
        <v>531</v>
      </c>
    </row>
    <row r="2027" spans="1:5" x14ac:dyDescent="0.25">
      <c r="A2027" s="41">
        <v>6756</v>
      </c>
      <c r="B2027" s="42" t="s">
        <v>2399</v>
      </c>
      <c r="C2027" s="43" t="s">
        <v>289</v>
      </c>
      <c r="D2027" s="43" t="s">
        <v>433</v>
      </c>
      <c r="E2027" s="43" t="s">
        <v>454</v>
      </c>
    </row>
    <row r="2028" spans="1:5" x14ac:dyDescent="0.25">
      <c r="A2028" s="41">
        <v>6759</v>
      </c>
      <c r="B2028" s="42" t="s">
        <v>2400</v>
      </c>
      <c r="C2028" s="43" t="s">
        <v>289</v>
      </c>
      <c r="D2028" s="43" t="s">
        <v>327</v>
      </c>
      <c r="E2028" s="43" t="s">
        <v>864</v>
      </c>
    </row>
    <row r="2029" spans="1:5" x14ac:dyDescent="0.25">
      <c r="A2029" s="41">
        <v>6760</v>
      </c>
      <c r="B2029" s="42" t="s">
        <v>2401</v>
      </c>
      <c r="C2029" s="43" t="s">
        <v>289</v>
      </c>
      <c r="D2029" s="43" t="s">
        <v>327</v>
      </c>
      <c r="E2029" s="43" t="s">
        <v>766</v>
      </c>
    </row>
    <row r="2030" spans="1:5" x14ac:dyDescent="0.25">
      <c r="A2030" s="41">
        <v>6761</v>
      </c>
      <c r="B2030" s="42" t="s">
        <v>2402</v>
      </c>
      <c r="C2030" s="43" t="s">
        <v>289</v>
      </c>
      <c r="D2030" s="43" t="s">
        <v>474</v>
      </c>
      <c r="E2030" s="43" t="s">
        <v>864</v>
      </c>
    </row>
    <row r="2031" spans="1:5" x14ac:dyDescent="0.25">
      <c r="A2031" s="41">
        <v>6764</v>
      </c>
      <c r="B2031" s="42" t="s">
        <v>2403</v>
      </c>
      <c r="C2031" s="43" t="s">
        <v>289</v>
      </c>
      <c r="D2031" s="43" t="s">
        <v>435</v>
      </c>
      <c r="E2031" s="43" t="s">
        <v>230</v>
      </c>
    </row>
    <row r="2032" spans="1:5" x14ac:dyDescent="0.25">
      <c r="A2032" s="41">
        <v>6765</v>
      </c>
      <c r="B2032" s="42" t="s">
        <v>2404</v>
      </c>
      <c r="C2032" s="43" t="s">
        <v>289</v>
      </c>
      <c r="D2032" s="43" t="s">
        <v>474</v>
      </c>
      <c r="E2032" s="43" t="s">
        <v>230</v>
      </c>
    </row>
    <row r="2033" spans="1:5" x14ac:dyDescent="0.25">
      <c r="A2033" s="41">
        <v>6769</v>
      </c>
      <c r="B2033" s="42" t="s">
        <v>2405</v>
      </c>
      <c r="C2033" s="43" t="s">
        <v>289</v>
      </c>
      <c r="D2033" s="43" t="s">
        <v>1112</v>
      </c>
      <c r="E2033" s="43" t="s">
        <v>464</v>
      </c>
    </row>
    <row r="2034" spans="1:5" x14ac:dyDescent="0.25">
      <c r="A2034" s="41">
        <v>6771</v>
      </c>
      <c r="B2034" s="42" t="s">
        <v>2406</v>
      </c>
      <c r="C2034" s="43" t="s">
        <v>289</v>
      </c>
      <c r="D2034" s="43" t="s">
        <v>316</v>
      </c>
      <c r="E2034" s="43" t="s">
        <v>404</v>
      </c>
    </row>
    <row r="2035" spans="1:5" x14ac:dyDescent="0.25">
      <c r="A2035" s="41">
        <v>6779</v>
      </c>
      <c r="B2035" s="42" t="s">
        <v>2407</v>
      </c>
      <c r="C2035" s="43" t="s">
        <v>289</v>
      </c>
      <c r="D2035" s="43" t="s">
        <v>316</v>
      </c>
      <c r="E2035" s="43" t="s">
        <v>230</v>
      </c>
    </row>
    <row r="2036" spans="1:5" x14ac:dyDescent="0.25">
      <c r="A2036" s="41">
        <v>6785</v>
      </c>
      <c r="B2036" s="42" t="s">
        <v>2408</v>
      </c>
      <c r="C2036" s="43" t="s">
        <v>289</v>
      </c>
      <c r="D2036" s="43" t="s">
        <v>333</v>
      </c>
      <c r="E2036" s="43" t="s">
        <v>230</v>
      </c>
    </row>
    <row r="2037" spans="1:5" x14ac:dyDescent="0.25">
      <c r="A2037" s="41">
        <v>6787</v>
      </c>
      <c r="B2037" s="42" t="s">
        <v>2409</v>
      </c>
      <c r="C2037" s="43" t="s">
        <v>289</v>
      </c>
      <c r="D2037" s="43" t="s">
        <v>941</v>
      </c>
      <c r="E2037" s="43" t="s">
        <v>230</v>
      </c>
    </row>
    <row r="2038" spans="1:5" x14ac:dyDescent="0.25">
      <c r="A2038" s="41">
        <v>6788</v>
      </c>
      <c r="B2038" s="42" t="s">
        <v>2410</v>
      </c>
      <c r="C2038" s="43" t="s">
        <v>289</v>
      </c>
      <c r="D2038" s="43" t="s">
        <v>327</v>
      </c>
      <c r="E2038" s="43" t="s">
        <v>230</v>
      </c>
    </row>
    <row r="2039" spans="1:5" x14ac:dyDescent="0.25">
      <c r="A2039" s="41">
        <v>6790</v>
      </c>
      <c r="B2039" s="42" t="s">
        <v>2411</v>
      </c>
      <c r="C2039" s="43" t="s">
        <v>289</v>
      </c>
      <c r="D2039" s="43" t="s">
        <v>333</v>
      </c>
      <c r="E2039" s="43" t="s">
        <v>230</v>
      </c>
    </row>
    <row r="2040" spans="1:5" x14ac:dyDescent="0.25">
      <c r="A2040" s="41">
        <v>6791</v>
      </c>
      <c r="B2040" s="42" t="s">
        <v>2412</v>
      </c>
      <c r="C2040" s="43" t="s">
        <v>289</v>
      </c>
      <c r="D2040" s="43" t="s">
        <v>996</v>
      </c>
      <c r="E2040" s="43" t="s">
        <v>464</v>
      </c>
    </row>
    <row r="2041" spans="1:5" x14ac:dyDescent="0.25">
      <c r="A2041" s="41">
        <v>6794</v>
      </c>
      <c r="B2041" s="42" t="s">
        <v>2413</v>
      </c>
      <c r="C2041" s="43" t="s">
        <v>289</v>
      </c>
      <c r="D2041" s="43" t="s">
        <v>316</v>
      </c>
      <c r="E2041" s="43" t="s">
        <v>230</v>
      </c>
    </row>
    <row r="2042" spans="1:5" x14ac:dyDescent="0.25">
      <c r="A2042" s="41">
        <v>6798</v>
      </c>
      <c r="B2042" s="42" t="s">
        <v>2414</v>
      </c>
      <c r="C2042" s="43" t="s">
        <v>289</v>
      </c>
      <c r="D2042" s="43" t="s">
        <v>327</v>
      </c>
      <c r="E2042" s="43" t="s">
        <v>230</v>
      </c>
    </row>
    <row r="2043" spans="1:5" x14ac:dyDescent="0.25">
      <c r="A2043" s="41">
        <v>6800</v>
      </c>
      <c r="B2043" s="42" t="s">
        <v>2415</v>
      </c>
      <c r="C2043" s="43" t="s">
        <v>289</v>
      </c>
      <c r="D2043" s="43" t="s">
        <v>2281</v>
      </c>
      <c r="E2043" s="43" t="s">
        <v>336</v>
      </c>
    </row>
    <row r="2044" spans="1:5" x14ac:dyDescent="0.25">
      <c r="A2044" s="41">
        <v>6802</v>
      </c>
      <c r="B2044" s="42" t="s">
        <v>2416</v>
      </c>
      <c r="C2044" s="43" t="s">
        <v>289</v>
      </c>
      <c r="D2044" s="43" t="s">
        <v>468</v>
      </c>
      <c r="E2044" s="43" t="s">
        <v>454</v>
      </c>
    </row>
    <row r="2045" spans="1:5" x14ac:dyDescent="0.25">
      <c r="A2045" s="41">
        <v>6804</v>
      </c>
      <c r="B2045" s="42" t="s">
        <v>2417</v>
      </c>
      <c r="C2045" s="43" t="s">
        <v>289</v>
      </c>
      <c r="D2045" s="43" t="s">
        <v>996</v>
      </c>
      <c r="E2045" s="43" t="s">
        <v>230</v>
      </c>
    </row>
    <row r="2046" spans="1:5" x14ac:dyDescent="0.25">
      <c r="A2046" s="41">
        <v>6805</v>
      </c>
      <c r="B2046" s="42" t="s">
        <v>2418</v>
      </c>
      <c r="C2046" s="43" t="s">
        <v>289</v>
      </c>
      <c r="D2046" s="43" t="s">
        <v>694</v>
      </c>
      <c r="E2046" s="43" t="s">
        <v>170</v>
      </c>
    </row>
    <row r="2047" spans="1:5" x14ac:dyDescent="0.25">
      <c r="A2047" s="41">
        <v>6806</v>
      </c>
      <c r="B2047" s="42" t="s">
        <v>2419</v>
      </c>
      <c r="C2047" s="43" t="s">
        <v>289</v>
      </c>
      <c r="D2047" s="43" t="s">
        <v>795</v>
      </c>
      <c r="E2047" s="43" t="s">
        <v>170</v>
      </c>
    </row>
    <row r="2048" spans="1:5" x14ac:dyDescent="0.25">
      <c r="A2048" s="41">
        <v>6807</v>
      </c>
      <c r="B2048" s="42" t="s">
        <v>2420</v>
      </c>
      <c r="C2048" s="43" t="s">
        <v>289</v>
      </c>
      <c r="D2048" s="43" t="s">
        <v>795</v>
      </c>
      <c r="E2048" s="43" t="s">
        <v>170</v>
      </c>
    </row>
    <row r="2049" spans="1:5" x14ac:dyDescent="0.25">
      <c r="A2049" s="41">
        <v>6810</v>
      </c>
      <c r="B2049" s="42" t="s">
        <v>2421</v>
      </c>
      <c r="C2049" s="43" t="s">
        <v>289</v>
      </c>
      <c r="D2049" s="43" t="s">
        <v>694</v>
      </c>
      <c r="E2049" s="43" t="s">
        <v>170</v>
      </c>
    </row>
    <row r="2050" spans="1:5" x14ac:dyDescent="0.25">
      <c r="A2050" s="41">
        <v>6811</v>
      </c>
      <c r="B2050" s="42" t="s">
        <v>2422</v>
      </c>
      <c r="C2050" s="43" t="s">
        <v>289</v>
      </c>
      <c r="D2050" s="43" t="s">
        <v>694</v>
      </c>
      <c r="E2050" s="43" t="s">
        <v>170</v>
      </c>
    </row>
    <row r="2051" spans="1:5" x14ac:dyDescent="0.25">
      <c r="A2051" s="41">
        <v>6813</v>
      </c>
      <c r="B2051" s="42" t="s">
        <v>2423</v>
      </c>
      <c r="C2051" s="43" t="s">
        <v>289</v>
      </c>
      <c r="D2051" s="43" t="s">
        <v>795</v>
      </c>
      <c r="E2051" s="43" t="s">
        <v>170</v>
      </c>
    </row>
    <row r="2052" spans="1:5" x14ac:dyDescent="0.25">
      <c r="A2052" s="41">
        <v>6814</v>
      </c>
      <c r="B2052" s="42" t="s">
        <v>2424</v>
      </c>
      <c r="C2052" s="43" t="s">
        <v>289</v>
      </c>
      <c r="D2052" s="43" t="s">
        <v>795</v>
      </c>
      <c r="E2052" s="43" t="s">
        <v>373</v>
      </c>
    </row>
    <row r="2053" spans="1:5" x14ac:dyDescent="0.25">
      <c r="A2053" s="41">
        <v>6828</v>
      </c>
      <c r="B2053" s="42" t="s">
        <v>2425</v>
      </c>
      <c r="C2053" s="43" t="s">
        <v>289</v>
      </c>
      <c r="D2053" s="43" t="s">
        <v>996</v>
      </c>
      <c r="E2053" s="43" t="s">
        <v>230</v>
      </c>
    </row>
    <row r="2054" spans="1:5" x14ac:dyDescent="0.25">
      <c r="A2054" s="41">
        <v>6829</v>
      </c>
      <c r="B2054" s="42" t="s">
        <v>2426</v>
      </c>
      <c r="C2054" s="43" t="s">
        <v>289</v>
      </c>
      <c r="D2054" s="43" t="s">
        <v>316</v>
      </c>
      <c r="E2054" s="43" t="s">
        <v>230</v>
      </c>
    </row>
    <row r="2055" spans="1:5" x14ac:dyDescent="0.25">
      <c r="A2055" s="41">
        <v>6833</v>
      </c>
      <c r="B2055" s="42" t="s">
        <v>2427</v>
      </c>
      <c r="C2055" s="43" t="s">
        <v>289</v>
      </c>
      <c r="D2055" s="43" t="s">
        <v>474</v>
      </c>
      <c r="E2055" s="43" t="s">
        <v>230</v>
      </c>
    </row>
    <row r="2056" spans="1:5" x14ac:dyDescent="0.25">
      <c r="A2056" s="41">
        <v>6834</v>
      </c>
      <c r="B2056" s="42" t="s">
        <v>373</v>
      </c>
      <c r="C2056" s="43" t="s">
        <v>289</v>
      </c>
      <c r="D2056" s="43" t="s">
        <v>474</v>
      </c>
      <c r="E2056" s="43" t="s">
        <v>230</v>
      </c>
    </row>
    <row r="2057" spans="1:5" x14ac:dyDescent="0.25">
      <c r="A2057" s="41">
        <v>6835</v>
      </c>
      <c r="B2057" s="42" t="s">
        <v>2428</v>
      </c>
      <c r="C2057" s="43" t="s">
        <v>289</v>
      </c>
      <c r="D2057" s="43" t="s">
        <v>941</v>
      </c>
      <c r="E2057" s="43" t="s">
        <v>230</v>
      </c>
    </row>
    <row r="2058" spans="1:5" x14ac:dyDescent="0.25">
      <c r="A2058" s="41">
        <v>6843</v>
      </c>
      <c r="B2058" s="42" t="s">
        <v>2429</v>
      </c>
      <c r="C2058" s="43" t="s">
        <v>289</v>
      </c>
      <c r="D2058" s="43" t="s">
        <v>1290</v>
      </c>
      <c r="E2058" s="43" t="s">
        <v>454</v>
      </c>
    </row>
    <row r="2059" spans="1:5" x14ac:dyDescent="0.25">
      <c r="A2059" s="41">
        <v>6844</v>
      </c>
      <c r="B2059" s="42" t="s">
        <v>2430</v>
      </c>
      <c r="C2059" s="43" t="s">
        <v>289</v>
      </c>
      <c r="D2059" s="43" t="s">
        <v>1290</v>
      </c>
      <c r="E2059" s="43" t="s">
        <v>454</v>
      </c>
    </row>
    <row r="2060" spans="1:5" x14ac:dyDescent="0.25">
      <c r="A2060" s="41">
        <v>6849</v>
      </c>
      <c r="B2060" s="42" t="s">
        <v>2431</v>
      </c>
      <c r="C2060" s="43" t="s">
        <v>289</v>
      </c>
      <c r="D2060" s="43" t="s">
        <v>1100</v>
      </c>
      <c r="E2060" s="43" t="s">
        <v>454</v>
      </c>
    </row>
    <row r="2061" spans="1:5" x14ac:dyDescent="0.25">
      <c r="A2061" s="41">
        <v>6851</v>
      </c>
      <c r="B2061" s="42" t="s">
        <v>2432</v>
      </c>
      <c r="C2061" s="43" t="s">
        <v>289</v>
      </c>
      <c r="D2061" s="43" t="s">
        <v>314</v>
      </c>
      <c r="E2061" s="43" t="s">
        <v>230</v>
      </c>
    </row>
    <row r="2062" spans="1:5" x14ac:dyDescent="0.25">
      <c r="A2062" s="41">
        <v>6854</v>
      </c>
      <c r="B2062" s="42" t="s">
        <v>2433</v>
      </c>
      <c r="C2062" s="43" t="s">
        <v>289</v>
      </c>
      <c r="D2062" s="43" t="s">
        <v>482</v>
      </c>
      <c r="E2062" s="43" t="s">
        <v>472</v>
      </c>
    </row>
    <row r="2063" spans="1:5" x14ac:dyDescent="0.25">
      <c r="A2063" s="41">
        <v>6855</v>
      </c>
      <c r="B2063" s="42" t="s">
        <v>2434</v>
      </c>
      <c r="C2063" s="43" t="s">
        <v>289</v>
      </c>
      <c r="D2063" s="43" t="s">
        <v>327</v>
      </c>
      <c r="E2063" s="43" t="s">
        <v>336</v>
      </c>
    </row>
    <row r="2064" spans="1:5" x14ac:dyDescent="0.25">
      <c r="A2064" s="41">
        <v>6858</v>
      </c>
      <c r="B2064" s="42" t="s">
        <v>2435</v>
      </c>
      <c r="C2064" s="43" t="s">
        <v>289</v>
      </c>
      <c r="D2064" s="43" t="s">
        <v>316</v>
      </c>
      <c r="E2064" s="43" t="s">
        <v>464</v>
      </c>
    </row>
    <row r="2065" spans="1:5" x14ac:dyDescent="0.25">
      <c r="A2065" s="41">
        <v>6859</v>
      </c>
      <c r="B2065" s="42" t="s">
        <v>2436</v>
      </c>
      <c r="C2065" s="43" t="s">
        <v>289</v>
      </c>
      <c r="D2065" s="43" t="s">
        <v>333</v>
      </c>
      <c r="E2065" s="43" t="s">
        <v>436</v>
      </c>
    </row>
    <row r="2066" spans="1:5" x14ac:dyDescent="0.25">
      <c r="A2066" s="41">
        <v>6862</v>
      </c>
      <c r="B2066" s="42" t="s">
        <v>2437</v>
      </c>
      <c r="C2066" s="43" t="s">
        <v>289</v>
      </c>
      <c r="D2066" s="43" t="s">
        <v>316</v>
      </c>
      <c r="E2066" s="43" t="s">
        <v>464</v>
      </c>
    </row>
    <row r="2067" spans="1:5" x14ac:dyDescent="0.25">
      <c r="A2067" s="41">
        <v>6874</v>
      </c>
      <c r="B2067" s="42" t="s">
        <v>2438</v>
      </c>
      <c r="C2067" s="43" t="s">
        <v>289</v>
      </c>
      <c r="D2067" s="43" t="s">
        <v>468</v>
      </c>
      <c r="E2067" s="43" t="s">
        <v>464</v>
      </c>
    </row>
    <row r="2068" spans="1:5" x14ac:dyDescent="0.25">
      <c r="A2068" s="41">
        <v>6879</v>
      </c>
      <c r="B2068" s="42" t="s">
        <v>2439</v>
      </c>
      <c r="C2068" s="43" t="s">
        <v>289</v>
      </c>
      <c r="D2068" s="43" t="s">
        <v>1100</v>
      </c>
      <c r="E2068" s="43" t="s">
        <v>464</v>
      </c>
    </row>
    <row r="2069" spans="1:5" x14ac:dyDescent="0.25">
      <c r="A2069" s="41">
        <v>6885</v>
      </c>
      <c r="B2069" s="42" t="s">
        <v>2440</v>
      </c>
      <c r="C2069" s="43" t="s">
        <v>289</v>
      </c>
      <c r="D2069" s="43" t="s">
        <v>2441</v>
      </c>
      <c r="E2069" s="43" t="s">
        <v>464</v>
      </c>
    </row>
    <row r="2070" spans="1:5" x14ac:dyDescent="0.25">
      <c r="A2070" s="41">
        <v>6889</v>
      </c>
      <c r="B2070" s="42" t="s">
        <v>2442</v>
      </c>
      <c r="C2070" s="43" t="s">
        <v>289</v>
      </c>
      <c r="D2070" s="43" t="s">
        <v>327</v>
      </c>
      <c r="E2070" s="43" t="s">
        <v>230</v>
      </c>
    </row>
    <row r="2071" spans="1:5" x14ac:dyDescent="0.25">
      <c r="A2071" s="41">
        <v>6890</v>
      </c>
      <c r="B2071" s="42" t="s">
        <v>2443</v>
      </c>
      <c r="C2071" s="43" t="s">
        <v>289</v>
      </c>
      <c r="D2071" s="43" t="s">
        <v>1100</v>
      </c>
      <c r="E2071" s="43" t="s">
        <v>464</v>
      </c>
    </row>
    <row r="2072" spans="1:5" x14ac:dyDescent="0.25">
      <c r="A2072" s="41">
        <v>6891</v>
      </c>
      <c r="B2072" s="42" t="s">
        <v>2444</v>
      </c>
      <c r="C2072" s="43" t="s">
        <v>289</v>
      </c>
      <c r="D2072" s="43" t="s">
        <v>845</v>
      </c>
      <c r="E2072" s="43" t="s">
        <v>436</v>
      </c>
    </row>
    <row r="2073" spans="1:5" x14ac:dyDescent="0.25">
      <c r="A2073" s="41">
        <v>6895</v>
      </c>
      <c r="B2073" s="42" t="s">
        <v>2445</v>
      </c>
      <c r="C2073" s="43" t="s">
        <v>289</v>
      </c>
      <c r="D2073" s="43" t="s">
        <v>433</v>
      </c>
      <c r="E2073" s="43" t="s">
        <v>230</v>
      </c>
    </row>
    <row r="2074" spans="1:5" x14ac:dyDescent="0.25">
      <c r="A2074" s="41">
        <v>6901</v>
      </c>
      <c r="B2074" s="42" t="s">
        <v>2446</v>
      </c>
      <c r="C2074" s="43" t="s">
        <v>289</v>
      </c>
      <c r="D2074" s="43" t="s">
        <v>468</v>
      </c>
      <c r="E2074" s="43" t="s">
        <v>230</v>
      </c>
    </row>
    <row r="2075" spans="1:5" x14ac:dyDescent="0.25">
      <c r="A2075" s="41">
        <v>6929</v>
      </c>
      <c r="B2075" s="42" t="s">
        <v>2447</v>
      </c>
      <c r="C2075" s="43" t="s">
        <v>289</v>
      </c>
      <c r="D2075" s="43" t="s">
        <v>327</v>
      </c>
      <c r="E2075" s="43" t="s">
        <v>464</v>
      </c>
    </row>
    <row r="2076" spans="1:5" x14ac:dyDescent="0.25">
      <c r="A2076" s="41">
        <v>6930</v>
      </c>
      <c r="B2076" s="42" t="s">
        <v>2448</v>
      </c>
      <c r="C2076" s="43" t="s">
        <v>289</v>
      </c>
      <c r="D2076" s="43" t="s">
        <v>327</v>
      </c>
      <c r="E2076" s="43" t="s">
        <v>464</v>
      </c>
    </row>
    <row r="2077" spans="1:5" x14ac:dyDescent="0.25">
      <c r="A2077" s="41">
        <v>6941</v>
      </c>
      <c r="B2077" s="42" t="s">
        <v>2449</v>
      </c>
      <c r="C2077" s="43" t="s">
        <v>289</v>
      </c>
      <c r="D2077" s="43" t="s">
        <v>327</v>
      </c>
      <c r="E2077" s="43" t="s">
        <v>454</v>
      </c>
    </row>
    <row r="2078" spans="1:5" x14ac:dyDescent="0.25">
      <c r="A2078" s="41">
        <v>6942</v>
      </c>
      <c r="B2078" s="42" t="s">
        <v>2450</v>
      </c>
      <c r="C2078" s="43" t="s">
        <v>289</v>
      </c>
      <c r="D2078" s="43" t="s">
        <v>316</v>
      </c>
      <c r="E2078" s="43" t="s">
        <v>464</v>
      </c>
    </row>
    <row r="2079" spans="1:5" x14ac:dyDescent="0.25">
      <c r="A2079" s="41">
        <v>6954</v>
      </c>
      <c r="B2079" s="42" t="s">
        <v>2451</v>
      </c>
      <c r="C2079" s="43" t="s">
        <v>289</v>
      </c>
      <c r="D2079" s="43" t="s">
        <v>468</v>
      </c>
      <c r="E2079" s="43" t="s">
        <v>230</v>
      </c>
    </row>
    <row r="2080" spans="1:5" x14ac:dyDescent="0.25">
      <c r="A2080" s="41">
        <v>6963</v>
      </c>
      <c r="B2080" s="42" t="s">
        <v>2452</v>
      </c>
      <c r="C2080" s="43" t="s">
        <v>289</v>
      </c>
      <c r="D2080" s="43" t="s">
        <v>996</v>
      </c>
      <c r="E2080" s="43" t="s">
        <v>230</v>
      </c>
    </row>
    <row r="2081" spans="1:5" x14ac:dyDescent="0.25">
      <c r="A2081" s="41">
        <v>6970</v>
      </c>
      <c r="B2081" s="42" t="s">
        <v>2453</v>
      </c>
      <c r="C2081" s="43" t="s">
        <v>289</v>
      </c>
      <c r="D2081" s="43" t="s">
        <v>468</v>
      </c>
      <c r="E2081" s="43" t="s">
        <v>230</v>
      </c>
    </row>
    <row r="2082" spans="1:5" x14ac:dyDescent="0.25">
      <c r="A2082" s="41">
        <v>6979</v>
      </c>
      <c r="B2082" s="42" t="s">
        <v>2454</v>
      </c>
      <c r="C2082" s="43" t="s">
        <v>289</v>
      </c>
      <c r="D2082" s="43" t="s">
        <v>327</v>
      </c>
      <c r="E2082" s="43" t="s">
        <v>336</v>
      </c>
    </row>
    <row r="2083" spans="1:5" x14ac:dyDescent="0.25">
      <c r="A2083" s="41">
        <v>6983</v>
      </c>
      <c r="B2083" s="42" t="s">
        <v>2455</v>
      </c>
      <c r="C2083" s="43" t="s">
        <v>289</v>
      </c>
      <c r="D2083" s="43" t="s">
        <v>333</v>
      </c>
      <c r="E2083" s="43" t="s">
        <v>170</v>
      </c>
    </row>
    <row r="2084" spans="1:5" x14ac:dyDescent="0.25">
      <c r="A2084" s="41">
        <v>7000</v>
      </c>
      <c r="B2084" s="42" t="s">
        <v>796</v>
      </c>
      <c r="C2084" s="43" t="s">
        <v>289</v>
      </c>
      <c r="D2084" s="43" t="s">
        <v>795</v>
      </c>
      <c r="E2084" s="43" t="s">
        <v>436</v>
      </c>
    </row>
    <row r="2085" spans="1:5" x14ac:dyDescent="0.25">
      <c r="A2085" s="41">
        <v>7001</v>
      </c>
      <c r="B2085" s="42" t="s">
        <v>2456</v>
      </c>
      <c r="C2085" s="43" t="s">
        <v>289</v>
      </c>
      <c r="D2085" s="43" t="s">
        <v>314</v>
      </c>
      <c r="E2085" s="43" t="s">
        <v>230</v>
      </c>
    </row>
    <row r="2086" spans="1:5" x14ac:dyDescent="0.25">
      <c r="A2086" s="41">
        <v>7004</v>
      </c>
      <c r="B2086" s="42" t="s">
        <v>2457</v>
      </c>
      <c r="C2086" s="43" t="s">
        <v>289</v>
      </c>
      <c r="D2086" s="43" t="s">
        <v>795</v>
      </c>
      <c r="E2086" s="43" t="s">
        <v>864</v>
      </c>
    </row>
    <row r="2087" spans="1:5" x14ac:dyDescent="0.25">
      <c r="A2087" s="41">
        <v>7005</v>
      </c>
      <c r="B2087" s="42" t="s">
        <v>2458</v>
      </c>
      <c r="C2087" s="43" t="s">
        <v>289</v>
      </c>
      <c r="D2087" s="43" t="s">
        <v>523</v>
      </c>
      <c r="E2087" s="43" t="s">
        <v>230</v>
      </c>
    </row>
    <row r="2088" spans="1:5" x14ac:dyDescent="0.25">
      <c r="A2088" s="41">
        <v>7006</v>
      </c>
      <c r="B2088" s="42" t="s">
        <v>2459</v>
      </c>
      <c r="C2088" s="43" t="s">
        <v>289</v>
      </c>
      <c r="D2088" s="43" t="s">
        <v>523</v>
      </c>
      <c r="E2088" s="43" t="s">
        <v>483</v>
      </c>
    </row>
    <row r="2089" spans="1:5" x14ac:dyDescent="0.25">
      <c r="A2089" s="41">
        <v>7008</v>
      </c>
      <c r="B2089" s="42" t="s">
        <v>2460</v>
      </c>
      <c r="C2089" s="43" t="s">
        <v>289</v>
      </c>
      <c r="D2089" s="43" t="s">
        <v>2461</v>
      </c>
      <c r="E2089" s="43" t="s">
        <v>230</v>
      </c>
    </row>
    <row r="2090" spans="1:5" x14ac:dyDescent="0.25">
      <c r="A2090" s="41">
        <v>7011</v>
      </c>
      <c r="B2090" s="42" t="s">
        <v>2462</v>
      </c>
      <c r="C2090" s="43" t="s">
        <v>289</v>
      </c>
      <c r="D2090" s="43" t="s">
        <v>2461</v>
      </c>
      <c r="E2090" s="43" t="s">
        <v>230</v>
      </c>
    </row>
    <row r="2091" spans="1:5" x14ac:dyDescent="0.25">
      <c r="A2091" s="41">
        <v>7016</v>
      </c>
      <c r="B2091" s="42" t="s">
        <v>2463</v>
      </c>
      <c r="C2091" s="43" t="s">
        <v>289</v>
      </c>
      <c r="D2091" s="43" t="s">
        <v>327</v>
      </c>
      <c r="E2091" s="43" t="s">
        <v>864</v>
      </c>
    </row>
    <row r="2092" spans="1:5" x14ac:dyDescent="0.25">
      <c r="A2092" s="41">
        <v>7020</v>
      </c>
      <c r="B2092" s="42" t="s">
        <v>2464</v>
      </c>
      <c r="C2092" s="43" t="s">
        <v>289</v>
      </c>
      <c r="D2092" s="43" t="s">
        <v>996</v>
      </c>
      <c r="E2092" s="43" t="s">
        <v>230</v>
      </c>
    </row>
    <row r="2093" spans="1:5" x14ac:dyDescent="0.25">
      <c r="A2093" s="41">
        <v>7023</v>
      </c>
      <c r="B2093" s="42" t="s">
        <v>2465</v>
      </c>
      <c r="C2093" s="43" t="s">
        <v>289</v>
      </c>
      <c r="D2093" s="43" t="s">
        <v>996</v>
      </c>
      <c r="E2093" s="43" t="s">
        <v>230</v>
      </c>
    </row>
    <row r="2094" spans="1:5" x14ac:dyDescent="0.25">
      <c r="A2094" s="41">
        <v>7026</v>
      </c>
      <c r="B2094" s="42" t="s">
        <v>2466</v>
      </c>
      <c r="C2094" s="43" t="s">
        <v>289</v>
      </c>
      <c r="D2094" s="43" t="s">
        <v>468</v>
      </c>
      <c r="E2094" s="43" t="s">
        <v>230</v>
      </c>
    </row>
    <row r="2095" spans="1:5" x14ac:dyDescent="0.25">
      <c r="A2095" s="41">
        <v>7027</v>
      </c>
      <c r="B2095" s="42" t="s">
        <v>2467</v>
      </c>
      <c r="C2095" s="43" t="s">
        <v>289</v>
      </c>
      <c r="D2095" s="43" t="s">
        <v>316</v>
      </c>
      <c r="E2095" s="43" t="s">
        <v>230</v>
      </c>
    </row>
    <row r="2096" spans="1:5" x14ac:dyDescent="0.25">
      <c r="A2096" s="41">
        <v>7028</v>
      </c>
      <c r="B2096" s="42" t="s">
        <v>2468</v>
      </c>
      <c r="C2096" s="43" t="s">
        <v>289</v>
      </c>
      <c r="D2096" s="43" t="s">
        <v>316</v>
      </c>
      <c r="E2096" s="43" t="s">
        <v>230</v>
      </c>
    </row>
    <row r="2097" spans="1:5" x14ac:dyDescent="0.25">
      <c r="A2097" s="41">
        <v>7029</v>
      </c>
      <c r="B2097" s="42" t="s">
        <v>2469</v>
      </c>
      <c r="C2097" s="43" t="s">
        <v>289</v>
      </c>
      <c r="D2097" s="43" t="s">
        <v>316</v>
      </c>
      <c r="E2097" s="43" t="s">
        <v>230</v>
      </c>
    </row>
    <row r="2098" spans="1:5" x14ac:dyDescent="0.25">
      <c r="A2098" s="41">
        <v>7033</v>
      </c>
      <c r="B2098" s="42" t="s">
        <v>2470</v>
      </c>
      <c r="C2098" s="43" t="s">
        <v>289</v>
      </c>
      <c r="D2098" s="43" t="s">
        <v>316</v>
      </c>
      <c r="E2098" s="43" t="s">
        <v>230</v>
      </c>
    </row>
    <row r="2099" spans="1:5" x14ac:dyDescent="0.25">
      <c r="A2099" s="41">
        <v>7042</v>
      </c>
      <c r="B2099" s="42" t="s">
        <v>2471</v>
      </c>
      <c r="C2099" s="43" t="s">
        <v>289</v>
      </c>
      <c r="D2099" s="43" t="s">
        <v>2334</v>
      </c>
      <c r="E2099" s="43" t="s">
        <v>230</v>
      </c>
    </row>
    <row r="2100" spans="1:5" x14ac:dyDescent="0.25">
      <c r="A2100" s="41">
        <v>7044</v>
      </c>
      <c r="B2100" s="42" t="s">
        <v>2472</v>
      </c>
      <c r="C2100" s="43" t="s">
        <v>289</v>
      </c>
      <c r="D2100" s="43" t="s">
        <v>523</v>
      </c>
      <c r="E2100" s="43" t="s">
        <v>230</v>
      </c>
    </row>
    <row r="2101" spans="1:5" x14ac:dyDescent="0.25">
      <c r="A2101" s="41">
        <v>7045</v>
      </c>
      <c r="B2101" s="42" t="s">
        <v>2473</v>
      </c>
      <c r="C2101" s="43" t="s">
        <v>289</v>
      </c>
      <c r="D2101" s="43" t="s">
        <v>633</v>
      </c>
      <c r="E2101" s="43" t="s">
        <v>464</v>
      </c>
    </row>
    <row r="2102" spans="1:5" x14ac:dyDescent="0.25">
      <c r="A2102" s="41">
        <v>7048</v>
      </c>
      <c r="B2102" s="42" t="s">
        <v>2474</v>
      </c>
      <c r="C2102" s="43" t="s">
        <v>289</v>
      </c>
      <c r="D2102" s="43" t="s">
        <v>633</v>
      </c>
      <c r="E2102" s="43" t="s">
        <v>464</v>
      </c>
    </row>
    <row r="2103" spans="1:5" x14ac:dyDescent="0.25">
      <c r="A2103" s="41">
        <v>7050</v>
      </c>
      <c r="B2103" s="42" t="s">
        <v>2475</v>
      </c>
      <c r="C2103" s="43" t="s">
        <v>289</v>
      </c>
      <c r="D2103" s="43" t="s">
        <v>494</v>
      </c>
      <c r="E2103" s="43" t="s">
        <v>464</v>
      </c>
    </row>
    <row r="2104" spans="1:5" x14ac:dyDescent="0.25">
      <c r="A2104" s="41">
        <v>7061</v>
      </c>
      <c r="B2104" s="42" t="s">
        <v>2476</v>
      </c>
      <c r="C2104" s="43" t="s">
        <v>289</v>
      </c>
      <c r="D2104" s="43" t="s">
        <v>327</v>
      </c>
      <c r="E2104" s="43" t="s">
        <v>230</v>
      </c>
    </row>
    <row r="2105" spans="1:5" x14ac:dyDescent="0.25">
      <c r="A2105" s="41">
        <v>7067</v>
      </c>
      <c r="B2105" s="42" t="s">
        <v>2477</v>
      </c>
      <c r="C2105" s="43" t="s">
        <v>289</v>
      </c>
      <c r="D2105" s="43" t="s">
        <v>468</v>
      </c>
      <c r="E2105" s="43" t="s">
        <v>230</v>
      </c>
    </row>
    <row r="2106" spans="1:5" x14ac:dyDescent="0.25">
      <c r="A2106" s="41">
        <v>7071</v>
      </c>
      <c r="B2106" s="42" t="s">
        <v>2478</v>
      </c>
      <c r="C2106" s="43" t="s">
        <v>289</v>
      </c>
      <c r="D2106" s="43" t="s">
        <v>633</v>
      </c>
      <c r="E2106" s="43" t="s">
        <v>464</v>
      </c>
    </row>
    <row r="2107" spans="1:5" x14ac:dyDescent="0.25">
      <c r="A2107" s="41">
        <v>7074</v>
      </c>
      <c r="B2107" s="42" t="s">
        <v>2479</v>
      </c>
      <c r="C2107" s="43" t="s">
        <v>289</v>
      </c>
      <c r="D2107" s="43" t="s">
        <v>996</v>
      </c>
      <c r="E2107" s="43" t="s">
        <v>230</v>
      </c>
    </row>
    <row r="2108" spans="1:5" x14ac:dyDescent="0.25">
      <c r="A2108" s="41">
        <v>7077</v>
      </c>
      <c r="B2108" s="42" t="s">
        <v>2480</v>
      </c>
      <c r="C2108" s="43" t="s">
        <v>289</v>
      </c>
      <c r="D2108" s="43" t="s">
        <v>327</v>
      </c>
      <c r="E2108" s="43" t="s">
        <v>230</v>
      </c>
    </row>
    <row r="2109" spans="1:5" x14ac:dyDescent="0.25">
      <c r="A2109" s="41">
        <v>7079</v>
      </c>
      <c r="B2109" s="42" t="s">
        <v>2481</v>
      </c>
      <c r="C2109" s="43" t="s">
        <v>289</v>
      </c>
      <c r="D2109" s="43" t="s">
        <v>327</v>
      </c>
      <c r="E2109" s="43" t="s">
        <v>230</v>
      </c>
    </row>
    <row r="2110" spans="1:5" x14ac:dyDescent="0.25">
      <c r="A2110" s="41">
        <v>7080</v>
      </c>
      <c r="B2110" s="42" t="s">
        <v>2482</v>
      </c>
      <c r="C2110" s="43" t="s">
        <v>289</v>
      </c>
      <c r="D2110" s="43" t="s">
        <v>327</v>
      </c>
      <c r="E2110" s="43" t="s">
        <v>230</v>
      </c>
    </row>
    <row r="2111" spans="1:5" x14ac:dyDescent="0.25">
      <c r="A2111" s="41">
        <v>7082</v>
      </c>
      <c r="B2111" s="42" t="s">
        <v>2483</v>
      </c>
      <c r="C2111" s="43" t="s">
        <v>289</v>
      </c>
      <c r="D2111" s="43" t="s">
        <v>435</v>
      </c>
      <c r="E2111" s="43" t="s">
        <v>230</v>
      </c>
    </row>
    <row r="2112" spans="1:5" x14ac:dyDescent="0.25">
      <c r="A2112" s="41">
        <v>7083</v>
      </c>
      <c r="B2112" s="42" t="s">
        <v>2484</v>
      </c>
      <c r="C2112" s="43" t="s">
        <v>289</v>
      </c>
      <c r="D2112" s="43" t="s">
        <v>435</v>
      </c>
      <c r="E2112" s="43" t="s">
        <v>230</v>
      </c>
    </row>
    <row r="2113" spans="1:5" x14ac:dyDescent="0.25">
      <c r="A2113" s="41">
        <v>7085</v>
      </c>
      <c r="B2113" s="42" t="s">
        <v>2485</v>
      </c>
      <c r="C2113" s="43" t="s">
        <v>289</v>
      </c>
      <c r="D2113" s="43" t="s">
        <v>435</v>
      </c>
      <c r="E2113" s="43" t="s">
        <v>230</v>
      </c>
    </row>
    <row r="2114" spans="1:5" x14ac:dyDescent="0.25">
      <c r="A2114" s="41">
        <v>7086</v>
      </c>
      <c r="B2114" s="42" t="s">
        <v>2486</v>
      </c>
      <c r="C2114" s="43" t="s">
        <v>289</v>
      </c>
      <c r="D2114" s="43" t="s">
        <v>435</v>
      </c>
      <c r="E2114" s="43" t="s">
        <v>464</v>
      </c>
    </row>
    <row r="2115" spans="1:5" x14ac:dyDescent="0.25">
      <c r="A2115" s="41">
        <v>7087</v>
      </c>
      <c r="B2115" s="42" t="s">
        <v>2487</v>
      </c>
      <c r="C2115" s="43" t="s">
        <v>289</v>
      </c>
      <c r="D2115" s="43" t="s">
        <v>435</v>
      </c>
      <c r="E2115" s="43" t="s">
        <v>464</v>
      </c>
    </row>
    <row r="2116" spans="1:5" x14ac:dyDescent="0.25">
      <c r="A2116" s="41">
        <v>7094</v>
      </c>
      <c r="B2116" s="42" t="s">
        <v>2488</v>
      </c>
      <c r="C2116" s="43" t="s">
        <v>289</v>
      </c>
      <c r="D2116" s="43" t="s">
        <v>1981</v>
      </c>
      <c r="E2116" s="43" t="s">
        <v>464</v>
      </c>
    </row>
    <row r="2117" spans="1:5" x14ac:dyDescent="0.25">
      <c r="A2117" s="41">
        <v>7100</v>
      </c>
      <c r="B2117" s="42" t="s">
        <v>2489</v>
      </c>
      <c r="C2117" s="43" t="s">
        <v>289</v>
      </c>
      <c r="D2117" s="43" t="s">
        <v>435</v>
      </c>
      <c r="E2117" s="43" t="s">
        <v>464</v>
      </c>
    </row>
    <row r="2118" spans="1:5" x14ac:dyDescent="0.25">
      <c r="A2118" s="41">
        <v>7101</v>
      </c>
      <c r="B2118" s="42" t="s">
        <v>2490</v>
      </c>
      <c r="C2118" s="43" t="s">
        <v>289</v>
      </c>
      <c r="D2118" s="43" t="s">
        <v>327</v>
      </c>
      <c r="E2118" s="43" t="s">
        <v>531</v>
      </c>
    </row>
    <row r="2119" spans="1:5" x14ac:dyDescent="0.25">
      <c r="A2119" s="41">
        <v>7111</v>
      </c>
      <c r="B2119" s="42" t="s">
        <v>2491</v>
      </c>
      <c r="C2119" s="43" t="s">
        <v>289</v>
      </c>
      <c r="D2119" s="43" t="s">
        <v>435</v>
      </c>
      <c r="E2119" s="43" t="s">
        <v>464</v>
      </c>
    </row>
    <row r="2120" spans="1:5" x14ac:dyDescent="0.25">
      <c r="A2120" s="41">
        <v>7113</v>
      </c>
      <c r="B2120" s="42" t="s">
        <v>2492</v>
      </c>
      <c r="C2120" s="43" t="s">
        <v>289</v>
      </c>
      <c r="D2120" s="43" t="s">
        <v>435</v>
      </c>
      <c r="E2120" s="43" t="s">
        <v>464</v>
      </c>
    </row>
    <row r="2121" spans="1:5" x14ac:dyDescent="0.25">
      <c r="A2121" s="41">
        <v>7114</v>
      </c>
      <c r="B2121" s="42" t="s">
        <v>2493</v>
      </c>
      <c r="C2121" s="43" t="s">
        <v>289</v>
      </c>
      <c r="D2121" s="43" t="s">
        <v>435</v>
      </c>
      <c r="E2121" s="43" t="s">
        <v>464</v>
      </c>
    </row>
    <row r="2122" spans="1:5" x14ac:dyDescent="0.25">
      <c r="A2122" s="41">
        <v>7119</v>
      </c>
      <c r="B2122" s="42" t="s">
        <v>2494</v>
      </c>
      <c r="C2122" s="43" t="s">
        <v>289</v>
      </c>
      <c r="D2122" s="43" t="s">
        <v>996</v>
      </c>
      <c r="E2122" s="43" t="s">
        <v>230</v>
      </c>
    </row>
    <row r="2123" spans="1:5" x14ac:dyDescent="0.25">
      <c r="A2123" s="41">
        <v>7126</v>
      </c>
      <c r="B2123" s="42" t="s">
        <v>2495</v>
      </c>
      <c r="C2123" s="43" t="s">
        <v>289</v>
      </c>
      <c r="D2123" s="43" t="s">
        <v>327</v>
      </c>
      <c r="E2123" s="43" t="s">
        <v>230</v>
      </c>
    </row>
    <row r="2124" spans="1:5" x14ac:dyDescent="0.25">
      <c r="A2124" s="41">
        <v>7134</v>
      </c>
      <c r="B2124" s="42" t="s">
        <v>2496</v>
      </c>
      <c r="C2124" s="43" t="s">
        <v>289</v>
      </c>
      <c r="D2124" s="43" t="s">
        <v>468</v>
      </c>
      <c r="E2124" s="43" t="s">
        <v>230</v>
      </c>
    </row>
    <row r="2125" spans="1:5" x14ac:dyDescent="0.25">
      <c r="A2125" s="41">
        <v>7137</v>
      </c>
      <c r="B2125" s="42" t="s">
        <v>2497</v>
      </c>
      <c r="C2125" s="43" t="s">
        <v>289</v>
      </c>
      <c r="D2125" s="43" t="s">
        <v>316</v>
      </c>
      <c r="E2125" s="43" t="s">
        <v>217</v>
      </c>
    </row>
    <row r="2126" spans="1:5" x14ac:dyDescent="0.25">
      <c r="A2126" s="41">
        <v>7139</v>
      </c>
      <c r="B2126" s="42" t="s">
        <v>2498</v>
      </c>
      <c r="C2126" s="43" t="s">
        <v>289</v>
      </c>
      <c r="D2126" s="43" t="s">
        <v>2499</v>
      </c>
      <c r="E2126" s="43" t="s">
        <v>464</v>
      </c>
    </row>
    <row r="2127" spans="1:5" x14ac:dyDescent="0.25">
      <c r="A2127" s="41">
        <v>7144</v>
      </c>
      <c r="B2127" s="42" t="s">
        <v>2500</v>
      </c>
      <c r="C2127" s="43" t="s">
        <v>289</v>
      </c>
      <c r="D2127" s="43" t="s">
        <v>2501</v>
      </c>
      <c r="E2127" s="43" t="s">
        <v>404</v>
      </c>
    </row>
    <row r="2128" spans="1:5" x14ac:dyDescent="0.25">
      <c r="A2128" s="41">
        <v>7148</v>
      </c>
      <c r="B2128" s="42" t="s">
        <v>2502</v>
      </c>
      <c r="C2128" s="43" t="s">
        <v>289</v>
      </c>
      <c r="D2128" s="43" t="s">
        <v>327</v>
      </c>
      <c r="E2128" s="43" t="s">
        <v>230</v>
      </c>
    </row>
    <row r="2129" spans="1:5" x14ac:dyDescent="0.25">
      <c r="A2129" s="41">
        <v>7149</v>
      </c>
      <c r="B2129" s="42" t="s">
        <v>2503</v>
      </c>
      <c r="C2129" s="43" t="s">
        <v>289</v>
      </c>
      <c r="D2129" s="43" t="s">
        <v>466</v>
      </c>
      <c r="E2129" s="43" t="s">
        <v>454</v>
      </c>
    </row>
    <row r="2130" spans="1:5" x14ac:dyDescent="0.25">
      <c r="A2130" s="41">
        <v>7160</v>
      </c>
      <c r="B2130" s="42" t="s">
        <v>2504</v>
      </c>
      <c r="C2130" s="43" t="s">
        <v>289</v>
      </c>
      <c r="D2130" s="43" t="s">
        <v>327</v>
      </c>
      <c r="E2130" s="43" t="s">
        <v>230</v>
      </c>
    </row>
    <row r="2131" spans="1:5" x14ac:dyDescent="0.25">
      <c r="A2131" s="41">
        <v>7163</v>
      </c>
      <c r="B2131" s="42" t="s">
        <v>2505</v>
      </c>
      <c r="C2131" s="43" t="s">
        <v>289</v>
      </c>
      <c r="D2131" s="43" t="s">
        <v>333</v>
      </c>
      <c r="E2131" s="43" t="s">
        <v>230</v>
      </c>
    </row>
    <row r="2132" spans="1:5" x14ac:dyDescent="0.25">
      <c r="A2132" s="41">
        <v>7191</v>
      </c>
      <c r="B2132" s="42" t="s">
        <v>2506</v>
      </c>
      <c r="C2132" s="43" t="s">
        <v>289</v>
      </c>
      <c r="D2132" s="43" t="s">
        <v>435</v>
      </c>
      <c r="E2132" s="43" t="s">
        <v>336</v>
      </c>
    </row>
    <row r="2133" spans="1:5" x14ac:dyDescent="0.25">
      <c r="A2133" s="41">
        <v>7192</v>
      </c>
      <c r="B2133" s="42" t="s">
        <v>2507</v>
      </c>
      <c r="C2133" s="43" t="s">
        <v>289</v>
      </c>
      <c r="D2133" s="43" t="s">
        <v>327</v>
      </c>
      <c r="E2133" s="43" t="s">
        <v>170</v>
      </c>
    </row>
    <row r="2134" spans="1:5" x14ac:dyDescent="0.25">
      <c r="A2134" s="41">
        <v>7206</v>
      </c>
      <c r="B2134" s="42" t="s">
        <v>2508</v>
      </c>
      <c r="C2134" s="43" t="s">
        <v>289</v>
      </c>
      <c r="D2134" s="43" t="s">
        <v>327</v>
      </c>
      <c r="E2134" s="43" t="s">
        <v>464</v>
      </c>
    </row>
    <row r="2135" spans="1:5" x14ac:dyDescent="0.25">
      <c r="A2135" s="41">
        <v>7207</v>
      </c>
      <c r="B2135" s="42" t="s">
        <v>2509</v>
      </c>
      <c r="C2135" s="43" t="s">
        <v>289</v>
      </c>
      <c r="D2135" s="43" t="s">
        <v>327</v>
      </c>
      <c r="E2135" s="43" t="s">
        <v>230</v>
      </c>
    </row>
    <row r="2136" spans="1:5" x14ac:dyDescent="0.25">
      <c r="A2136" s="41">
        <v>7208</v>
      </c>
      <c r="B2136" s="42" t="s">
        <v>2510</v>
      </c>
      <c r="C2136" s="43" t="s">
        <v>289</v>
      </c>
      <c r="D2136" s="43" t="s">
        <v>327</v>
      </c>
      <c r="E2136" s="43" t="s">
        <v>230</v>
      </c>
    </row>
    <row r="2137" spans="1:5" x14ac:dyDescent="0.25">
      <c r="A2137" s="41">
        <v>7209</v>
      </c>
      <c r="B2137" s="42" t="s">
        <v>2511</v>
      </c>
      <c r="C2137" s="43" t="s">
        <v>289</v>
      </c>
      <c r="D2137" s="43" t="s">
        <v>327</v>
      </c>
      <c r="E2137" s="43" t="s">
        <v>230</v>
      </c>
    </row>
    <row r="2138" spans="1:5" x14ac:dyDescent="0.25">
      <c r="A2138" s="41">
        <v>7212</v>
      </c>
      <c r="B2138" s="42" t="s">
        <v>2512</v>
      </c>
      <c r="C2138" s="43" t="s">
        <v>289</v>
      </c>
      <c r="D2138" s="43" t="s">
        <v>375</v>
      </c>
      <c r="E2138" s="43" t="s">
        <v>230</v>
      </c>
    </row>
    <row r="2139" spans="1:5" x14ac:dyDescent="0.25">
      <c r="A2139" s="41">
        <v>7213</v>
      </c>
      <c r="B2139" s="42" t="s">
        <v>2513</v>
      </c>
      <c r="C2139" s="43" t="s">
        <v>289</v>
      </c>
      <c r="D2139" s="43" t="s">
        <v>375</v>
      </c>
      <c r="E2139" s="43" t="s">
        <v>230</v>
      </c>
    </row>
    <row r="2140" spans="1:5" x14ac:dyDescent="0.25">
      <c r="A2140" s="41">
        <v>7216</v>
      </c>
      <c r="B2140" s="42" t="s">
        <v>2514</v>
      </c>
      <c r="C2140" s="43" t="s">
        <v>289</v>
      </c>
      <c r="D2140" s="43" t="s">
        <v>509</v>
      </c>
      <c r="E2140" s="43" t="s">
        <v>230</v>
      </c>
    </row>
    <row r="2141" spans="1:5" x14ac:dyDescent="0.25">
      <c r="A2141" s="41">
        <v>7221</v>
      </c>
      <c r="B2141" s="42" t="s">
        <v>2515</v>
      </c>
      <c r="C2141" s="43" t="s">
        <v>289</v>
      </c>
      <c r="D2141" s="43" t="s">
        <v>327</v>
      </c>
      <c r="E2141" s="43" t="s">
        <v>230</v>
      </c>
    </row>
    <row r="2142" spans="1:5" x14ac:dyDescent="0.25">
      <c r="A2142" s="41">
        <v>7222</v>
      </c>
      <c r="B2142" s="42" t="s">
        <v>2516</v>
      </c>
      <c r="C2142" s="43" t="s">
        <v>289</v>
      </c>
      <c r="D2142" s="43" t="s">
        <v>327</v>
      </c>
      <c r="E2142" s="43" t="s">
        <v>230</v>
      </c>
    </row>
    <row r="2143" spans="1:5" x14ac:dyDescent="0.25">
      <c r="A2143" s="41">
        <v>7225</v>
      </c>
      <c r="B2143" s="42" t="s">
        <v>2517</v>
      </c>
      <c r="C2143" s="43" t="s">
        <v>289</v>
      </c>
      <c r="D2143" s="43" t="s">
        <v>327</v>
      </c>
      <c r="E2143" s="43" t="s">
        <v>230</v>
      </c>
    </row>
    <row r="2144" spans="1:5" x14ac:dyDescent="0.25">
      <c r="A2144" s="41">
        <v>7226</v>
      </c>
      <c r="B2144" s="42" t="s">
        <v>2518</v>
      </c>
      <c r="C2144" s="43" t="s">
        <v>289</v>
      </c>
      <c r="D2144" s="43" t="s">
        <v>327</v>
      </c>
      <c r="E2144" s="43" t="s">
        <v>464</v>
      </c>
    </row>
    <row r="2145" spans="1:5" x14ac:dyDescent="0.25">
      <c r="A2145" s="41">
        <v>7230</v>
      </c>
      <c r="B2145" s="42" t="s">
        <v>2519</v>
      </c>
      <c r="C2145" s="43" t="s">
        <v>289</v>
      </c>
      <c r="D2145" s="43" t="s">
        <v>996</v>
      </c>
      <c r="E2145" s="43" t="s">
        <v>864</v>
      </c>
    </row>
    <row r="2146" spans="1:5" x14ac:dyDescent="0.25">
      <c r="A2146" s="41">
        <v>7232</v>
      </c>
      <c r="B2146" s="42" t="s">
        <v>2520</v>
      </c>
      <c r="C2146" s="43" t="s">
        <v>289</v>
      </c>
      <c r="D2146" s="43" t="s">
        <v>327</v>
      </c>
      <c r="E2146" s="43" t="s">
        <v>230</v>
      </c>
    </row>
    <row r="2147" spans="1:5" x14ac:dyDescent="0.25">
      <c r="A2147" s="41">
        <v>7234</v>
      </c>
      <c r="B2147" s="42" t="s">
        <v>2521</v>
      </c>
      <c r="C2147" s="43" t="s">
        <v>289</v>
      </c>
      <c r="D2147" s="43" t="s">
        <v>327</v>
      </c>
      <c r="E2147" s="43" t="s">
        <v>230</v>
      </c>
    </row>
    <row r="2148" spans="1:5" x14ac:dyDescent="0.25">
      <c r="A2148" s="41">
        <v>7235</v>
      </c>
      <c r="B2148" s="42" t="s">
        <v>2522</v>
      </c>
      <c r="C2148" s="43" t="s">
        <v>289</v>
      </c>
      <c r="D2148" s="43" t="s">
        <v>327</v>
      </c>
      <c r="E2148" s="43" t="s">
        <v>230</v>
      </c>
    </row>
    <row r="2149" spans="1:5" x14ac:dyDescent="0.25">
      <c r="A2149" s="41">
        <v>7236</v>
      </c>
      <c r="B2149" s="42" t="s">
        <v>2523</v>
      </c>
      <c r="C2149" s="43" t="s">
        <v>289</v>
      </c>
      <c r="D2149" s="43" t="s">
        <v>327</v>
      </c>
      <c r="E2149" s="43" t="s">
        <v>230</v>
      </c>
    </row>
    <row r="2150" spans="1:5" x14ac:dyDescent="0.25">
      <c r="A2150" s="41">
        <v>7237</v>
      </c>
      <c r="B2150" s="42" t="s">
        <v>2524</v>
      </c>
      <c r="C2150" s="43" t="s">
        <v>289</v>
      </c>
      <c r="D2150" s="43" t="s">
        <v>327</v>
      </c>
      <c r="E2150" s="43" t="s">
        <v>230</v>
      </c>
    </row>
    <row r="2151" spans="1:5" x14ac:dyDescent="0.25">
      <c r="A2151" s="41">
        <v>7238</v>
      </c>
      <c r="B2151" s="42" t="s">
        <v>2525</v>
      </c>
      <c r="C2151" s="43" t="s">
        <v>289</v>
      </c>
      <c r="D2151" s="43" t="s">
        <v>327</v>
      </c>
      <c r="E2151" s="43" t="s">
        <v>230</v>
      </c>
    </row>
    <row r="2152" spans="1:5" x14ac:dyDescent="0.25">
      <c r="A2152" s="41">
        <v>7242</v>
      </c>
      <c r="B2152" s="42" t="s">
        <v>2526</v>
      </c>
      <c r="C2152" s="43" t="s">
        <v>289</v>
      </c>
      <c r="D2152" s="43" t="s">
        <v>327</v>
      </c>
      <c r="E2152" s="43" t="s">
        <v>354</v>
      </c>
    </row>
    <row r="2153" spans="1:5" x14ac:dyDescent="0.25">
      <c r="A2153" s="41">
        <v>7243</v>
      </c>
      <c r="B2153" s="42" t="s">
        <v>2527</v>
      </c>
      <c r="C2153" s="43" t="s">
        <v>289</v>
      </c>
      <c r="D2153" s="43" t="s">
        <v>327</v>
      </c>
      <c r="E2153" s="43" t="s">
        <v>230</v>
      </c>
    </row>
    <row r="2154" spans="1:5" x14ac:dyDescent="0.25">
      <c r="A2154" s="41">
        <v>7245</v>
      </c>
      <c r="B2154" s="42" t="s">
        <v>2528</v>
      </c>
      <c r="C2154" s="43" t="s">
        <v>289</v>
      </c>
      <c r="D2154" s="43" t="s">
        <v>327</v>
      </c>
      <c r="E2154" s="43" t="s">
        <v>230</v>
      </c>
    </row>
    <row r="2155" spans="1:5" x14ac:dyDescent="0.25">
      <c r="A2155" s="41">
        <v>7247</v>
      </c>
      <c r="B2155" s="42" t="s">
        <v>2529</v>
      </c>
      <c r="C2155" s="43" t="s">
        <v>289</v>
      </c>
      <c r="D2155" s="43" t="s">
        <v>327</v>
      </c>
      <c r="E2155" s="43" t="s">
        <v>230</v>
      </c>
    </row>
    <row r="2156" spans="1:5" x14ac:dyDescent="0.25">
      <c r="A2156" s="41">
        <v>7250</v>
      </c>
      <c r="B2156" s="42" t="s">
        <v>2530</v>
      </c>
      <c r="C2156" s="43" t="s">
        <v>289</v>
      </c>
      <c r="D2156" s="43" t="s">
        <v>327</v>
      </c>
      <c r="E2156" s="43" t="s">
        <v>336</v>
      </c>
    </row>
    <row r="2157" spans="1:5" x14ac:dyDescent="0.25">
      <c r="A2157" s="41">
        <v>7252</v>
      </c>
      <c r="B2157" s="42" t="s">
        <v>2531</v>
      </c>
      <c r="C2157" s="43" t="s">
        <v>289</v>
      </c>
      <c r="D2157" s="43" t="s">
        <v>327</v>
      </c>
      <c r="E2157" s="43" t="s">
        <v>230</v>
      </c>
    </row>
    <row r="2158" spans="1:5" x14ac:dyDescent="0.25">
      <c r="A2158" s="41">
        <v>7254</v>
      </c>
      <c r="B2158" s="42" t="s">
        <v>2532</v>
      </c>
      <c r="C2158" s="43" t="s">
        <v>289</v>
      </c>
      <c r="D2158" s="43" t="s">
        <v>327</v>
      </c>
      <c r="E2158" s="43" t="s">
        <v>230</v>
      </c>
    </row>
    <row r="2159" spans="1:5" x14ac:dyDescent="0.25">
      <c r="A2159" s="41">
        <v>7257</v>
      </c>
      <c r="B2159" s="42" t="s">
        <v>2533</v>
      </c>
      <c r="C2159" s="43" t="s">
        <v>289</v>
      </c>
      <c r="D2159" s="43" t="s">
        <v>1041</v>
      </c>
      <c r="E2159" s="43" t="s">
        <v>230</v>
      </c>
    </row>
    <row r="2160" spans="1:5" x14ac:dyDescent="0.25">
      <c r="A2160" s="41">
        <v>7260</v>
      </c>
      <c r="B2160" s="42" t="s">
        <v>2534</v>
      </c>
      <c r="C2160" s="43" t="s">
        <v>289</v>
      </c>
      <c r="D2160" s="43" t="s">
        <v>327</v>
      </c>
      <c r="E2160" s="43" t="s">
        <v>230</v>
      </c>
    </row>
    <row r="2161" spans="1:5" x14ac:dyDescent="0.25">
      <c r="A2161" s="41">
        <v>7261</v>
      </c>
      <c r="B2161" s="42" t="s">
        <v>2535</v>
      </c>
      <c r="C2161" s="43" t="s">
        <v>289</v>
      </c>
      <c r="D2161" s="43" t="s">
        <v>1041</v>
      </c>
      <c r="E2161" s="43" t="s">
        <v>454</v>
      </c>
    </row>
    <row r="2162" spans="1:5" x14ac:dyDescent="0.25">
      <c r="A2162" s="41">
        <v>7265</v>
      </c>
      <c r="B2162" s="42" t="s">
        <v>2536</v>
      </c>
      <c r="C2162" s="43" t="s">
        <v>289</v>
      </c>
      <c r="D2162" s="43" t="s">
        <v>327</v>
      </c>
      <c r="E2162" s="43" t="s">
        <v>230</v>
      </c>
    </row>
    <row r="2163" spans="1:5" x14ac:dyDescent="0.25">
      <c r="A2163" s="41">
        <v>7269</v>
      </c>
      <c r="B2163" s="42" t="s">
        <v>2537</v>
      </c>
      <c r="C2163" s="43" t="s">
        <v>289</v>
      </c>
      <c r="D2163" s="43" t="s">
        <v>494</v>
      </c>
      <c r="E2163" s="43" t="s">
        <v>464</v>
      </c>
    </row>
    <row r="2164" spans="1:5" x14ac:dyDescent="0.25">
      <c r="A2164" s="41">
        <v>7274</v>
      </c>
      <c r="B2164" s="42" t="s">
        <v>2538</v>
      </c>
      <c r="C2164" s="43" t="s">
        <v>289</v>
      </c>
      <c r="D2164" s="43" t="s">
        <v>314</v>
      </c>
      <c r="E2164" s="43" t="s">
        <v>464</v>
      </c>
    </row>
    <row r="2165" spans="1:5" x14ac:dyDescent="0.25">
      <c r="A2165" s="41">
        <v>7278</v>
      </c>
      <c r="B2165" s="42" t="s">
        <v>2539</v>
      </c>
      <c r="C2165" s="43" t="s">
        <v>289</v>
      </c>
      <c r="D2165" s="43" t="s">
        <v>633</v>
      </c>
      <c r="E2165" s="43" t="s">
        <v>230</v>
      </c>
    </row>
    <row r="2166" spans="1:5" x14ac:dyDescent="0.25">
      <c r="A2166" s="41">
        <v>7280</v>
      </c>
      <c r="B2166" s="42" t="s">
        <v>2540</v>
      </c>
      <c r="C2166" s="43" t="s">
        <v>289</v>
      </c>
      <c r="D2166" s="43" t="s">
        <v>327</v>
      </c>
      <c r="E2166" s="43" t="s">
        <v>230</v>
      </c>
    </row>
    <row r="2167" spans="1:5" x14ac:dyDescent="0.25">
      <c r="A2167" s="41">
        <v>7281</v>
      </c>
      <c r="B2167" s="42" t="s">
        <v>2541</v>
      </c>
      <c r="C2167" s="43" t="s">
        <v>289</v>
      </c>
      <c r="D2167" s="43" t="s">
        <v>1100</v>
      </c>
      <c r="E2167" s="43" t="s">
        <v>170</v>
      </c>
    </row>
    <row r="2168" spans="1:5" x14ac:dyDescent="0.25">
      <c r="A2168" s="41">
        <v>7282</v>
      </c>
      <c r="B2168" s="42" t="s">
        <v>2542</v>
      </c>
      <c r="C2168" s="43" t="s">
        <v>289</v>
      </c>
      <c r="D2168" s="43" t="s">
        <v>1100</v>
      </c>
      <c r="E2168" s="43" t="s">
        <v>170</v>
      </c>
    </row>
    <row r="2169" spans="1:5" x14ac:dyDescent="0.25">
      <c r="A2169" s="41">
        <v>7283</v>
      </c>
      <c r="B2169" s="42" t="s">
        <v>2543</v>
      </c>
      <c r="C2169" s="43" t="s">
        <v>289</v>
      </c>
      <c r="D2169" s="43" t="s">
        <v>1100</v>
      </c>
      <c r="E2169" s="43" t="s">
        <v>170</v>
      </c>
    </row>
    <row r="2170" spans="1:5" x14ac:dyDescent="0.25">
      <c r="A2170" s="41">
        <v>7284</v>
      </c>
      <c r="B2170" s="42" t="s">
        <v>2544</v>
      </c>
      <c r="C2170" s="43" t="s">
        <v>289</v>
      </c>
      <c r="D2170" s="43" t="s">
        <v>1100</v>
      </c>
      <c r="E2170" s="43" t="s">
        <v>2545</v>
      </c>
    </row>
    <row r="2171" spans="1:5" x14ac:dyDescent="0.25">
      <c r="A2171" s="41">
        <v>7285</v>
      </c>
      <c r="B2171" s="42" t="s">
        <v>2546</v>
      </c>
      <c r="C2171" s="43" t="s">
        <v>289</v>
      </c>
      <c r="D2171" s="43" t="s">
        <v>1100</v>
      </c>
      <c r="E2171" s="43" t="s">
        <v>2545</v>
      </c>
    </row>
    <row r="2172" spans="1:5" x14ac:dyDescent="0.25">
      <c r="A2172" s="41">
        <v>7286</v>
      </c>
      <c r="B2172" s="42" t="s">
        <v>2547</v>
      </c>
      <c r="C2172" s="43" t="s">
        <v>289</v>
      </c>
      <c r="D2172" s="43" t="s">
        <v>1100</v>
      </c>
      <c r="E2172" s="43" t="s">
        <v>2545</v>
      </c>
    </row>
    <row r="2173" spans="1:5" x14ac:dyDescent="0.25">
      <c r="A2173" s="41">
        <v>7287</v>
      </c>
      <c r="B2173" s="42" t="s">
        <v>2548</v>
      </c>
      <c r="C2173" s="43" t="s">
        <v>289</v>
      </c>
      <c r="D2173" s="43" t="s">
        <v>1100</v>
      </c>
      <c r="E2173" s="43" t="s">
        <v>2545</v>
      </c>
    </row>
    <row r="2174" spans="1:5" x14ac:dyDescent="0.25">
      <c r="A2174" s="41">
        <v>7289</v>
      </c>
      <c r="B2174" s="42" t="s">
        <v>2549</v>
      </c>
      <c r="C2174" s="43" t="s">
        <v>289</v>
      </c>
      <c r="D2174" s="43" t="s">
        <v>327</v>
      </c>
      <c r="E2174" s="43" t="s">
        <v>464</v>
      </c>
    </row>
    <row r="2175" spans="1:5" x14ac:dyDescent="0.25">
      <c r="A2175" s="41">
        <v>7293</v>
      </c>
      <c r="B2175" s="42" t="s">
        <v>2550</v>
      </c>
      <c r="C2175" s="43" t="s">
        <v>289</v>
      </c>
      <c r="D2175" s="43" t="s">
        <v>410</v>
      </c>
      <c r="E2175" s="43" t="s">
        <v>230</v>
      </c>
    </row>
    <row r="2176" spans="1:5" x14ac:dyDescent="0.25">
      <c r="A2176" s="41">
        <v>7294</v>
      </c>
      <c r="B2176" s="42" t="s">
        <v>2551</v>
      </c>
      <c r="C2176" s="43" t="s">
        <v>289</v>
      </c>
      <c r="D2176" s="43" t="s">
        <v>996</v>
      </c>
      <c r="E2176" s="43" t="s">
        <v>230</v>
      </c>
    </row>
    <row r="2177" spans="1:5" x14ac:dyDescent="0.25">
      <c r="A2177" s="41">
        <v>7295</v>
      </c>
      <c r="B2177" s="42" t="s">
        <v>2552</v>
      </c>
      <c r="C2177" s="43" t="s">
        <v>289</v>
      </c>
      <c r="D2177" s="43" t="s">
        <v>410</v>
      </c>
      <c r="E2177" s="43" t="s">
        <v>230</v>
      </c>
    </row>
    <row r="2178" spans="1:5" x14ac:dyDescent="0.25">
      <c r="A2178" s="41">
        <v>7296</v>
      </c>
      <c r="B2178" s="42" t="s">
        <v>2553</v>
      </c>
      <c r="C2178" s="43" t="s">
        <v>289</v>
      </c>
      <c r="D2178" s="43" t="s">
        <v>410</v>
      </c>
      <c r="E2178" s="43" t="s">
        <v>230</v>
      </c>
    </row>
    <row r="2179" spans="1:5" x14ac:dyDescent="0.25">
      <c r="A2179" s="41">
        <v>7297</v>
      </c>
      <c r="B2179" s="42" t="s">
        <v>2554</v>
      </c>
      <c r="C2179" s="43" t="s">
        <v>289</v>
      </c>
      <c r="D2179" s="43" t="s">
        <v>996</v>
      </c>
      <c r="E2179" s="43" t="s">
        <v>230</v>
      </c>
    </row>
    <row r="2180" spans="1:5" x14ac:dyDescent="0.25">
      <c r="A2180" s="41">
        <v>7304</v>
      </c>
      <c r="B2180" s="42" t="s">
        <v>2555</v>
      </c>
      <c r="C2180" s="43" t="s">
        <v>289</v>
      </c>
      <c r="D2180" s="43" t="s">
        <v>375</v>
      </c>
      <c r="E2180" s="43" t="s">
        <v>464</v>
      </c>
    </row>
    <row r="2181" spans="1:5" x14ac:dyDescent="0.25">
      <c r="A2181" s="41">
        <v>7306</v>
      </c>
      <c r="B2181" s="42" t="s">
        <v>2556</v>
      </c>
      <c r="C2181" s="43" t="s">
        <v>289</v>
      </c>
      <c r="D2181" s="43" t="s">
        <v>509</v>
      </c>
      <c r="E2181" s="43" t="s">
        <v>230</v>
      </c>
    </row>
    <row r="2182" spans="1:5" x14ac:dyDescent="0.25">
      <c r="A2182" s="41">
        <v>7308</v>
      </c>
      <c r="B2182" s="42" t="s">
        <v>2557</v>
      </c>
      <c r="C2182" s="43" t="s">
        <v>289</v>
      </c>
      <c r="D2182" s="43" t="s">
        <v>682</v>
      </c>
      <c r="E2182" s="43" t="s">
        <v>230</v>
      </c>
    </row>
    <row r="2183" spans="1:5" x14ac:dyDescent="0.25">
      <c r="A2183" s="41">
        <v>7309</v>
      </c>
      <c r="B2183" s="42" t="s">
        <v>2558</v>
      </c>
      <c r="C2183" s="43" t="s">
        <v>289</v>
      </c>
      <c r="D2183" s="43" t="s">
        <v>410</v>
      </c>
      <c r="E2183" s="43" t="s">
        <v>230</v>
      </c>
    </row>
    <row r="2184" spans="1:5" x14ac:dyDescent="0.25">
      <c r="A2184" s="41">
        <v>7313</v>
      </c>
      <c r="B2184" s="42" t="s">
        <v>2559</v>
      </c>
      <c r="C2184" s="43" t="s">
        <v>289</v>
      </c>
      <c r="D2184" s="43" t="s">
        <v>694</v>
      </c>
      <c r="E2184" s="43" t="s">
        <v>230</v>
      </c>
    </row>
    <row r="2185" spans="1:5" x14ac:dyDescent="0.25">
      <c r="A2185" s="41">
        <v>7331</v>
      </c>
      <c r="B2185" s="42" t="s">
        <v>2560</v>
      </c>
      <c r="C2185" s="43" t="s">
        <v>289</v>
      </c>
      <c r="D2185" s="43" t="s">
        <v>327</v>
      </c>
      <c r="E2185" s="43" t="s">
        <v>230</v>
      </c>
    </row>
    <row r="2186" spans="1:5" x14ac:dyDescent="0.25">
      <c r="A2186" s="41">
        <v>7332</v>
      </c>
      <c r="B2186" s="42" t="s">
        <v>2561</v>
      </c>
      <c r="C2186" s="43" t="s">
        <v>289</v>
      </c>
      <c r="D2186" s="43" t="s">
        <v>327</v>
      </c>
      <c r="E2186" s="43" t="s">
        <v>230</v>
      </c>
    </row>
    <row r="2187" spans="1:5" x14ac:dyDescent="0.25">
      <c r="A2187" s="41">
        <v>7333</v>
      </c>
      <c r="B2187" s="42" t="s">
        <v>2562</v>
      </c>
      <c r="C2187" s="43" t="s">
        <v>289</v>
      </c>
      <c r="D2187" s="43" t="s">
        <v>327</v>
      </c>
      <c r="E2187" s="43" t="s">
        <v>864</v>
      </c>
    </row>
    <row r="2188" spans="1:5" x14ac:dyDescent="0.25">
      <c r="A2188" s="41">
        <v>7336</v>
      </c>
      <c r="B2188" s="42" t="s">
        <v>2563</v>
      </c>
      <c r="C2188" s="43" t="s">
        <v>289</v>
      </c>
      <c r="D2188" s="43" t="s">
        <v>327</v>
      </c>
      <c r="E2188" s="43" t="s">
        <v>230</v>
      </c>
    </row>
    <row r="2189" spans="1:5" x14ac:dyDescent="0.25">
      <c r="A2189" s="41">
        <v>7337</v>
      </c>
      <c r="B2189" s="42" t="s">
        <v>2564</v>
      </c>
      <c r="C2189" s="43" t="s">
        <v>289</v>
      </c>
      <c r="D2189" s="43" t="s">
        <v>327</v>
      </c>
      <c r="E2189" s="43" t="s">
        <v>230</v>
      </c>
    </row>
    <row r="2190" spans="1:5" x14ac:dyDescent="0.25">
      <c r="A2190" s="41">
        <v>7359</v>
      </c>
      <c r="B2190" s="42" t="s">
        <v>2565</v>
      </c>
      <c r="C2190" s="43" t="s">
        <v>289</v>
      </c>
      <c r="D2190" s="43" t="s">
        <v>474</v>
      </c>
      <c r="E2190" s="43" t="s">
        <v>373</v>
      </c>
    </row>
    <row r="2191" spans="1:5" x14ac:dyDescent="0.25">
      <c r="A2191" s="41">
        <v>7375</v>
      </c>
      <c r="B2191" s="42" t="s">
        <v>2566</v>
      </c>
      <c r="C2191" s="43" t="s">
        <v>289</v>
      </c>
      <c r="D2191" s="43" t="s">
        <v>327</v>
      </c>
      <c r="E2191" s="43" t="s">
        <v>464</v>
      </c>
    </row>
    <row r="2192" spans="1:5" x14ac:dyDescent="0.25">
      <c r="A2192" s="41">
        <v>7380</v>
      </c>
      <c r="B2192" s="42" t="s">
        <v>2567</v>
      </c>
      <c r="C2192" s="43" t="s">
        <v>289</v>
      </c>
      <c r="D2192" s="43" t="s">
        <v>316</v>
      </c>
      <c r="E2192" s="43" t="s">
        <v>230</v>
      </c>
    </row>
    <row r="2193" spans="1:5" x14ac:dyDescent="0.25">
      <c r="A2193" s="41">
        <v>7384</v>
      </c>
      <c r="B2193" s="42" t="s">
        <v>2568</v>
      </c>
      <c r="C2193" s="43" t="s">
        <v>289</v>
      </c>
      <c r="D2193" s="43" t="s">
        <v>1290</v>
      </c>
      <c r="E2193" s="43" t="s">
        <v>336</v>
      </c>
    </row>
    <row r="2194" spans="1:5" x14ac:dyDescent="0.25">
      <c r="A2194" s="41">
        <v>7402</v>
      </c>
      <c r="B2194" s="42" t="s">
        <v>2569</v>
      </c>
      <c r="C2194" s="43" t="s">
        <v>289</v>
      </c>
      <c r="D2194" s="43" t="s">
        <v>468</v>
      </c>
      <c r="E2194" s="43" t="s">
        <v>230</v>
      </c>
    </row>
    <row r="2195" spans="1:5" x14ac:dyDescent="0.25">
      <c r="A2195" s="41">
        <v>7410</v>
      </c>
      <c r="B2195" s="42" t="s">
        <v>2570</v>
      </c>
      <c r="C2195" s="43" t="s">
        <v>289</v>
      </c>
      <c r="D2195" s="43" t="s">
        <v>468</v>
      </c>
      <c r="E2195" s="43" t="s">
        <v>230</v>
      </c>
    </row>
    <row r="2196" spans="1:5" x14ac:dyDescent="0.25">
      <c r="A2196" s="41">
        <v>7412</v>
      </c>
      <c r="B2196" s="42" t="s">
        <v>2571</v>
      </c>
      <c r="C2196" s="43" t="s">
        <v>289</v>
      </c>
      <c r="D2196" s="43" t="s">
        <v>468</v>
      </c>
      <c r="E2196" s="43" t="s">
        <v>230</v>
      </c>
    </row>
    <row r="2197" spans="1:5" x14ac:dyDescent="0.25">
      <c r="A2197" s="41">
        <v>7422</v>
      </c>
      <c r="B2197" s="42" t="s">
        <v>2572</v>
      </c>
      <c r="C2197" s="43" t="s">
        <v>289</v>
      </c>
      <c r="D2197" s="43" t="s">
        <v>435</v>
      </c>
      <c r="E2197" s="43" t="s">
        <v>230</v>
      </c>
    </row>
    <row r="2198" spans="1:5" x14ac:dyDescent="0.25">
      <c r="A2198" s="41">
        <v>7423</v>
      </c>
      <c r="B2198" s="42" t="s">
        <v>2573</v>
      </c>
      <c r="C2198" s="43" t="s">
        <v>289</v>
      </c>
      <c r="D2198" s="43" t="s">
        <v>435</v>
      </c>
      <c r="E2198" s="43" t="s">
        <v>436</v>
      </c>
    </row>
    <row r="2199" spans="1:5" x14ac:dyDescent="0.25">
      <c r="A2199" s="41">
        <v>7425</v>
      </c>
      <c r="B2199" s="42" t="s">
        <v>2574</v>
      </c>
      <c r="C2199" s="43" t="s">
        <v>289</v>
      </c>
      <c r="D2199" s="43" t="s">
        <v>474</v>
      </c>
      <c r="E2199" s="43" t="s">
        <v>336</v>
      </c>
    </row>
    <row r="2200" spans="1:5" x14ac:dyDescent="0.25">
      <c r="A2200" s="41">
        <v>7426</v>
      </c>
      <c r="B2200" s="42" t="s">
        <v>2575</v>
      </c>
      <c r="C2200" s="43" t="s">
        <v>289</v>
      </c>
      <c r="D2200" s="43" t="s">
        <v>435</v>
      </c>
      <c r="E2200" s="43" t="s">
        <v>230</v>
      </c>
    </row>
    <row r="2201" spans="1:5" x14ac:dyDescent="0.25">
      <c r="A2201" s="41">
        <v>7428</v>
      </c>
      <c r="B2201" s="42" t="s">
        <v>2576</v>
      </c>
      <c r="C2201" s="43" t="s">
        <v>289</v>
      </c>
      <c r="D2201" s="43" t="s">
        <v>435</v>
      </c>
      <c r="E2201" s="43" t="s">
        <v>230</v>
      </c>
    </row>
    <row r="2202" spans="1:5" x14ac:dyDescent="0.25">
      <c r="A2202" s="41">
        <v>7430</v>
      </c>
      <c r="B2202" s="42" t="s">
        <v>2577</v>
      </c>
      <c r="C2202" s="43" t="s">
        <v>289</v>
      </c>
      <c r="D2202" s="43" t="s">
        <v>316</v>
      </c>
      <c r="E2202" s="43" t="s">
        <v>454</v>
      </c>
    </row>
    <row r="2203" spans="1:5" x14ac:dyDescent="0.25">
      <c r="A2203" s="41">
        <v>7432</v>
      </c>
      <c r="B2203" s="42" t="s">
        <v>2578</v>
      </c>
      <c r="C2203" s="43" t="s">
        <v>289</v>
      </c>
      <c r="D2203" s="43" t="s">
        <v>333</v>
      </c>
      <c r="E2203" s="43" t="s">
        <v>531</v>
      </c>
    </row>
    <row r="2204" spans="1:5" x14ac:dyDescent="0.25">
      <c r="A2204" s="41">
        <v>7434</v>
      </c>
      <c r="B2204" s="42" t="s">
        <v>2579</v>
      </c>
      <c r="C2204" s="43" t="s">
        <v>289</v>
      </c>
      <c r="D2204" s="43" t="s">
        <v>316</v>
      </c>
      <c r="E2204" s="43" t="s">
        <v>230</v>
      </c>
    </row>
    <row r="2205" spans="1:5" x14ac:dyDescent="0.25">
      <c r="A2205" s="41">
        <v>7435</v>
      </c>
      <c r="B2205" s="42" t="s">
        <v>2580</v>
      </c>
      <c r="C2205" s="43" t="s">
        <v>289</v>
      </c>
      <c r="D2205" s="43" t="s">
        <v>316</v>
      </c>
      <c r="E2205" s="43" t="s">
        <v>170</v>
      </c>
    </row>
    <row r="2206" spans="1:5" x14ac:dyDescent="0.25">
      <c r="A2206" s="41">
        <v>7436</v>
      </c>
      <c r="B2206" s="42" t="s">
        <v>2581</v>
      </c>
      <c r="C2206" s="43" t="s">
        <v>289</v>
      </c>
      <c r="D2206" s="43" t="s">
        <v>1100</v>
      </c>
      <c r="E2206" s="43" t="s">
        <v>531</v>
      </c>
    </row>
    <row r="2207" spans="1:5" x14ac:dyDescent="0.25">
      <c r="A2207" s="41">
        <v>7449</v>
      </c>
      <c r="B2207" s="42" t="s">
        <v>2582</v>
      </c>
      <c r="C2207" s="43" t="s">
        <v>289</v>
      </c>
      <c r="D2207" s="43" t="s">
        <v>996</v>
      </c>
      <c r="E2207" s="43" t="s">
        <v>464</v>
      </c>
    </row>
    <row r="2208" spans="1:5" x14ac:dyDescent="0.25">
      <c r="A2208" s="41">
        <v>7460</v>
      </c>
      <c r="B2208" s="42" t="s">
        <v>2583</v>
      </c>
      <c r="C2208" s="43" t="s">
        <v>289</v>
      </c>
      <c r="D2208" s="43" t="s">
        <v>433</v>
      </c>
      <c r="E2208" s="43" t="s">
        <v>454</v>
      </c>
    </row>
    <row r="2209" spans="1:5" x14ac:dyDescent="0.25">
      <c r="A2209" s="41">
        <v>7461</v>
      </c>
      <c r="B2209" s="42" t="s">
        <v>2584</v>
      </c>
      <c r="C2209" s="43" t="s">
        <v>289</v>
      </c>
      <c r="D2209" s="43" t="s">
        <v>433</v>
      </c>
      <c r="E2209" s="43" t="s">
        <v>454</v>
      </c>
    </row>
    <row r="2210" spans="1:5" x14ac:dyDescent="0.25">
      <c r="A2210" s="41">
        <v>7467</v>
      </c>
      <c r="B2210" s="42" t="s">
        <v>2585</v>
      </c>
      <c r="C2210" s="43" t="s">
        <v>289</v>
      </c>
      <c r="D2210" s="43" t="s">
        <v>327</v>
      </c>
      <c r="E2210" s="43" t="s">
        <v>336</v>
      </c>
    </row>
    <row r="2211" spans="1:5" x14ac:dyDescent="0.25">
      <c r="A2211" s="41">
        <v>7473</v>
      </c>
      <c r="B2211" s="42" t="s">
        <v>2586</v>
      </c>
      <c r="C2211" s="43" t="s">
        <v>289</v>
      </c>
      <c r="D2211" s="43" t="s">
        <v>327</v>
      </c>
      <c r="E2211" s="43" t="s">
        <v>230</v>
      </c>
    </row>
    <row r="2212" spans="1:5" x14ac:dyDescent="0.25">
      <c r="A2212" s="41">
        <v>7482</v>
      </c>
      <c r="B2212" s="42" t="s">
        <v>2587</v>
      </c>
      <c r="C2212" s="43" t="s">
        <v>289</v>
      </c>
      <c r="D2212" s="43" t="s">
        <v>996</v>
      </c>
      <c r="E2212" s="43" t="s">
        <v>230</v>
      </c>
    </row>
    <row r="2213" spans="1:5" x14ac:dyDescent="0.25">
      <c r="A2213" s="41">
        <v>7484</v>
      </c>
      <c r="B2213" s="42" t="s">
        <v>2588</v>
      </c>
      <c r="C2213" s="43" t="s">
        <v>289</v>
      </c>
      <c r="D2213" s="43" t="s">
        <v>468</v>
      </c>
      <c r="E2213" s="43" t="s">
        <v>531</v>
      </c>
    </row>
    <row r="2214" spans="1:5" x14ac:dyDescent="0.25">
      <c r="A2214" s="41">
        <v>7487</v>
      </c>
      <c r="B2214" s="42" t="s">
        <v>2589</v>
      </c>
      <c r="C2214" s="43" t="s">
        <v>289</v>
      </c>
      <c r="D2214" s="43" t="s">
        <v>468</v>
      </c>
      <c r="E2214" s="43" t="s">
        <v>230</v>
      </c>
    </row>
    <row r="2215" spans="1:5" x14ac:dyDescent="0.25">
      <c r="A2215" s="41">
        <v>7489</v>
      </c>
      <c r="B2215" s="42" t="s">
        <v>2590</v>
      </c>
      <c r="C2215" s="43" t="s">
        <v>289</v>
      </c>
      <c r="D2215" s="43" t="s">
        <v>327</v>
      </c>
      <c r="E2215" s="43" t="s">
        <v>230</v>
      </c>
    </row>
    <row r="2216" spans="1:5" x14ac:dyDescent="0.25">
      <c r="A2216" s="41">
        <v>7493</v>
      </c>
      <c r="B2216" s="42" t="s">
        <v>2591</v>
      </c>
      <c r="C2216" s="43" t="s">
        <v>289</v>
      </c>
      <c r="D2216" s="43" t="s">
        <v>327</v>
      </c>
      <c r="E2216" s="43" t="s">
        <v>230</v>
      </c>
    </row>
    <row r="2217" spans="1:5" x14ac:dyDescent="0.25">
      <c r="A2217" s="41">
        <v>7494</v>
      </c>
      <c r="B2217" s="42" t="s">
        <v>2592</v>
      </c>
      <c r="C2217" s="43" t="s">
        <v>289</v>
      </c>
      <c r="D2217" s="43" t="s">
        <v>327</v>
      </c>
      <c r="E2217" s="43" t="s">
        <v>230</v>
      </c>
    </row>
    <row r="2218" spans="1:5" x14ac:dyDescent="0.25">
      <c r="A2218" s="41">
        <v>7495</v>
      </c>
      <c r="B2218" s="42" t="s">
        <v>2593</v>
      </c>
      <c r="C2218" s="43" t="s">
        <v>289</v>
      </c>
      <c r="D2218" s="43" t="s">
        <v>327</v>
      </c>
      <c r="E2218" s="43" t="s">
        <v>230</v>
      </c>
    </row>
    <row r="2219" spans="1:5" x14ac:dyDescent="0.25">
      <c r="A2219" s="41">
        <v>7510</v>
      </c>
      <c r="B2219" s="42" t="s">
        <v>2594</v>
      </c>
      <c r="C2219" s="43" t="s">
        <v>289</v>
      </c>
      <c r="D2219" s="43" t="s">
        <v>327</v>
      </c>
      <c r="E2219" s="43" t="s">
        <v>464</v>
      </c>
    </row>
    <row r="2220" spans="1:5" x14ac:dyDescent="0.25">
      <c r="A2220" s="41">
        <v>7527</v>
      </c>
      <c r="B2220" s="42" t="s">
        <v>2595</v>
      </c>
      <c r="C2220" s="43" t="s">
        <v>289</v>
      </c>
      <c r="D2220" s="43" t="s">
        <v>327</v>
      </c>
      <c r="E2220" s="43" t="s">
        <v>464</v>
      </c>
    </row>
    <row r="2221" spans="1:5" x14ac:dyDescent="0.25">
      <c r="A2221" s="41">
        <v>7532</v>
      </c>
      <c r="B2221" s="42" t="s">
        <v>2596</v>
      </c>
      <c r="C2221" s="43" t="s">
        <v>289</v>
      </c>
      <c r="D2221" s="43" t="s">
        <v>996</v>
      </c>
      <c r="E2221" s="43" t="s">
        <v>230</v>
      </c>
    </row>
    <row r="2222" spans="1:5" x14ac:dyDescent="0.25">
      <c r="A2222" s="41">
        <v>7533</v>
      </c>
      <c r="B2222" s="42" t="s">
        <v>2597</v>
      </c>
      <c r="C2222" s="43" t="s">
        <v>289</v>
      </c>
      <c r="D2222" s="43" t="s">
        <v>996</v>
      </c>
      <c r="E2222" s="43" t="s">
        <v>230</v>
      </c>
    </row>
    <row r="2223" spans="1:5" x14ac:dyDescent="0.25">
      <c r="A2223" s="41">
        <v>7537</v>
      </c>
      <c r="B2223" s="42" t="s">
        <v>2598</v>
      </c>
      <c r="C2223" s="43" t="s">
        <v>289</v>
      </c>
      <c r="D2223" s="43" t="s">
        <v>996</v>
      </c>
      <c r="E2223" s="43" t="s">
        <v>230</v>
      </c>
    </row>
    <row r="2224" spans="1:5" x14ac:dyDescent="0.25">
      <c r="A2224" s="41">
        <v>7538</v>
      </c>
      <c r="B2224" s="42" t="s">
        <v>481</v>
      </c>
      <c r="C2224" s="43" t="s">
        <v>289</v>
      </c>
      <c r="D2224" s="43" t="s">
        <v>482</v>
      </c>
      <c r="E2224" s="43" t="s">
        <v>336</v>
      </c>
    </row>
    <row r="2225" spans="1:5" x14ac:dyDescent="0.25">
      <c r="A2225" s="41">
        <v>7545</v>
      </c>
      <c r="B2225" s="42" t="s">
        <v>2599</v>
      </c>
      <c r="C2225" s="43" t="s">
        <v>289</v>
      </c>
      <c r="D2225" s="43" t="s">
        <v>314</v>
      </c>
      <c r="E2225" s="43" t="s">
        <v>464</v>
      </c>
    </row>
    <row r="2226" spans="1:5" x14ac:dyDescent="0.25">
      <c r="A2226" s="41">
        <v>7571</v>
      </c>
      <c r="B2226" s="42" t="s">
        <v>2600</v>
      </c>
      <c r="C2226" s="43" t="s">
        <v>289</v>
      </c>
      <c r="D2226" s="43" t="s">
        <v>327</v>
      </c>
      <c r="E2226" s="43" t="s">
        <v>864</v>
      </c>
    </row>
    <row r="2227" spans="1:5" x14ac:dyDescent="0.25">
      <c r="A2227" s="41">
        <v>7574</v>
      </c>
      <c r="B2227" s="42" t="s">
        <v>2601</v>
      </c>
      <c r="C2227" s="43" t="s">
        <v>289</v>
      </c>
      <c r="D2227" s="43" t="s">
        <v>327</v>
      </c>
      <c r="E2227" s="43" t="s">
        <v>864</v>
      </c>
    </row>
    <row r="2228" spans="1:5" x14ac:dyDescent="0.25">
      <c r="A2228" s="41">
        <v>7586</v>
      </c>
      <c r="B2228" s="42" t="s">
        <v>2602</v>
      </c>
      <c r="C2228" s="43" t="s">
        <v>289</v>
      </c>
      <c r="D2228" s="43" t="s">
        <v>314</v>
      </c>
      <c r="E2228" s="43" t="s">
        <v>230</v>
      </c>
    </row>
    <row r="2229" spans="1:5" x14ac:dyDescent="0.25">
      <c r="A2229" s="41">
        <v>7587</v>
      </c>
      <c r="B2229" s="42" t="s">
        <v>2603</v>
      </c>
      <c r="C2229" s="43" t="s">
        <v>289</v>
      </c>
      <c r="D2229" s="43" t="s">
        <v>327</v>
      </c>
      <c r="E2229" s="43" t="s">
        <v>531</v>
      </c>
    </row>
    <row r="2230" spans="1:5" x14ac:dyDescent="0.25">
      <c r="A2230" s="41">
        <v>7595</v>
      </c>
      <c r="B2230" s="42" t="s">
        <v>2604</v>
      </c>
      <c r="C2230" s="43" t="s">
        <v>289</v>
      </c>
      <c r="D2230" s="43" t="s">
        <v>474</v>
      </c>
      <c r="E2230" s="43" t="s">
        <v>230</v>
      </c>
    </row>
    <row r="2231" spans="1:5" x14ac:dyDescent="0.25">
      <c r="A2231" s="41">
        <v>7599</v>
      </c>
      <c r="B2231" s="42" t="s">
        <v>2605</v>
      </c>
      <c r="C2231" s="43" t="s">
        <v>289</v>
      </c>
      <c r="D2231" s="43" t="s">
        <v>1100</v>
      </c>
      <c r="E2231" s="43" t="s">
        <v>230</v>
      </c>
    </row>
    <row r="2232" spans="1:5" x14ac:dyDescent="0.25">
      <c r="A2232" s="41">
        <v>7600</v>
      </c>
      <c r="B2232" s="42" t="s">
        <v>2606</v>
      </c>
      <c r="C2232" s="43" t="s">
        <v>289</v>
      </c>
      <c r="D2232" s="43" t="s">
        <v>1100</v>
      </c>
      <c r="E2232" s="43" t="s">
        <v>230</v>
      </c>
    </row>
    <row r="2233" spans="1:5" x14ac:dyDescent="0.25">
      <c r="A2233" s="41">
        <v>7604</v>
      </c>
      <c r="B2233" s="42" t="s">
        <v>2607</v>
      </c>
      <c r="C2233" s="43" t="s">
        <v>289</v>
      </c>
      <c r="D2233" s="43" t="s">
        <v>316</v>
      </c>
      <c r="E2233" s="43" t="s">
        <v>230</v>
      </c>
    </row>
    <row r="2234" spans="1:5" x14ac:dyDescent="0.25">
      <c r="A2234" s="41">
        <v>7610</v>
      </c>
      <c r="B2234" s="42" t="s">
        <v>2608</v>
      </c>
      <c r="C2234" s="43" t="s">
        <v>289</v>
      </c>
      <c r="D2234" s="43" t="s">
        <v>316</v>
      </c>
      <c r="E2234" s="43" t="s">
        <v>230</v>
      </c>
    </row>
    <row r="2235" spans="1:5" x14ac:dyDescent="0.25">
      <c r="A2235" s="41">
        <v>7629</v>
      </c>
      <c r="B2235" s="42" t="s">
        <v>2609</v>
      </c>
      <c r="C2235" s="43" t="s">
        <v>289</v>
      </c>
      <c r="D2235" s="43" t="s">
        <v>327</v>
      </c>
      <c r="E2235" s="43" t="s">
        <v>454</v>
      </c>
    </row>
    <row r="2236" spans="1:5" x14ac:dyDescent="0.25">
      <c r="A2236" s="41">
        <v>7630</v>
      </c>
      <c r="B2236" s="42" t="s">
        <v>2610</v>
      </c>
      <c r="C2236" s="43" t="s">
        <v>289</v>
      </c>
      <c r="D2236" s="43" t="s">
        <v>327</v>
      </c>
      <c r="E2236" s="43" t="s">
        <v>230</v>
      </c>
    </row>
    <row r="2237" spans="1:5" x14ac:dyDescent="0.25">
      <c r="A2237" s="41">
        <v>7631</v>
      </c>
      <c r="B2237" s="42" t="s">
        <v>2611</v>
      </c>
      <c r="C2237" s="43" t="s">
        <v>289</v>
      </c>
      <c r="D2237" s="43" t="s">
        <v>327</v>
      </c>
      <c r="E2237" s="43" t="s">
        <v>230</v>
      </c>
    </row>
    <row r="2238" spans="1:5" x14ac:dyDescent="0.25">
      <c r="A2238" s="41">
        <v>7633</v>
      </c>
      <c r="B2238" s="42" t="s">
        <v>2612</v>
      </c>
      <c r="C2238" s="43" t="s">
        <v>289</v>
      </c>
      <c r="D2238" s="43" t="s">
        <v>327</v>
      </c>
      <c r="E2238" s="43" t="s">
        <v>230</v>
      </c>
    </row>
    <row r="2239" spans="1:5" x14ac:dyDescent="0.25">
      <c r="A2239" s="41">
        <v>7637</v>
      </c>
      <c r="B2239" s="42" t="s">
        <v>2613</v>
      </c>
      <c r="C2239" s="43" t="s">
        <v>289</v>
      </c>
      <c r="D2239" s="43" t="s">
        <v>327</v>
      </c>
      <c r="E2239" s="43" t="s">
        <v>230</v>
      </c>
    </row>
    <row r="2240" spans="1:5" x14ac:dyDescent="0.25">
      <c r="A2240" s="41">
        <v>7638</v>
      </c>
      <c r="B2240" s="42" t="s">
        <v>2614</v>
      </c>
      <c r="C2240" s="43" t="s">
        <v>289</v>
      </c>
      <c r="D2240" s="43" t="s">
        <v>327</v>
      </c>
      <c r="E2240" s="43" t="s">
        <v>230</v>
      </c>
    </row>
    <row r="2241" spans="1:5" x14ac:dyDescent="0.25">
      <c r="A2241" s="41">
        <v>7639</v>
      </c>
      <c r="B2241" s="42" t="s">
        <v>2615</v>
      </c>
      <c r="C2241" s="43" t="s">
        <v>289</v>
      </c>
      <c r="D2241" s="43" t="s">
        <v>327</v>
      </c>
      <c r="E2241" s="43" t="s">
        <v>230</v>
      </c>
    </row>
    <row r="2242" spans="1:5" x14ac:dyDescent="0.25">
      <c r="A2242" s="41">
        <v>7641</v>
      </c>
      <c r="B2242" s="42" t="s">
        <v>2616</v>
      </c>
      <c r="C2242" s="43" t="s">
        <v>289</v>
      </c>
      <c r="D2242" s="43" t="s">
        <v>327</v>
      </c>
      <c r="E2242" s="43" t="s">
        <v>483</v>
      </c>
    </row>
    <row r="2243" spans="1:5" x14ac:dyDescent="0.25">
      <c r="A2243" s="41">
        <v>7644</v>
      </c>
      <c r="B2243" s="42" t="s">
        <v>2617</v>
      </c>
      <c r="C2243" s="43" t="s">
        <v>289</v>
      </c>
      <c r="D2243" s="43" t="s">
        <v>327</v>
      </c>
      <c r="E2243" s="43" t="s">
        <v>230</v>
      </c>
    </row>
    <row r="2244" spans="1:5" x14ac:dyDescent="0.25">
      <c r="A2244" s="41">
        <v>7645</v>
      </c>
      <c r="B2244" s="42" t="s">
        <v>2618</v>
      </c>
      <c r="C2244" s="43" t="s">
        <v>289</v>
      </c>
      <c r="D2244" s="43" t="s">
        <v>327</v>
      </c>
      <c r="E2244" s="43" t="s">
        <v>483</v>
      </c>
    </row>
    <row r="2245" spans="1:5" x14ac:dyDescent="0.25">
      <c r="A2245" s="41">
        <v>7647</v>
      </c>
      <c r="B2245" s="42" t="s">
        <v>2619</v>
      </c>
      <c r="C2245" s="43" t="s">
        <v>289</v>
      </c>
      <c r="D2245" s="43" t="s">
        <v>795</v>
      </c>
      <c r="E2245" s="43" t="s">
        <v>483</v>
      </c>
    </row>
    <row r="2246" spans="1:5" x14ac:dyDescent="0.25">
      <c r="A2246" s="41">
        <v>7650</v>
      </c>
      <c r="B2246" s="42" t="s">
        <v>2620</v>
      </c>
      <c r="C2246" s="43" t="s">
        <v>289</v>
      </c>
      <c r="D2246" s="43" t="s">
        <v>845</v>
      </c>
      <c r="E2246" s="43" t="s">
        <v>230</v>
      </c>
    </row>
    <row r="2247" spans="1:5" x14ac:dyDescent="0.25">
      <c r="A2247" s="41">
        <v>7651</v>
      </c>
      <c r="B2247" s="42" t="s">
        <v>2621</v>
      </c>
      <c r="C2247" s="43" t="s">
        <v>289</v>
      </c>
      <c r="D2247" s="43" t="s">
        <v>811</v>
      </c>
      <c r="E2247" s="43" t="s">
        <v>230</v>
      </c>
    </row>
    <row r="2248" spans="1:5" x14ac:dyDescent="0.25">
      <c r="A2248" s="41">
        <v>7652</v>
      </c>
      <c r="B2248" s="42" t="s">
        <v>2622</v>
      </c>
      <c r="C2248" s="43" t="s">
        <v>289</v>
      </c>
      <c r="D2248" s="43" t="s">
        <v>811</v>
      </c>
      <c r="E2248" s="43" t="s">
        <v>230</v>
      </c>
    </row>
    <row r="2249" spans="1:5" x14ac:dyDescent="0.25">
      <c r="A2249" s="41">
        <v>7657</v>
      </c>
      <c r="B2249" s="42" t="s">
        <v>2623</v>
      </c>
      <c r="C2249" s="43" t="s">
        <v>289</v>
      </c>
      <c r="D2249" s="43" t="s">
        <v>941</v>
      </c>
      <c r="E2249" s="43" t="s">
        <v>454</v>
      </c>
    </row>
    <row r="2250" spans="1:5" x14ac:dyDescent="0.25">
      <c r="A2250" s="41">
        <v>7660</v>
      </c>
      <c r="B2250" s="42" t="s">
        <v>2624</v>
      </c>
      <c r="C2250" s="43" t="s">
        <v>289</v>
      </c>
      <c r="D2250" s="43" t="s">
        <v>474</v>
      </c>
      <c r="E2250" s="43" t="s">
        <v>230</v>
      </c>
    </row>
    <row r="2251" spans="1:5" x14ac:dyDescent="0.25">
      <c r="A2251" s="41">
        <v>7661</v>
      </c>
      <c r="B2251" s="42" t="s">
        <v>2625</v>
      </c>
      <c r="C2251" s="43" t="s">
        <v>289</v>
      </c>
      <c r="D2251" s="43" t="s">
        <v>474</v>
      </c>
      <c r="E2251" s="43" t="s">
        <v>230</v>
      </c>
    </row>
    <row r="2252" spans="1:5" x14ac:dyDescent="0.25">
      <c r="A2252" s="41">
        <v>7665</v>
      </c>
      <c r="B2252" s="42" t="s">
        <v>2626</v>
      </c>
      <c r="C2252" s="43" t="s">
        <v>289</v>
      </c>
      <c r="D2252" s="43" t="s">
        <v>1779</v>
      </c>
      <c r="E2252" s="43" t="s">
        <v>230</v>
      </c>
    </row>
    <row r="2253" spans="1:5" x14ac:dyDescent="0.25">
      <c r="A2253" s="41">
        <v>7667</v>
      </c>
      <c r="B2253" s="42" t="s">
        <v>2627</v>
      </c>
      <c r="C2253" s="43" t="s">
        <v>289</v>
      </c>
      <c r="D2253" s="43" t="s">
        <v>1779</v>
      </c>
      <c r="E2253" s="43" t="s">
        <v>230</v>
      </c>
    </row>
    <row r="2254" spans="1:5" x14ac:dyDescent="0.25">
      <c r="A2254" s="41">
        <v>7668</v>
      </c>
      <c r="B2254" s="42" t="s">
        <v>2628</v>
      </c>
      <c r="C2254" s="43" t="s">
        <v>289</v>
      </c>
      <c r="D2254" s="43" t="s">
        <v>811</v>
      </c>
      <c r="E2254" s="43" t="s">
        <v>230</v>
      </c>
    </row>
    <row r="2255" spans="1:5" x14ac:dyDescent="0.25">
      <c r="A2255" s="41">
        <v>7672</v>
      </c>
      <c r="B2255" s="42" t="s">
        <v>2629</v>
      </c>
      <c r="C2255" s="43" t="s">
        <v>289</v>
      </c>
      <c r="D2255" s="43" t="s">
        <v>811</v>
      </c>
      <c r="E2255" s="43" t="s">
        <v>464</v>
      </c>
    </row>
    <row r="2256" spans="1:5" x14ac:dyDescent="0.25">
      <c r="A2256" s="41">
        <v>7674</v>
      </c>
      <c r="B2256" s="42" t="s">
        <v>2630</v>
      </c>
      <c r="C2256" s="43" t="s">
        <v>289</v>
      </c>
      <c r="D2256" s="43" t="s">
        <v>327</v>
      </c>
      <c r="E2256" s="43" t="s">
        <v>336</v>
      </c>
    </row>
    <row r="2257" spans="1:5" x14ac:dyDescent="0.25">
      <c r="A2257" s="41">
        <v>7682</v>
      </c>
      <c r="B2257" s="42" t="s">
        <v>2631</v>
      </c>
      <c r="C2257" s="43" t="s">
        <v>289</v>
      </c>
      <c r="D2257" s="43" t="s">
        <v>316</v>
      </c>
      <c r="E2257" s="43" t="s">
        <v>230</v>
      </c>
    </row>
    <row r="2258" spans="1:5" x14ac:dyDescent="0.25">
      <c r="A2258" s="41">
        <v>7684</v>
      </c>
      <c r="B2258" s="42" t="s">
        <v>2632</v>
      </c>
      <c r="C2258" s="43" t="s">
        <v>289</v>
      </c>
      <c r="D2258" s="43" t="s">
        <v>316</v>
      </c>
      <c r="E2258" s="43" t="s">
        <v>230</v>
      </c>
    </row>
    <row r="2259" spans="1:5" x14ac:dyDescent="0.25">
      <c r="A2259" s="41">
        <v>7685</v>
      </c>
      <c r="B2259" s="42" t="s">
        <v>2633</v>
      </c>
      <c r="C2259" s="43" t="s">
        <v>289</v>
      </c>
      <c r="D2259" s="43" t="s">
        <v>316</v>
      </c>
      <c r="E2259" s="43" t="s">
        <v>230</v>
      </c>
    </row>
    <row r="2260" spans="1:5" x14ac:dyDescent="0.25">
      <c r="A2260" s="41">
        <v>7686</v>
      </c>
      <c r="B2260" s="42" t="s">
        <v>2634</v>
      </c>
      <c r="C2260" s="43" t="s">
        <v>289</v>
      </c>
      <c r="D2260" s="43" t="s">
        <v>316</v>
      </c>
      <c r="E2260" s="43" t="s">
        <v>230</v>
      </c>
    </row>
    <row r="2261" spans="1:5" x14ac:dyDescent="0.25">
      <c r="A2261" s="41">
        <v>7691</v>
      </c>
      <c r="B2261" s="42" t="s">
        <v>2635</v>
      </c>
      <c r="C2261" s="43" t="s">
        <v>289</v>
      </c>
      <c r="D2261" s="43" t="s">
        <v>1112</v>
      </c>
      <c r="E2261" s="43" t="s">
        <v>230</v>
      </c>
    </row>
    <row r="2262" spans="1:5" x14ac:dyDescent="0.25">
      <c r="A2262" s="41">
        <v>7695</v>
      </c>
      <c r="B2262" s="42" t="s">
        <v>2636</v>
      </c>
      <c r="C2262" s="43" t="s">
        <v>289</v>
      </c>
      <c r="D2262" s="43" t="s">
        <v>375</v>
      </c>
      <c r="E2262" s="43" t="s">
        <v>230</v>
      </c>
    </row>
    <row r="2263" spans="1:5" x14ac:dyDescent="0.25">
      <c r="A2263" s="41">
        <v>7704</v>
      </c>
      <c r="B2263" s="42" t="s">
        <v>2637</v>
      </c>
      <c r="C2263" s="43" t="s">
        <v>289</v>
      </c>
      <c r="D2263" s="43" t="s">
        <v>327</v>
      </c>
      <c r="E2263" s="43" t="s">
        <v>230</v>
      </c>
    </row>
    <row r="2264" spans="1:5" x14ac:dyDescent="0.25">
      <c r="A2264" s="41">
        <v>7706</v>
      </c>
      <c r="B2264" s="42" t="s">
        <v>2638</v>
      </c>
      <c r="C2264" s="43" t="s">
        <v>289</v>
      </c>
      <c r="D2264" s="43" t="s">
        <v>996</v>
      </c>
      <c r="E2264" s="43" t="s">
        <v>230</v>
      </c>
    </row>
    <row r="2265" spans="1:5" x14ac:dyDescent="0.25">
      <c r="A2265" s="41">
        <v>7710</v>
      </c>
      <c r="B2265" s="42" t="s">
        <v>2639</v>
      </c>
      <c r="C2265" s="43" t="s">
        <v>289</v>
      </c>
      <c r="D2265" s="43" t="s">
        <v>435</v>
      </c>
      <c r="E2265" s="43" t="s">
        <v>230</v>
      </c>
    </row>
    <row r="2266" spans="1:5" x14ac:dyDescent="0.25">
      <c r="A2266" s="41">
        <v>7711</v>
      </c>
      <c r="B2266" s="42" t="s">
        <v>2640</v>
      </c>
      <c r="C2266" s="43" t="s">
        <v>289</v>
      </c>
      <c r="D2266" s="43" t="s">
        <v>1100</v>
      </c>
      <c r="E2266" s="43" t="s">
        <v>230</v>
      </c>
    </row>
    <row r="2267" spans="1:5" x14ac:dyDescent="0.25">
      <c r="A2267" s="41">
        <v>7714</v>
      </c>
      <c r="B2267" s="42" t="s">
        <v>2641</v>
      </c>
      <c r="C2267" s="43" t="s">
        <v>289</v>
      </c>
      <c r="D2267" s="43" t="s">
        <v>316</v>
      </c>
      <c r="E2267" s="43" t="s">
        <v>230</v>
      </c>
    </row>
    <row r="2268" spans="1:5" x14ac:dyDescent="0.25">
      <c r="A2268" s="41">
        <v>7715</v>
      </c>
      <c r="B2268" s="42" t="s">
        <v>2642</v>
      </c>
      <c r="C2268" s="43" t="s">
        <v>289</v>
      </c>
      <c r="D2268" s="43" t="s">
        <v>316</v>
      </c>
      <c r="E2268" s="43" t="s">
        <v>230</v>
      </c>
    </row>
    <row r="2269" spans="1:5" x14ac:dyDescent="0.25">
      <c r="A2269" s="41">
        <v>7717</v>
      </c>
      <c r="B2269" s="42" t="s">
        <v>2643</v>
      </c>
      <c r="C2269" s="43" t="s">
        <v>289</v>
      </c>
      <c r="D2269" s="43" t="s">
        <v>845</v>
      </c>
      <c r="E2269" s="43" t="s">
        <v>230</v>
      </c>
    </row>
    <row r="2270" spans="1:5" x14ac:dyDescent="0.25">
      <c r="A2270" s="41">
        <v>7719</v>
      </c>
      <c r="B2270" s="42" t="s">
        <v>2644</v>
      </c>
      <c r="C2270" s="43" t="s">
        <v>289</v>
      </c>
      <c r="D2270" s="43" t="s">
        <v>435</v>
      </c>
      <c r="E2270" s="43" t="s">
        <v>230</v>
      </c>
    </row>
    <row r="2271" spans="1:5" x14ac:dyDescent="0.25">
      <c r="A2271" s="41">
        <v>7720</v>
      </c>
      <c r="B2271" s="42" t="s">
        <v>2645</v>
      </c>
      <c r="C2271" s="43" t="s">
        <v>289</v>
      </c>
      <c r="D2271" s="43" t="s">
        <v>435</v>
      </c>
      <c r="E2271" s="43" t="s">
        <v>373</v>
      </c>
    </row>
    <row r="2272" spans="1:5" x14ac:dyDescent="0.25">
      <c r="A2272" s="41">
        <v>7721</v>
      </c>
      <c r="B2272" s="42" t="s">
        <v>2646</v>
      </c>
      <c r="C2272" s="43" t="s">
        <v>289</v>
      </c>
      <c r="D2272" s="43" t="s">
        <v>2647</v>
      </c>
      <c r="E2272" s="43" t="s">
        <v>230</v>
      </c>
    </row>
    <row r="2273" spans="1:5" x14ac:dyDescent="0.25">
      <c r="A2273" s="41">
        <v>7724</v>
      </c>
      <c r="B2273" s="42" t="s">
        <v>2648</v>
      </c>
      <c r="C2273" s="43" t="s">
        <v>289</v>
      </c>
      <c r="D2273" s="43" t="s">
        <v>1227</v>
      </c>
      <c r="E2273" s="43" t="s">
        <v>230</v>
      </c>
    </row>
    <row r="2274" spans="1:5" x14ac:dyDescent="0.25">
      <c r="A2274" s="41">
        <v>7726</v>
      </c>
      <c r="B2274" s="42" t="s">
        <v>2649</v>
      </c>
      <c r="C2274" s="43" t="s">
        <v>289</v>
      </c>
      <c r="D2274" s="43" t="s">
        <v>327</v>
      </c>
      <c r="E2274" s="43" t="s">
        <v>483</v>
      </c>
    </row>
    <row r="2275" spans="1:5" x14ac:dyDescent="0.25">
      <c r="A2275" s="41">
        <v>7727</v>
      </c>
      <c r="B2275" s="42" t="s">
        <v>2650</v>
      </c>
      <c r="C2275" s="43" t="s">
        <v>289</v>
      </c>
      <c r="D2275" s="43" t="s">
        <v>327</v>
      </c>
      <c r="E2275" s="43" t="s">
        <v>531</v>
      </c>
    </row>
    <row r="2276" spans="1:5" x14ac:dyDescent="0.25">
      <c r="A2276" s="41">
        <v>7728</v>
      </c>
      <c r="B2276" s="42" t="s">
        <v>2651</v>
      </c>
      <c r="C2276" s="43" t="s">
        <v>289</v>
      </c>
      <c r="D2276" s="43" t="s">
        <v>327</v>
      </c>
      <c r="E2276" s="43" t="s">
        <v>170</v>
      </c>
    </row>
    <row r="2277" spans="1:5" x14ac:dyDescent="0.25">
      <c r="A2277" s="41">
        <v>7731</v>
      </c>
      <c r="B2277" s="42" t="s">
        <v>2652</v>
      </c>
      <c r="C2277" s="43" t="s">
        <v>289</v>
      </c>
      <c r="D2277" s="43" t="s">
        <v>435</v>
      </c>
      <c r="E2277" s="43" t="s">
        <v>230</v>
      </c>
    </row>
    <row r="2278" spans="1:5" x14ac:dyDescent="0.25">
      <c r="A2278" s="41">
        <v>7734</v>
      </c>
      <c r="B2278" s="42" t="s">
        <v>2653</v>
      </c>
      <c r="C2278" s="43" t="s">
        <v>289</v>
      </c>
      <c r="D2278" s="43" t="s">
        <v>435</v>
      </c>
      <c r="E2278" s="43" t="s">
        <v>230</v>
      </c>
    </row>
    <row r="2279" spans="1:5" x14ac:dyDescent="0.25">
      <c r="A2279" s="41">
        <v>7739</v>
      </c>
      <c r="B2279" s="42" t="s">
        <v>2654</v>
      </c>
      <c r="C2279" s="43" t="s">
        <v>289</v>
      </c>
      <c r="D2279" s="43" t="s">
        <v>474</v>
      </c>
      <c r="E2279" s="43" t="s">
        <v>230</v>
      </c>
    </row>
    <row r="2280" spans="1:5" x14ac:dyDescent="0.25">
      <c r="A2280" s="41">
        <v>7744</v>
      </c>
      <c r="B2280" s="42" t="s">
        <v>2655</v>
      </c>
      <c r="C2280" s="43" t="s">
        <v>289</v>
      </c>
      <c r="D2280" s="43" t="s">
        <v>996</v>
      </c>
      <c r="E2280" s="43" t="s">
        <v>230</v>
      </c>
    </row>
    <row r="2281" spans="1:5" x14ac:dyDescent="0.25">
      <c r="A2281" s="41">
        <v>7747</v>
      </c>
      <c r="B2281" s="42" t="s">
        <v>2656</v>
      </c>
      <c r="C2281" s="43" t="s">
        <v>289</v>
      </c>
      <c r="D2281" s="43" t="s">
        <v>435</v>
      </c>
      <c r="E2281" s="43" t="s">
        <v>230</v>
      </c>
    </row>
    <row r="2282" spans="1:5" x14ac:dyDescent="0.25">
      <c r="A2282" s="41">
        <v>7748</v>
      </c>
      <c r="B2282" s="42" t="s">
        <v>2657</v>
      </c>
      <c r="C2282" s="43" t="s">
        <v>289</v>
      </c>
      <c r="D2282" s="43" t="s">
        <v>327</v>
      </c>
      <c r="E2282" s="43" t="s">
        <v>230</v>
      </c>
    </row>
    <row r="2283" spans="1:5" x14ac:dyDescent="0.25">
      <c r="A2283" s="41">
        <v>7749</v>
      </c>
      <c r="B2283" s="42" t="s">
        <v>2658</v>
      </c>
      <c r="C2283" s="43" t="s">
        <v>289</v>
      </c>
      <c r="D2283" s="43" t="s">
        <v>327</v>
      </c>
      <c r="E2283" s="43" t="s">
        <v>230</v>
      </c>
    </row>
    <row r="2284" spans="1:5" x14ac:dyDescent="0.25">
      <c r="A2284" s="41">
        <v>7750</v>
      </c>
      <c r="B2284" s="42" t="s">
        <v>2659</v>
      </c>
      <c r="C2284" s="43" t="s">
        <v>289</v>
      </c>
      <c r="D2284" s="43" t="s">
        <v>327</v>
      </c>
      <c r="E2284" s="43" t="s">
        <v>230</v>
      </c>
    </row>
    <row r="2285" spans="1:5" x14ac:dyDescent="0.25">
      <c r="A2285" s="41">
        <v>7751</v>
      </c>
      <c r="B2285" s="42" t="s">
        <v>2660</v>
      </c>
      <c r="C2285" s="43" t="s">
        <v>289</v>
      </c>
      <c r="D2285" s="43" t="s">
        <v>1088</v>
      </c>
      <c r="E2285" s="43" t="s">
        <v>769</v>
      </c>
    </row>
    <row r="2286" spans="1:5" x14ac:dyDescent="0.25">
      <c r="A2286" s="41">
        <v>7755</v>
      </c>
      <c r="B2286" s="42" t="s">
        <v>2661</v>
      </c>
      <c r="C2286" s="43" t="s">
        <v>289</v>
      </c>
      <c r="D2286" s="43" t="s">
        <v>327</v>
      </c>
      <c r="E2286" s="43" t="s">
        <v>769</v>
      </c>
    </row>
    <row r="2287" spans="1:5" x14ac:dyDescent="0.25">
      <c r="A2287" s="41">
        <v>7763</v>
      </c>
      <c r="B2287" s="42" t="s">
        <v>2662</v>
      </c>
      <c r="C2287" s="43" t="s">
        <v>289</v>
      </c>
      <c r="D2287" s="43" t="s">
        <v>468</v>
      </c>
      <c r="E2287" s="43" t="s">
        <v>336</v>
      </c>
    </row>
    <row r="2288" spans="1:5" x14ac:dyDescent="0.25">
      <c r="A2288" s="41">
        <v>7773</v>
      </c>
      <c r="B2288" s="42" t="s">
        <v>2663</v>
      </c>
      <c r="C2288" s="43" t="s">
        <v>289</v>
      </c>
      <c r="D2288" s="43" t="s">
        <v>482</v>
      </c>
      <c r="E2288" s="43" t="s">
        <v>472</v>
      </c>
    </row>
    <row r="2289" spans="1:5" x14ac:dyDescent="0.25">
      <c r="A2289" s="41">
        <v>7776</v>
      </c>
      <c r="B2289" s="42" t="s">
        <v>2664</v>
      </c>
      <c r="C2289" s="43" t="s">
        <v>289</v>
      </c>
      <c r="D2289" s="43" t="s">
        <v>468</v>
      </c>
      <c r="E2289" s="43" t="s">
        <v>230</v>
      </c>
    </row>
    <row r="2290" spans="1:5" x14ac:dyDescent="0.25">
      <c r="A2290" s="41">
        <v>7791</v>
      </c>
      <c r="B2290" s="42" t="s">
        <v>2665</v>
      </c>
      <c r="C2290" s="43" t="s">
        <v>289</v>
      </c>
      <c r="D2290" s="43" t="s">
        <v>795</v>
      </c>
      <c r="E2290" s="43" t="s">
        <v>373</v>
      </c>
    </row>
    <row r="2291" spans="1:5" x14ac:dyDescent="0.25">
      <c r="A2291" s="41">
        <v>7799</v>
      </c>
      <c r="B2291" s="42" t="s">
        <v>2666</v>
      </c>
      <c r="C2291" s="43" t="s">
        <v>289</v>
      </c>
      <c r="D2291" s="43" t="s">
        <v>2667</v>
      </c>
      <c r="E2291" s="43" t="s">
        <v>769</v>
      </c>
    </row>
    <row r="2292" spans="1:5" x14ac:dyDescent="0.25">
      <c r="A2292" s="41">
        <v>7826</v>
      </c>
      <c r="B2292" s="42" t="s">
        <v>2668</v>
      </c>
      <c r="C2292" s="43" t="s">
        <v>289</v>
      </c>
      <c r="D2292" s="43" t="s">
        <v>327</v>
      </c>
      <c r="E2292" s="43" t="s">
        <v>230</v>
      </c>
    </row>
    <row r="2293" spans="1:5" x14ac:dyDescent="0.25">
      <c r="A2293" s="41">
        <v>7830</v>
      </c>
      <c r="B2293" s="42" t="s">
        <v>2669</v>
      </c>
      <c r="C2293" s="43" t="s">
        <v>289</v>
      </c>
      <c r="D2293" s="43" t="s">
        <v>327</v>
      </c>
      <c r="E2293" s="43" t="s">
        <v>230</v>
      </c>
    </row>
    <row r="2294" spans="1:5" x14ac:dyDescent="0.25">
      <c r="A2294" s="41">
        <v>7831</v>
      </c>
      <c r="B2294" s="42" t="s">
        <v>2670</v>
      </c>
      <c r="C2294" s="43" t="s">
        <v>289</v>
      </c>
      <c r="D2294" s="43" t="s">
        <v>327</v>
      </c>
      <c r="E2294" s="43" t="s">
        <v>230</v>
      </c>
    </row>
    <row r="2295" spans="1:5" x14ac:dyDescent="0.25">
      <c r="A2295" s="41">
        <v>7833</v>
      </c>
      <c r="B2295" s="42" t="s">
        <v>2671</v>
      </c>
      <c r="C2295" s="43" t="s">
        <v>289</v>
      </c>
      <c r="D2295" s="43" t="s">
        <v>327</v>
      </c>
      <c r="E2295" s="43" t="s">
        <v>230</v>
      </c>
    </row>
    <row r="2296" spans="1:5" x14ac:dyDescent="0.25">
      <c r="A2296" s="41">
        <v>7834</v>
      </c>
      <c r="B2296" s="42" t="s">
        <v>2672</v>
      </c>
      <c r="C2296" s="43" t="s">
        <v>289</v>
      </c>
      <c r="D2296" s="43" t="s">
        <v>327</v>
      </c>
      <c r="E2296" s="43" t="s">
        <v>230</v>
      </c>
    </row>
    <row r="2297" spans="1:5" x14ac:dyDescent="0.25">
      <c r="A2297" s="41">
        <v>7836</v>
      </c>
      <c r="B2297" s="42" t="s">
        <v>2673</v>
      </c>
      <c r="C2297" s="43" t="s">
        <v>289</v>
      </c>
      <c r="D2297" s="43" t="s">
        <v>327</v>
      </c>
      <c r="E2297" s="43" t="s">
        <v>230</v>
      </c>
    </row>
    <row r="2298" spans="1:5" x14ac:dyDescent="0.25">
      <c r="A2298" s="41">
        <v>7839</v>
      </c>
      <c r="B2298" s="42" t="s">
        <v>2674</v>
      </c>
      <c r="C2298" s="43" t="s">
        <v>289</v>
      </c>
      <c r="D2298" s="43" t="s">
        <v>327</v>
      </c>
      <c r="E2298" s="43" t="s">
        <v>864</v>
      </c>
    </row>
    <row r="2299" spans="1:5" x14ac:dyDescent="0.25">
      <c r="A2299" s="41">
        <v>7844</v>
      </c>
      <c r="B2299" s="42" t="s">
        <v>2675</v>
      </c>
      <c r="C2299" s="43" t="s">
        <v>289</v>
      </c>
      <c r="D2299" s="43" t="s">
        <v>327</v>
      </c>
      <c r="E2299" s="43" t="s">
        <v>230</v>
      </c>
    </row>
    <row r="2300" spans="1:5" x14ac:dyDescent="0.25">
      <c r="A2300" s="41">
        <v>7850</v>
      </c>
      <c r="B2300" s="42" t="s">
        <v>2676</v>
      </c>
      <c r="C2300" s="43" t="s">
        <v>289</v>
      </c>
      <c r="D2300" s="43" t="s">
        <v>327</v>
      </c>
      <c r="E2300" s="43" t="s">
        <v>230</v>
      </c>
    </row>
    <row r="2301" spans="1:5" x14ac:dyDescent="0.25">
      <c r="A2301" s="41">
        <v>7855</v>
      </c>
      <c r="B2301" s="42" t="s">
        <v>2677</v>
      </c>
      <c r="C2301" s="43" t="s">
        <v>289</v>
      </c>
      <c r="D2301" s="43" t="s">
        <v>996</v>
      </c>
      <c r="E2301" s="43" t="s">
        <v>230</v>
      </c>
    </row>
    <row r="2302" spans="1:5" x14ac:dyDescent="0.25">
      <c r="A2302" s="41">
        <v>7864</v>
      </c>
      <c r="B2302" s="42" t="s">
        <v>2678</v>
      </c>
      <c r="C2302" s="43" t="s">
        <v>289</v>
      </c>
      <c r="D2302" s="43" t="s">
        <v>327</v>
      </c>
      <c r="E2302" s="43" t="s">
        <v>464</v>
      </c>
    </row>
    <row r="2303" spans="1:5" x14ac:dyDescent="0.25">
      <c r="A2303" s="41">
        <v>7871</v>
      </c>
      <c r="B2303" s="42" t="s">
        <v>2679</v>
      </c>
      <c r="C2303" s="43" t="s">
        <v>289</v>
      </c>
      <c r="D2303" s="43" t="s">
        <v>1141</v>
      </c>
      <c r="E2303" s="43" t="s">
        <v>230</v>
      </c>
    </row>
    <row r="2304" spans="1:5" x14ac:dyDescent="0.25">
      <c r="A2304" s="41">
        <v>7874</v>
      </c>
      <c r="B2304" s="42" t="s">
        <v>2680</v>
      </c>
      <c r="C2304" s="43" t="s">
        <v>289</v>
      </c>
      <c r="D2304" s="43" t="s">
        <v>316</v>
      </c>
      <c r="E2304" s="43" t="s">
        <v>454</v>
      </c>
    </row>
    <row r="2305" spans="1:5" x14ac:dyDescent="0.25">
      <c r="A2305" s="41">
        <v>7875</v>
      </c>
      <c r="B2305" s="42" t="s">
        <v>2681</v>
      </c>
      <c r="C2305" s="43" t="s">
        <v>289</v>
      </c>
      <c r="D2305" s="43" t="s">
        <v>316</v>
      </c>
      <c r="E2305" s="43" t="s">
        <v>230</v>
      </c>
    </row>
    <row r="2306" spans="1:5" x14ac:dyDescent="0.25">
      <c r="A2306" s="41">
        <v>7878</v>
      </c>
      <c r="B2306" s="42" t="s">
        <v>2682</v>
      </c>
      <c r="C2306" s="43" t="s">
        <v>289</v>
      </c>
      <c r="D2306" s="43" t="s">
        <v>327</v>
      </c>
      <c r="E2306" s="43" t="s">
        <v>864</v>
      </c>
    </row>
    <row r="2307" spans="1:5" x14ac:dyDescent="0.25">
      <c r="A2307" s="41">
        <v>7880</v>
      </c>
      <c r="B2307" s="42" t="s">
        <v>2683</v>
      </c>
      <c r="C2307" s="43" t="s">
        <v>289</v>
      </c>
      <c r="D2307" s="43" t="s">
        <v>375</v>
      </c>
      <c r="E2307" s="43" t="s">
        <v>864</v>
      </c>
    </row>
    <row r="2308" spans="1:5" x14ac:dyDescent="0.25">
      <c r="A2308" s="41">
        <v>7884</v>
      </c>
      <c r="B2308" s="42" t="s">
        <v>2684</v>
      </c>
      <c r="C2308" s="43" t="s">
        <v>289</v>
      </c>
      <c r="D2308" s="43" t="s">
        <v>474</v>
      </c>
      <c r="E2308" s="43" t="s">
        <v>230</v>
      </c>
    </row>
    <row r="2309" spans="1:5" x14ac:dyDescent="0.25">
      <c r="A2309" s="41">
        <v>7886</v>
      </c>
      <c r="B2309" s="42" t="s">
        <v>2685</v>
      </c>
      <c r="C2309" s="43" t="s">
        <v>289</v>
      </c>
      <c r="D2309" s="43" t="s">
        <v>314</v>
      </c>
      <c r="E2309" s="43" t="s">
        <v>464</v>
      </c>
    </row>
    <row r="2310" spans="1:5" x14ac:dyDescent="0.25">
      <c r="A2310" s="41">
        <v>7889</v>
      </c>
      <c r="B2310" s="42" t="s">
        <v>2686</v>
      </c>
      <c r="C2310" s="43" t="s">
        <v>289</v>
      </c>
      <c r="D2310" s="43" t="s">
        <v>327</v>
      </c>
      <c r="E2310" s="43" t="s">
        <v>354</v>
      </c>
    </row>
    <row r="2311" spans="1:5" x14ac:dyDescent="0.25">
      <c r="A2311" s="41">
        <v>7895</v>
      </c>
      <c r="B2311" s="42" t="s">
        <v>2687</v>
      </c>
      <c r="C2311" s="43" t="s">
        <v>289</v>
      </c>
      <c r="D2311" s="43" t="s">
        <v>327</v>
      </c>
      <c r="E2311" s="43" t="s">
        <v>373</v>
      </c>
    </row>
    <row r="2312" spans="1:5" x14ac:dyDescent="0.25">
      <c r="A2312" s="41">
        <v>7897</v>
      </c>
      <c r="B2312" s="42" t="s">
        <v>2688</v>
      </c>
      <c r="C2312" s="43" t="s">
        <v>289</v>
      </c>
      <c r="D2312" s="43" t="s">
        <v>468</v>
      </c>
      <c r="E2312" s="43" t="s">
        <v>464</v>
      </c>
    </row>
    <row r="2313" spans="1:5" x14ac:dyDescent="0.25">
      <c r="A2313" s="41">
        <v>7902</v>
      </c>
      <c r="B2313" s="42" t="s">
        <v>2689</v>
      </c>
      <c r="C2313" s="43" t="s">
        <v>289</v>
      </c>
      <c r="D2313" s="43" t="s">
        <v>335</v>
      </c>
      <c r="E2313" s="43" t="s">
        <v>464</v>
      </c>
    </row>
    <row r="2314" spans="1:5" x14ac:dyDescent="0.25">
      <c r="A2314" s="41">
        <v>7909</v>
      </c>
      <c r="B2314" s="42" t="s">
        <v>2690</v>
      </c>
      <c r="C2314" s="43" t="s">
        <v>289</v>
      </c>
      <c r="D2314" s="43" t="s">
        <v>996</v>
      </c>
      <c r="E2314" s="43" t="s">
        <v>464</v>
      </c>
    </row>
    <row r="2315" spans="1:5" x14ac:dyDescent="0.25">
      <c r="A2315" s="41">
        <v>7911</v>
      </c>
      <c r="B2315" s="42" t="s">
        <v>2691</v>
      </c>
      <c r="C2315" s="43" t="s">
        <v>289</v>
      </c>
      <c r="D2315" s="43" t="s">
        <v>327</v>
      </c>
      <c r="E2315" s="43" t="s">
        <v>464</v>
      </c>
    </row>
    <row r="2316" spans="1:5" x14ac:dyDescent="0.25">
      <c r="A2316" s="41">
        <v>7915</v>
      </c>
      <c r="B2316" s="42" t="s">
        <v>2692</v>
      </c>
      <c r="C2316" s="43" t="s">
        <v>289</v>
      </c>
      <c r="D2316" s="43" t="s">
        <v>327</v>
      </c>
      <c r="E2316" s="43" t="s">
        <v>464</v>
      </c>
    </row>
    <row r="2317" spans="1:5" x14ac:dyDescent="0.25">
      <c r="A2317" s="41">
        <v>7917</v>
      </c>
      <c r="B2317" s="42" t="s">
        <v>2693</v>
      </c>
      <c r="C2317" s="43" t="s">
        <v>289</v>
      </c>
      <c r="D2317" s="43" t="s">
        <v>996</v>
      </c>
      <c r="E2317" s="43" t="s">
        <v>230</v>
      </c>
    </row>
    <row r="2318" spans="1:5" x14ac:dyDescent="0.25">
      <c r="A2318" s="41">
        <v>7918</v>
      </c>
      <c r="B2318" s="42" t="s">
        <v>2694</v>
      </c>
      <c r="C2318" s="43" t="s">
        <v>289</v>
      </c>
      <c r="D2318" s="43" t="s">
        <v>327</v>
      </c>
      <c r="E2318" s="43" t="s">
        <v>230</v>
      </c>
    </row>
    <row r="2319" spans="1:5" x14ac:dyDescent="0.25">
      <c r="A2319" s="41">
        <v>7920</v>
      </c>
      <c r="B2319" s="42" t="s">
        <v>2695</v>
      </c>
      <c r="C2319" s="43" t="s">
        <v>289</v>
      </c>
      <c r="D2319" s="43" t="s">
        <v>327</v>
      </c>
      <c r="E2319" s="43" t="s">
        <v>230</v>
      </c>
    </row>
    <row r="2320" spans="1:5" x14ac:dyDescent="0.25">
      <c r="A2320" s="41">
        <v>7921</v>
      </c>
      <c r="B2320" s="42" t="s">
        <v>2696</v>
      </c>
      <c r="C2320" s="43" t="s">
        <v>289</v>
      </c>
      <c r="D2320" s="43" t="s">
        <v>327</v>
      </c>
      <c r="E2320" s="43" t="s">
        <v>230</v>
      </c>
    </row>
    <row r="2321" spans="1:5" x14ac:dyDescent="0.25">
      <c r="A2321" s="41">
        <v>7924</v>
      </c>
      <c r="B2321" s="42" t="s">
        <v>2697</v>
      </c>
      <c r="C2321" s="43" t="s">
        <v>289</v>
      </c>
      <c r="D2321" s="43" t="s">
        <v>316</v>
      </c>
      <c r="E2321" s="43" t="s">
        <v>864</v>
      </c>
    </row>
    <row r="2322" spans="1:5" x14ac:dyDescent="0.25">
      <c r="A2322" s="41">
        <v>7925</v>
      </c>
      <c r="B2322" s="42" t="s">
        <v>2698</v>
      </c>
      <c r="C2322" s="43" t="s">
        <v>289</v>
      </c>
      <c r="D2322" s="43" t="s">
        <v>996</v>
      </c>
      <c r="E2322" s="43" t="s">
        <v>454</v>
      </c>
    </row>
    <row r="2323" spans="1:5" x14ac:dyDescent="0.25">
      <c r="A2323" s="41">
        <v>7927</v>
      </c>
      <c r="B2323" s="42" t="s">
        <v>2699</v>
      </c>
      <c r="C2323" s="43" t="s">
        <v>289</v>
      </c>
      <c r="D2323" s="43" t="s">
        <v>327</v>
      </c>
      <c r="E2323" s="43" t="s">
        <v>230</v>
      </c>
    </row>
    <row r="2324" spans="1:5" x14ac:dyDescent="0.25">
      <c r="A2324" s="41">
        <v>7928</v>
      </c>
      <c r="B2324" s="42" t="s">
        <v>2700</v>
      </c>
      <c r="C2324" s="43" t="s">
        <v>289</v>
      </c>
      <c r="D2324" s="43" t="s">
        <v>327</v>
      </c>
      <c r="E2324" s="43" t="s">
        <v>230</v>
      </c>
    </row>
    <row r="2325" spans="1:5" x14ac:dyDescent="0.25">
      <c r="A2325" s="41">
        <v>7931</v>
      </c>
      <c r="B2325" s="42" t="s">
        <v>2701</v>
      </c>
      <c r="C2325" s="43" t="s">
        <v>289</v>
      </c>
      <c r="D2325" s="43" t="s">
        <v>327</v>
      </c>
      <c r="E2325" s="43" t="s">
        <v>230</v>
      </c>
    </row>
    <row r="2326" spans="1:5" x14ac:dyDescent="0.25">
      <c r="A2326" s="41">
        <v>7933</v>
      </c>
      <c r="B2326" s="42" t="s">
        <v>2702</v>
      </c>
      <c r="C2326" s="43" t="s">
        <v>289</v>
      </c>
      <c r="D2326" s="43" t="s">
        <v>327</v>
      </c>
      <c r="E2326" s="43" t="s">
        <v>230</v>
      </c>
    </row>
    <row r="2327" spans="1:5" x14ac:dyDescent="0.25">
      <c r="A2327" s="41">
        <v>7936</v>
      </c>
      <c r="B2327" s="42" t="s">
        <v>2703</v>
      </c>
      <c r="C2327" s="43" t="s">
        <v>289</v>
      </c>
      <c r="D2327" s="43" t="s">
        <v>316</v>
      </c>
      <c r="E2327" s="43" t="s">
        <v>454</v>
      </c>
    </row>
    <row r="2328" spans="1:5" x14ac:dyDescent="0.25">
      <c r="A2328" s="41">
        <v>7942</v>
      </c>
      <c r="B2328" s="42" t="s">
        <v>2704</v>
      </c>
      <c r="C2328" s="43" t="s">
        <v>289</v>
      </c>
      <c r="D2328" s="43" t="s">
        <v>694</v>
      </c>
      <c r="E2328" s="43" t="s">
        <v>864</v>
      </c>
    </row>
    <row r="2329" spans="1:5" x14ac:dyDescent="0.25">
      <c r="A2329" s="41">
        <v>7944</v>
      </c>
      <c r="B2329" s="42" t="s">
        <v>2705</v>
      </c>
      <c r="C2329" s="43" t="s">
        <v>289</v>
      </c>
      <c r="D2329" s="43" t="s">
        <v>1227</v>
      </c>
      <c r="E2329" s="43" t="s">
        <v>769</v>
      </c>
    </row>
    <row r="2330" spans="1:5" x14ac:dyDescent="0.25">
      <c r="A2330" s="41">
        <v>7949</v>
      </c>
      <c r="B2330" s="42" t="s">
        <v>2706</v>
      </c>
      <c r="C2330" s="43" t="s">
        <v>289</v>
      </c>
      <c r="D2330" s="43" t="s">
        <v>375</v>
      </c>
      <c r="E2330" s="43" t="s">
        <v>385</v>
      </c>
    </row>
    <row r="2331" spans="1:5" x14ac:dyDescent="0.25">
      <c r="A2331" s="41">
        <v>7956</v>
      </c>
      <c r="B2331" s="42" t="s">
        <v>2707</v>
      </c>
      <c r="C2331" s="43" t="s">
        <v>289</v>
      </c>
      <c r="D2331" s="43" t="s">
        <v>845</v>
      </c>
      <c r="E2331" s="43" t="s">
        <v>531</v>
      </c>
    </row>
    <row r="2332" spans="1:5" x14ac:dyDescent="0.25">
      <c r="A2332" s="41">
        <v>7957</v>
      </c>
      <c r="B2332" s="42" t="s">
        <v>2708</v>
      </c>
      <c r="C2332" s="43" t="s">
        <v>289</v>
      </c>
      <c r="D2332" s="43" t="s">
        <v>327</v>
      </c>
      <c r="E2332" s="43" t="s">
        <v>336</v>
      </c>
    </row>
    <row r="2333" spans="1:5" x14ac:dyDescent="0.25">
      <c r="A2333" s="41">
        <v>7961</v>
      </c>
      <c r="B2333" s="42" t="s">
        <v>2709</v>
      </c>
      <c r="C2333" s="43" t="s">
        <v>289</v>
      </c>
      <c r="D2333" s="43" t="s">
        <v>327</v>
      </c>
      <c r="E2333" s="43" t="s">
        <v>230</v>
      </c>
    </row>
    <row r="2334" spans="1:5" x14ac:dyDescent="0.25">
      <c r="A2334" s="41">
        <v>7962</v>
      </c>
      <c r="B2334" s="42" t="s">
        <v>2710</v>
      </c>
      <c r="C2334" s="43" t="s">
        <v>289</v>
      </c>
      <c r="D2334" s="43" t="s">
        <v>468</v>
      </c>
      <c r="E2334" s="43" t="s">
        <v>464</v>
      </c>
    </row>
    <row r="2335" spans="1:5" x14ac:dyDescent="0.25">
      <c r="A2335" s="41">
        <v>7966</v>
      </c>
      <c r="B2335" s="42" t="s">
        <v>2711</v>
      </c>
      <c r="C2335" s="43" t="s">
        <v>289</v>
      </c>
      <c r="D2335" s="43" t="s">
        <v>327</v>
      </c>
      <c r="E2335" s="43" t="s">
        <v>864</v>
      </c>
    </row>
    <row r="2336" spans="1:5" x14ac:dyDescent="0.25">
      <c r="A2336" s="41">
        <v>7967</v>
      </c>
      <c r="B2336" s="42" t="s">
        <v>2712</v>
      </c>
      <c r="C2336" s="43" t="s">
        <v>289</v>
      </c>
      <c r="D2336" s="43" t="s">
        <v>1981</v>
      </c>
      <c r="E2336" s="43" t="s">
        <v>464</v>
      </c>
    </row>
    <row r="2337" spans="1:5" x14ac:dyDescent="0.25">
      <c r="A2337" s="41">
        <v>7968</v>
      </c>
      <c r="B2337" s="42" t="s">
        <v>2713</v>
      </c>
      <c r="C2337" s="43" t="s">
        <v>289</v>
      </c>
      <c r="D2337" s="43" t="s">
        <v>694</v>
      </c>
      <c r="E2337" s="43" t="s">
        <v>170</v>
      </c>
    </row>
    <row r="2338" spans="1:5" x14ac:dyDescent="0.25">
      <c r="A2338" s="41">
        <v>7973</v>
      </c>
      <c r="B2338" s="42" t="s">
        <v>2714</v>
      </c>
      <c r="C2338" s="43" t="s">
        <v>289</v>
      </c>
      <c r="D2338" s="43" t="s">
        <v>1981</v>
      </c>
      <c r="E2338" s="43" t="s">
        <v>464</v>
      </c>
    </row>
    <row r="2339" spans="1:5" x14ac:dyDescent="0.25">
      <c r="A2339" s="41">
        <v>7974</v>
      </c>
      <c r="B2339" s="42" t="s">
        <v>2715</v>
      </c>
      <c r="C2339" s="43" t="s">
        <v>289</v>
      </c>
      <c r="D2339" s="43" t="s">
        <v>1981</v>
      </c>
      <c r="E2339" s="43" t="s">
        <v>464</v>
      </c>
    </row>
    <row r="2340" spans="1:5" x14ac:dyDescent="0.25">
      <c r="A2340" s="41">
        <v>7975</v>
      </c>
      <c r="B2340" s="42" t="s">
        <v>2716</v>
      </c>
      <c r="C2340" s="43" t="s">
        <v>289</v>
      </c>
      <c r="D2340" s="43" t="s">
        <v>1981</v>
      </c>
      <c r="E2340" s="43" t="s">
        <v>464</v>
      </c>
    </row>
    <row r="2341" spans="1:5" x14ac:dyDescent="0.25">
      <c r="A2341" s="41">
        <v>7978</v>
      </c>
      <c r="B2341" s="42" t="s">
        <v>2717</v>
      </c>
      <c r="C2341" s="43" t="s">
        <v>289</v>
      </c>
      <c r="D2341" s="43" t="s">
        <v>327</v>
      </c>
      <c r="E2341" s="43" t="s">
        <v>354</v>
      </c>
    </row>
    <row r="2342" spans="1:5" x14ac:dyDescent="0.25">
      <c r="A2342" s="41">
        <v>7979</v>
      </c>
      <c r="B2342" s="42" t="s">
        <v>2718</v>
      </c>
      <c r="C2342" s="43" t="s">
        <v>289</v>
      </c>
      <c r="D2342" s="43" t="s">
        <v>327</v>
      </c>
      <c r="E2342" s="43" t="s">
        <v>464</v>
      </c>
    </row>
    <row r="2343" spans="1:5" x14ac:dyDescent="0.25">
      <c r="A2343" s="41">
        <v>7980</v>
      </c>
      <c r="B2343" s="42" t="s">
        <v>2719</v>
      </c>
      <c r="C2343" s="43" t="s">
        <v>289</v>
      </c>
      <c r="D2343" s="43" t="s">
        <v>327</v>
      </c>
      <c r="E2343" s="43" t="s">
        <v>464</v>
      </c>
    </row>
    <row r="2344" spans="1:5" x14ac:dyDescent="0.25">
      <c r="A2344" s="41">
        <v>7981</v>
      </c>
      <c r="B2344" s="42" t="s">
        <v>2720</v>
      </c>
      <c r="C2344" s="43" t="s">
        <v>289</v>
      </c>
      <c r="D2344" s="43" t="s">
        <v>327</v>
      </c>
      <c r="E2344" s="43" t="s">
        <v>464</v>
      </c>
    </row>
    <row r="2345" spans="1:5" x14ac:dyDescent="0.25">
      <c r="A2345" s="41">
        <v>7983</v>
      </c>
      <c r="B2345" s="42" t="s">
        <v>2721</v>
      </c>
      <c r="C2345" s="43" t="s">
        <v>289</v>
      </c>
      <c r="D2345" s="43" t="s">
        <v>327</v>
      </c>
      <c r="E2345" s="43" t="s">
        <v>464</v>
      </c>
    </row>
    <row r="2346" spans="1:5" x14ac:dyDescent="0.25">
      <c r="A2346" s="41">
        <v>7990</v>
      </c>
      <c r="B2346" s="42" t="s">
        <v>2722</v>
      </c>
      <c r="C2346" s="43" t="s">
        <v>289</v>
      </c>
      <c r="D2346" s="43" t="s">
        <v>468</v>
      </c>
      <c r="E2346" s="43" t="s">
        <v>436</v>
      </c>
    </row>
    <row r="2347" spans="1:5" x14ac:dyDescent="0.25">
      <c r="A2347" s="41">
        <v>7996</v>
      </c>
      <c r="B2347" s="42" t="s">
        <v>2723</v>
      </c>
      <c r="C2347" s="43" t="s">
        <v>289</v>
      </c>
      <c r="D2347" s="43" t="s">
        <v>327</v>
      </c>
      <c r="E2347" s="43" t="s">
        <v>864</v>
      </c>
    </row>
    <row r="2348" spans="1:5" x14ac:dyDescent="0.25">
      <c r="A2348" s="41">
        <v>7999</v>
      </c>
      <c r="B2348" s="42" t="s">
        <v>2724</v>
      </c>
      <c r="C2348" s="43" t="s">
        <v>289</v>
      </c>
      <c r="D2348" s="43" t="s">
        <v>996</v>
      </c>
      <c r="E2348" s="43" t="s">
        <v>464</v>
      </c>
    </row>
    <row r="2349" spans="1:5" x14ac:dyDescent="0.25">
      <c r="A2349" s="41">
        <v>8003</v>
      </c>
      <c r="B2349" s="42" t="s">
        <v>2725</v>
      </c>
      <c r="C2349" s="43" t="s">
        <v>289</v>
      </c>
      <c r="D2349" s="43" t="s">
        <v>410</v>
      </c>
      <c r="E2349" s="43" t="s">
        <v>230</v>
      </c>
    </row>
    <row r="2350" spans="1:5" x14ac:dyDescent="0.25">
      <c r="A2350" s="41">
        <v>8013</v>
      </c>
      <c r="B2350" s="42" t="s">
        <v>2726</v>
      </c>
      <c r="C2350" s="43" t="s">
        <v>289</v>
      </c>
      <c r="D2350" s="43" t="s">
        <v>327</v>
      </c>
      <c r="E2350" s="43" t="s">
        <v>230</v>
      </c>
    </row>
    <row r="2351" spans="1:5" x14ac:dyDescent="0.25">
      <c r="A2351" s="41">
        <v>8016</v>
      </c>
      <c r="B2351" s="42" t="s">
        <v>2727</v>
      </c>
      <c r="C2351" s="43" t="s">
        <v>289</v>
      </c>
      <c r="D2351" s="43" t="s">
        <v>327</v>
      </c>
      <c r="E2351" s="43" t="s">
        <v>230</v>
      </c>
    </row>
    <row r="2352" spans="1:5" x14ac:dyDescent="0.25">
      <c r="A2352" s="41">
        <v>8022</v>
      </c>
      <c r="B2352" s="42" t="s">
        <v>2728</v>
      </c>
      <c r="C2352" s="43" t="s">
        <v>289</v>
      </c>
      <c r="D2352" s="43" t="s">
        <v>316</v>
      </c>
      <c r="E2352" s="43" t="s">
        <v>230</v>
      </c>
    </row>
    <row r="2353" spans="1:5" x14ac:dyDescent="0.25">
      <c r="A2353" s="41">
        <v>8024</v>
      </c>
      <c r="B2353" s="42" t="s">
        <v>2729</v>
      </c>
      <c r="C2353" s="43" t="s">
        <v>289</v>
      </c>
      <c r="D2353" s="43" t="s">
        <v>474</v>
      </c>
      <c r="E2353" s="43" t="s">
        <v>354</v>
      </c>
    </row>
    <row r="2354" spans="1:5" x14ac:dyDescent="0.25">
      <c r="A2354" s="41">
        <v>8028</v>
      </c>
      <c r="B2354" s="42" t="s">
        <v>2730</v>
      </c>
      <c r="C2354" s="43" t="s">
        <v>289</v>
      </c>
      <c r="D2354" s="43" t="s">
        <v>333</v>
      </c>
      <c r="E2354" s="43" t="s">
        <v>464</v>
      </c>
    </row>
    <row r="2355" spans="1:5" x14ac:dyDescent="0.25">
      <c r="A2355" s="41">
        <v>8029</v>
      </c>
      <c r="B2355" s="42" t="s">
        <v>2731</v>
      </c>
      <c r="C2355" s="43" t="s">
        <v>289</v>
      </c>
      <c r="D2355" s="43" t="s">
        <v>996</v>
      </c>
      <c r="E2355" s="43" t="s">
        <v>230</v>
      </c>
    </row>
    <row r="2356" spans="1:5" x14ac:dyDescent="0.25">
      <c r="A2356" s="41">
        <v>8033</v>
      </c>
      <c r="B2356" s="42" t="s">
        <v>2732</v>
      </c>
      <c r="C2356" s="43" t="s">
        <v>289</v>
      </c>
      <c r="D2356" s="43" t="s">
        <v>468</v>
      </c>
      <c r="E2356" s="43" t="s">
        <v>464</v>
      </c>
    </row>
    <row r="2357" spans="1:5" x14ac:dyDescent="0.25">
      <c r="A2357" s="41">
        <v>8050</v>
      </c>
      <c r="B2357" s="42" t="s">
        <v>2733</v>
      </c>
      <c r="C2357" s="43" t="s">
        <v>289</v>
      </c>
      <c r="D2357" s="43" t="s">
        <v>327</v>
      </c>
      <c r="E2357" s="43" t="s">
        <v>230</v>
      </c>
    </row>
    <row r="2358" spans="1:5" x14ac:dyDescent="0.25">
      <c r="A2358" s="41">
        <v>8055</v>
      </c>
      <c r="B2358" s="42" t="s">
        <v>2734</v>
      </c>
      <c r="C2358" s="43" t="s">
        <v>289</v>
      </c>
      <c r="D2358" s="43" t="s">
        <v>996</v>
      </c>
      <c r="E2358" s="43" t="s">
        <v>230</v>
      </c>
    </row>
    <row r="2359" spans="1:5" x14ac:dyDescent="0.25">
      <c r="A2359" s="41">
        <v>8059</v>
      </c>
      <c r="B2359" s="42" t="s">
        <v>2735</v>
      </c>
      <c r="C2359" s="43" t="s">
        <v>289</v>
      </c>
      <c r="D2359" s="43" t="s">
        <v>327</v>
      </c>
      <c r="E2359" s="43" t="s">
        <v>230</v>
      </c>
    </row>
    <row r="2360" spans="1:5" x14ac:dyDescent="0.25">
      <c r="A2360" s="41">
        <v>8061</v>
      </c>
      <c r="B2360" s="42" t="s">
        <v>2736</v>
      </c>
      <c r="C2360" s="43" t="s">
        <v>289</v>
      </c>
      <c r="D2360" s="43" t="s">
        <v>327</v>
      </c>
      <c r="E2360" s="43" t="s">
        <v>230</v>
      </c>
    </row>
    <row r="2361" spans="1:5" x14ac:dyDescent="0.25">
      <c r="A2361" s="41">
        <v>8064</v>
      </c>
      <c r="B2361" s="42" t="s">
        <v>2737</v>
      </c>
      <c r="C2361" s="43" t="s">
        <v>289</v>
      </c>
      <c r="D2361" s="43" t="s">
        <v>941</v>
      </c>
      <c r="E2361" s="43" t="s">
        <v>230</v>
      </c>
    </row>
    <row r="2362" spans="1:5" x14ac:dyDescent="0.25">
      <c r="A2362" s="41">
        <v>8065</v>
      </c>
      <c r="B2362" s="42" t="s">
        <v>2738</v>
      </c>
      <c r="C2362" s="43" t="s">
        <v>289</v>
      </c>
      <c r="D2362" s="43" t="s">
        <v>327</v>
      </c>
      <c r="E2362" s="43" t="s">
        <v>230</v>
      </c>
    </row>
    <row r="2363" spans="1:5" x14ac:dyDescent="0.25">
      <c r="A2363" s="41">
        <v>8067</v>
      </c>
      <c r="B2363" s="42" t="s">
        <v>2739</v>
      </c>
      <c r="C2363" s="43" t="s">
        <v>289</v>
      </c>
      <c r="D2363" s="43" t="s">
        <v>327</v>
      </c>
      <c r="E2363" s="43" t="s">
        <v>454</v>
      </c>
    </row>
    <row r="2364" spans="1:5" x14ac:dyDescent="0.25">
      <c r="A2364" s="41">
        <v>8070</v>
      </c>
      <c r="B2364" s="42" t="s">
        <v>2740</v>
      </c>
      <c r="C2364" s="43" t="s">
        <v>289</v>
      </c>
      <c r="D2364" s="43" t="s">
        <v>327</v>
      </c>
      <c r="E2364" s="43" t="s">
        <v>230</v>
      </c>
    </row>
    <row r="2365" spans="1:5" x14ac:dyDescent="0.25">
      <c r="A2365" s="41">
        <v>8072</v>
      </c>
      <c r="B2365" s="42" t="s">
        <v>2741</v>
      </c>
      <c r="C2365" s="43" t="s">
        <v>289</v>
      </c>
      <c r="D2365" s="43" t="s">
        <v>327</v>
      </c>
      <c r="E2365" s="43" t="s">
        <v>464</v>
      </c>
    </row>
    <row r="2366" spans="1:5" x14ac:dyDescent="0.25">
      <c r="A2366" s="41">
        <v>8073</v>
      </c>
      <c r="B2366" s="42" t="s">
        <v>2742</v>
      </c>
      <c r="C2366" s="43" t="s">
        <v>289</v>
      </c>
      <c r="D2366" s="43" t="s">
        <v>327</v>
      </c>
      <c r="E2366" s="43" t="s">
        <v>230</v>
      </c>
    </row>
    <row r="2367" spans="1:5" x14ac:dyDescent="0.25">
      <c r="A2367" s="41">
        <v>8074</v>
      </c>
      <c r="B2367" s="42" t="s">
        <v>2743</v>
      </c>
      <c r="C2367" s="43" t="s">
        <v>289</v>
      </c>
      <c r="D2367" s="43" t="s">
        <v>327</v>
      </c>
      <c r="E2367" s="43" t="s">
        <v>464</v>
      </c>
    </row>
    <row r="2368" spans="1:5" x14ac:dyDescent="0.25">
      <c r="A2368" s="41">
        <v>8075</v>
      </c>
      <c r="B2368" s="42" t="s">
        <v>2744</v>
      </c>
      <c r="C2368" s="43" t="s">
        <v>289</v>
      </c>
      <c r="D2368" s="43" t="s">
        <v>327</v>
      </c>
      <c r="E2368" s="43" t="s">
        <v>464</v>
      </c>
    </row>
    <row r="2369" spans="1:5" x14ac:dyDescent="0.25">
      <c r="A2369" s="41">
        <v>8084</v>
      </c>
      <c r="B2369" s="42" t="s">
        <v>2745</v>
      </c>
      <c r="C2369" s="43" t="s">
        <v>289</v>
      </c>
      <c r="D2369" s="43" t="s">
        <v>327</v>
      </c>
      <c r="E2369" s="43" t="s">
        <v>230</v>
      </c>
    </row>
    <row r="2370" spans="1:5" x14ac:dyDescent="0.25">
      <c r="A2370" s="41">
        <v>8093</v>
      </c>
      <c r="B2370" s="42" t="s">
        <v>2746</v>
      </c>
      <c r="C2370" s="43" t="s">
        <v>289</v>
      </c>
      <c r="D2370" s="43" t="s">
        <v>327</v>
      </c>
      <c r="E2370" s="43" t="s">
        <v>230</v>
      </c>
    </row>
    <row r="2371" spans="1:5" x14ac:dyDescent="0.25">
      <c r="A2371" s="41">
        <v>8106</v>
      </c>
      <c r="B2371" s="42" t="s">
        <v>2747</v>
      </c>
      <c r="C2371" s="43" t="s">
        <v>289</v>
      </c>
      <c r="D2371" s="43" t="s">
        <v>316</v>
      </c>
      <c r="E2371" s="43" t="s">
        <v>436</v>
      </c>
    </row>
    <row r="2372" spans="1:5" x14ac:dyDescent="0.25">
      <c r="A2372" s="41">
        <v>8108</v>
      </c>
      <c r="B2372" s="42" t="s">
        <v>2748</v>
      </c>
      <c r="C2372" s="43" t="s">
        <v>289</v>
      </c>
      <c r="D2372" s="43" t="s">
        <v>333</v>
      </c>
      <c r="E2372" s="43" t="s">
        <v>230</v>
      </c>
    </row>
    <row r="2373" spans="1:5" x14ac:dyDescent="0.25">
      <c r="A2373" s="41">
        <v>8112</v>
      </c>
      <c r="B2373" s="42" t="s">
        <v>2749</v>
      </c>
      <c r="C2373" s="43" t="s">
        <v>289</v>
      </c>
      <c r="D2373" s="43" t="s">
        <v>316</v>
      </c>
      <c r="E2373" s="43" t="s">
        <v>336</v>
      </c>
    </row>
    <row r="2374" spans="1:5" x14ac:dyDescent="0.25">
      <c r="A2374" s="41">
        <v>8117</v>
      </c>
      <c r="B2374" s="42" t="s">
        <v>2750</v>
      </c>
      <c r="C2374" s="43" t="s">
        <v>289</v>
      </c>
      <c r="D2374" s="43" t="s">
        <v>327</v>
      </c>
      <c r="E2374" s="43" t="s">
        <v>354</v>
      </c>
    </row>
    <row r="2375" spans="1:5" x14ac:dyDescent="0.25">
      <c r="A2375" s="41">
        <v>8118</v>
      </c>
      <c r="B2375" s="42" t="s">
        <v>2751</v>
      </c>
      <c r="C2375" s="43" t="s">
        <v>289</v>
      </c>
      <c r="D2375" s="43" t="s">
        <v>327</v>
      </c>
      <c r="E2375" s="43" t="s">
        <v>230</v>
      </c>
    </row>
    <row r="2376" spans="1:5" x14ac:dyDescent="0.25">
      <c r="A2376" s="41">
        <v>8123</v>
      </c>
      <c r="B2376" s="42" t="s">
        <v>2752</v>
      </c>
      <c r="C2376" s="43" t="s">
        <v>289</v>
      </c>
      <c r="D2376" s="43" t="s">
        <v>327</v>
      </c>
      <c r="E2376" s="43" t="s">
        <v>864</v>
      </c>
    </row>
    <row r="2377" spans="1:5" x14ac:dyDescent="0.25">
      <c r="A2377" s="41">
        <v>8127</v>
      </c>
      <c r="B2377" s="42" t="s">
        <v>2753</v>
      </c>
      <c r="C2377" s="43" t="s">
        <v>289</v>
      </c>
      <c r="D2377" s="43" t="s">
        <v>333</v>
      </c>
      <c r="E2377" s="43" t="s">
        <v>230</v>
      </c>
    </row>
    <row r="2378" spans="1:5" x14ac:dyDescent="0.25">
      <c r="A2378" s="41">
        <v>8142</v>
      </c>
      <c r="B2378" s="42" t="s">
        <v>2754</v>
      </c>
      <c r="C2378" s="43" t="s">
        <v>289</v>
      </c>
      <c r="D2378" s="43" t="s">
        <v>327</v>
      </c>
      <c r="E2378" s="43" t="s">
        <v>230</v>
      </c>
    </row>
    <row r="2379" spans="1:5" x14ac:dyDescent="0.25">
      <c r="A2379" s="41">
        <v>8143</v>
      </c>
      <c r="B2379" s="42" t="s">
        <v>2755</v>
      </c>
      <c r="C2379" s="43" t="s">
        <v>289</v>
      </c>
      <c r="D2379" s="43" t="s">
        <v>316</v>
      </c>
      <c r="E2379" s="43" t="s">
        <v>230</v>
      </c>
    </row>
    <row r="2380" spans="1:5" x14ac:dyDescent="0.25">
      <c r="A2380" s="41">
        <v>8147</v>
      </c>
      <c r="B2380" s="42" t="s">
        <v>2756</v>
      </c>
      <c r="C2380" s="43" t="s">
        <v>289</v>
      </c>
      <c r="D2380" s="43" t="s">
        <v>468</v>
      </c>
      <c r="E2380" s="43" t="s">
        <v>230</v>
      </c>
    </row>
    <row r="2381" spans="1:5" x14ac:dyDescent="0.25">
      <c r="A2381" s="41">
        <v>8153</v>
      </c>
      <c r="B2381" s="42" t="s">
        <v>2757</v>
      </c>
      <c r="C2381" s="43" t="s">
        <v>289</v>
      </c>
      <c r="D2381" s="43" t="s">
        <v>327</v>
      </c>
      <c r="E2381" s="43" t="s">
        <v>230</v>
      </c>
    </row>
    <row r="2382" spans="1:5" x14ac:dyDescent="0.25">
      <c r="A2382" s="41">
        <v>8155</v>
      </c>
      <c r="B2382" s="42" t="s">
        <v>2758</v>
      </c>
      <c r="C2382" s="43" t="s">
        <v>289</v>
      </c>
      <c r="D2382" s="43" t="s">
        <v>316</v>
      </c>
      <c r="E2382" s="43" t="s">
        <v>230</v>
      </c>
    </row>
    <row r="2383" spans="1:5" x14ac:dyDescent="0.25">
      <c r="A2383" s="41">
        <v>8156</v>
      </c>
      <c r="B2383" s="42" t="s">
        <v>2759</v>
      </c>
      <c r="C2383" s="43" t="s">
        <v>289</v>
      </c>
      <c r="D2383" s="43" t="s">
        <v>1779</v>
      </c>
      <c r="E2383" s="43" t="s">
        <v>230</v>
      </c>
    </row>
    <row r="2384" spans="1:5" x14ac:dyDescent="0.25">
      <c r="A2384" s="41">
        <v>8158</v>
      </c>
      <c r="B2384" s="42" t="s">
        <v>2760</v>
      </c>
      <c r="C2384" s="43" t="s">
        <v>289</v>
      </c>
      <c r="D2384" s="43" t="s">
        <v>1779</v>
      </c>
      <c r="E2384" s="43" t="s">
        <v>230</v>
      </c>
    </row>
    <row r="2385" spans="1:5" x14ac:dyDescent="0.25">
      <c r="A2385" s="41">
        <v>8163</v>
      </c>
      <c r="B2385" s="42" t="s">
        <v>2761</v>
      </c>
      <c r="C2385" s="43" t="s">
        <v>289</v>
      </c>
      <c r="D2385" s="43" t="s">
        <v>327</v>
      </c>
      <c r="E2385" s="43" t="s">
        <v>230</v>
      </c>
    </row>
    <row r="2386" spans="1:5" x14ac:dyDescent="0.25">
      <c r="A2386" s="41">
        <v>8165</v>
      </c>
      <c r="B2386" s="42" t="s">
        <v>2762</v>
      </c>
      <c r="C2386" s="43" t="s">
        <v>289</v>
      </c>
      <c r="D2386" s="43" t="s">
        <v>327</v>
      </c>
      <c r="E2386" s="43" t="s">
        <v>230</v>
      </c>
    </row>
    <row r="2387" spans="1:5" x14ac:dyDescent="0.25">
      <c r="A2387" s="41">
        <v>8166</v>
      </c>
      <c r="B2387" s="42" t="s">
        <v>2763</v>
      </c>
      <c r="C2387" s="43" t="s">
        <v>289</v>
      </c>
      <c r="D2387" s="43" t="s">
        <v>327</v>
      </c>
      <c r="E2387" s="43" t="s">
        <v>230</v>
      </c>
    </row>
    <row r="2388" spans="1:5" x14ac:dyDescent="0.25">
      <c r="A2388" s="41">
        <v>8170</v>
      </c>
      <c r="B2388" s="42" t="s">
        <v>2764</v>
      </c>
      <c r="C2388" s="43" t="s">
        <v>289</v>
      </c>
      <c r="D2388" s="43" t="s">
        <v>327</v>
      </c>
      <c r="E2388" s="43" t="s">
        <v>230</v>
      </c>
    </row>
    <row r="2389" spans="1:5" x14ac:dyDescent="0.25">
      <c r="A2389" s="41">
        <v>8171</v>
      </c>
      <c r="B2389" s="42" t="s">
        <v>2765</v>
      </c>
      <c r="C2389" s="43" t="s">
        <v>289</v>
      </c>
      <c r="D2389" s="43" t="s">
        <v>966</v>
      </c>
      <c r="E2389" s="43" t="s">
        <v>230</v>
      </c>
    </row>
    <row r="2390" spans="1:5" x14ac:dyDescent="0.25">
      <c r="A2390" s="41">
        <v>8173</v>
      </c>
      <c r="B2390" s="42" t="s">
        <v>2766</v>
      </c>
      <c r="C2390" s="43" t="s">
        <v>289</v>
      </c>
      <c r="D2390" s="43" t="s">
        <v>327</v>
      </c>
      <c r="E2390" s="43" t="s">
        <v>230</v>
      </c>
    </row>
    <row r="2391" spans="1:5" x14ac:dyDescent="0.25">
      <c r="A2391" s="41">
        <v>8179</v>
      </c>
      <c r="B2391" s="42" t="s">
        <v>2767</v>
      </c>
      <c r="C2391" s="43" t="s">
        <v>289</v>
      </c>
      <c r="D2391" s="43" t="s">
        <v>474</v>
      </c>
      <c r="E2391" s="43" t="s">
        <v>230</v>
      </c>
    </row>
    <row r="2392" spans="1:5" x14ac:dyDescent="0.25">
      <c r="A2392" s="41">
        <v>8181</v>
      </c>
      <c r="B2392" s="42" t="s">
        <v>2768</v>
      </c>
      <c r="C2392" s="43" t="s">
        <v>289</v>
      </c>
      <c r="D2392" s="43" t="s">
        <v>327</v>
      </c>
      <c r="E2392" s="43" t="s">
        <v>464</v>
      </c>
    </row>
    <row r="2393" spans="1:5" x14ac:dyDescent="0.25">
      <c r="A2393" s="41">
        <v>8187</v>
      </c>
      <c r="B2393" s="42" t="s">
        <v>2769</v>
      </c>
      <c r="C2393" s="43" t="s">
        <v>289</v>
      </c>
      <c r="D2393" s="43" t="s">
        <v>327</v>
      </c>
      <c r="E2393" s="43" t="s">
        <v>230</v>
      </c>
    </row>
    <row r="2394" spans="1:5" x14ac:dyDescent="0.25">
      <c r="A2394" s="41">
        <v>8188</v>
      </c>
      <c r="B2394" s="42" t="s">
        <v>2770</v>
      </c>
      <c r="C2394" s="43" t="s">
        <v>289</v>
      </c>
      <c r="D2394" s="43" t="s">
        <v>327</v>
      </c>
      <c r="E2394" s="43" t="s">
        <v>766</v>
      </c>
    </row>
    <row r="2395" spans="1:5" x14ac:dyDescent="0.25">
      <c r="A2395" s="41">
        <v>8189</v>
      </c>
      <c r="B2395" s="42" t="s">
        <v>2771</v>
      </c>
      <c r="C2395" s="43" t="s">
        <v>289</v>
      </c>
      <c r="D2395" s="43" t="s">
        <v>327</v>
      </c>
      <c r="E2395" s="43" t="s">
        <v>230</v>
      </c>
    </row>
    <row r="2396" spans="1:5" x14ac:dyDescent="0.25">
      <c r="A2396" s="41">
        <v>8190</v>
      </c>
      <c r="B2396" s="42" t="s">
        <v>2772</v>
      </c>
      <c r="C2396" s="43" t="s">
        <v>289</v>
      </c>
      <c r="D2396" s="43" t="s">
        <v>327</v>
      </c>
      <c r="E2396" s="43" t="s">
        <v>336</v>
      </c>
    </row>
    <row r="2397" spans="1:5" x14ac:dyDescent="0.25">
      <c r="A2397" s="41">
        <v>8191</v>
      </c>
      <c r="B2397" s="42" t="s">
        <v>2773</v>
      </c>
      <c r="C2397" s="43" t="s">
        <v>289</v>
      </c>
      <c r="D2397" s="43" t="s">
        <v>327</v>
      </c>
      <c r="E2397" s="43" t="s">
        <v>483</v>
      </c>
    </row>
    <row r="2398" spans="1:5" x14ac:dyDescent="0.25">
      <c r="A2398" s="41">
        <v>8206</v>
      </c>
      <c r="B2398" s="42" t="s">
        <v>2774</v>
      </c>
      <c r="C2398" s="43" t="s">
        <v>289</v>
      </c>
      <c r="D2398" s="43" t="s">
        <v>468</v>
      </c>
      <c r="E2398" s="43" t="s">
        <v>230</v>
      </c>
    </row>
    <row r="2399" spans="1:5" x14ac:dyDescent="0.25">
      <c r="A2399" s="41">
        <v>8209</v>
      </c>
      <c r="B2399" s="42" t="s">
        <v>2775</v>
      </c>
      <c r="C2399" s="43" t="s">
        <v>289</v>
      </c>
      <c r="D2399" s="43" t="s">
        <v>327</v>
      </c>
      <c r="E2399" s="43" t="s">
        <v>336</v>
      </c>
    </row>
    <row r="2400" spans="1:5" x14ac:dyDescent="0.25">
      <c r="A2400" s="41">
        <v>8210</v>
      </c>
      <c r="B2400" s="42" t="s">
        <v>2776</v>
      </c>
      <c r="C2400" s="43" t="s">
        <v>289</v>
      </c>
      <c r="D2400" s="43" t="s">
        <v>327</v>
      </c>
      <c r="E2400" s="43" t="s">
        <v>230</v>
      </c>
    </row>
    <row r="2401" spans="1:5" x14ac:dyDescent="0.25">
      <c r="A2401" s="41">
        <v>8211</v>
      </c>
      <c r="B2401" s="42" t="s">
        <v>2777</v>
      </c>
      <c r="C2401" s="43" t="s">
        <v>289</v>
      </c>
      <c r="D2401" s="43" t="s">
        <v>996</v>
      </c>
      <c r="E2401" s="43" t="s">
        <v>230</v>
      </c>
    </row>
    <row r="2402" spans="1:5" x14ac:dyDescent="0.25">
      <c r="A2402" s="41">
        <v>8213</v>
      </c>
      <c r="B2402" s="42" t="s">
        <v>2778</v>
      </c>
      <c r="C2402" s="43" t="s">
        <v>289</v>
      </c>
      <c r="D2402" s="43" t="s">
        <v>996</v>
      </c>
      <c r="E2402" s="43" t="s">
        <v>230</v>
      </c>
    </row>
    <row r="2403" spans="1:5" x14ac:dyDescent="0.25">
      <c r="A2403" s="41">
        <v>8214</v>
      </c>
      <c r="B2403" s="42" t="s">
        <v>2779</v>
      </c>
      <c r="C2403" s="43" t="s">
        <v>289</v>
      </c>
      <c r="D2403" s="43" t="s">
        <v>996</v>
      </c>
      <c r="E2403" s="43" t="s">
        <v>230</v>
      </c>
    </row>
    <row r="2404" spans="1:5" x14ac:dyDescent="0.25">
      <c r="A2404" s="41">
        <v>8216</v>
      </c>
      <c r="B2404" s="42" t="s">
        <v>2780</v>
      </c>
      <c r="C2404" s="43" t="s">
        <v>289</v>
      </c>
      <c r="D2404" s="43" t="s">
        <v>1290</v>
      </c>
      <c r="E2404" s="43" t="s">
        <v>230</v>
      </c>
    </row>
    <row r="2405" spans="1:5" x14ac:dyDescent="0.25">
      <c r="A2405" s="41">
        <v>8217</v>
      </c>
      <c r="B2405" s="42" t="s">
        <v>2781</v>
      </c>
      <c r="C2405" s="43" t="s">
        <v>289</v>
      </c>
      <c r="D2405" s="43" t="s">
        <v>327</v>
      </c>
      <c r="E2405" s="43" t="s">
        <v>230</v>
      </c>
    </row>
    <row r="2406" spans="1:5" x14ac:dyDescent="0.25">
      <c r="A2406" s="41">
        <v>8228</v>
      </c>
      <c r="B2406" s="42" t="s">
        <v>2782</v>
      </c>
      <c r="C2406" s="43" t="s">
        <v>289</v>
      </c>
      <c r="D2406" s="43" t="s">
        <v>996</v>
      </c>
      <c r="E2406" s="43" t="s">
        <v>230</v>
      </c>
    </row>
    <row r="2407" spans="1:5" x14ac:dyDescent="0.25">
      <c r="A2407" s="41">
        <v>8231</v>
      </c>
      <c r="B2407" s="42" t="s">
        <v>2783</v>
      </c>
      <c r="C2407" s="43" t="s">
        <v>289</v>
      </c>
      <c r="D2407" s="43" t="s">
        <v>327</v>
      </c>
      <c r="E2407" s="43" t="s">
        <v>230</v>
      </c>
    </row>
    <row r="2408" spans="1:5" x14ac:dyDescent="0.25">
      <c r="A2408" s="41">
        <v>8233</v>
      </c>
      <c r="B2408" s="42" t="s">
        <v>2784</v>
      </c>
      <c r="C2408" s="43" t="s">
        <v>289</v>
      </c>
      <c r="D2408" s="43" t="s">
        <v>996</v>
      </c>
      <c r="E2408" s="43" t="s">
        <v>230</v>
      </c>
    </row>
    <row r="2409" spans="1:5" x14ac:dyDescent="0.25">
      <c r="A2409" s="41">
        <v>8234</v>
      </c>
      <c r="B2409" s="42" t="s">
        <v>2785</v>
      </c>
      <c r="C2409" s="43" t="s">
        <v>289</v>
      </c>
      <c r="D2409" s="43" t="s">
        <v>996</v>
      </c>
      <c r="E2409" s="43" t="s">
        <v>354</v>
      </c>
    </row>
    <row r="2410" spans="1:5" x14ac:dyDescent="0.25">
      <c r="A2410" s="41">
        <v>8235</v>
      </c>
      <c r="B2410" s="42" t="s">
        <v>2786</v>
      </c>
      <c r="C2410" s="43" t="s">
        <v>289</v>
      </c>
      <c r="D2410" s="43" t="s">
        <v>996</v>
      </c>
      <c r="E2410" s="43" t="s">
        <v>354</v>
      </c>
    </row>
    <row r="2411" spans="1:5" x14ac:dyDescent="0.25">
      <c r="A2411" s="41">
        <v>8236</v>
      </c>
      <c r="B2411" s="42" t="s">
        <v>2787</v>
      </c>
      <c r="C2411" s="43" t="s">
        <v>289</v>
      </c>
      <c r="D2411" s="43" t="s">
        <v>996</v>
      </c>
      <c r="E2411" s="43" t="s">
        <v>230</v>
      </c>
    </row>
    <row r="2412" spans="1:5" x14ac:dyDescent="0.25">
      <c r="A2412" s="41">
        <v>8237</v>
      </c>
      <c r="B2412" s="42" t="s">
        <v>2788</v>
      </c>
      <c r="C2412" s="43" t="s">
        <v>289</v>
      </c>
      <c r="D2412" s="43" t="s">
        <v>811</v>
      </c>
      <c r="E2412" s="43" t="s">
        <v>230</v>
      </c>
    </row>
    <row r="2413" spans="1:5" x14ac:dyDescent="0.25">
      <c r="A2413" s="41">
        <v>8238</v>
      </c>
      <c r="B2413" s="42" t="s">
        <v>2789</v>
      </c>
      <c r="C2413" s="43" t="s">
        <v>289</v>
      </c>
      <c r="D2413" s="43" t="s">
        <v>996</v>
      </c>
      <c r="E2413" s="43" t="s">
        <v>230</v>
      </c>
    </row>
    <row r="2414" spans="1:5" x14ac:dyDescent="0.25">
      <c r="A2414" s="41">
        <v>8239</v>
      </c>
      <c r="B2414" s="42" t="s">
        <v>2790</v>
      </c>
      <c r="C2414" s="43" t="s">
        <v>289</v>
      </c>
      <c r="D2414" s="43" t="s">
        <v>811</v>
      </c>
      <c r="E2414" s="43" t="s">
        <v>230</v>
      </c>
    </row>
    <row r="2415" spans="1:5" x14ac:dyDescent="0.25">
      <c r="A2415" s="41">
        <v>8240</v>
      </c>
      <c r="B2415" s="42" t="s">
        <v>2791</v>
      </c>
      <c r="C2415" s="43" t="s">
        <v>289</v>
      </c>
      <c r="D2415" s="43" t="s">
        <v>996</v>
      </c>
      <c r="E2415" s="43" t="s">
        <v>230</v>
      </c>
    </row>
    <row r="2416" spans="1:5" x14ac:dyDescent="0.25">
      <c r="A2416" s="41">
        <v>8241</v>
      </c>
      <c r="B2416" s="42" t="s">
        <v>2792</v>
      </c>
      <c r="C2416" s="43" t="s">
        <v>289</v>
      </c>
      <c r="D2416" s="43" t="s">
        <v>996</v>
      </c>
      <c r="E2416" s="43" t="s">
        <v>230</v>
      </c>
    </row>
    <row r="2417" spans="1:5" x14ac:dyDescent="0.25">
      <c r="A2417" s="41">
        <v>8242</v>
      </c>
      <c r="B2417" s="42" t="s">
        <v>1541</v>
      </c>
      <c r="C2417" s="43" t="s">
        <v>289</v>
      </c>
      <c r="D2417" s="43" t="s">
        <v>996</v>
      </c>
      <c r="E2417" s="43" t="s">
        <v>230</v>
      </c>
    </row>
    <row r="2418" spans="1:5" x14ac:dyDescent="0.25">
      <c r="A2418" s="41">
        <v>8243</v>
      </c>
      <c r="B2418" s="42" t="s">
        <v>2793</v>
      </c>
      <c r="C2418" s="43" t="s">
        <v>289</v>
      </c>
      <c r="D2418" s="43" t="s">
        <v>996</v>
      </c>
      <c r="E2418" s="43" t="s">
        <v>230</v>
      </c>
    </row>
    <row r="2419" spans="1:5" x14ac:dyDescent="0.25">
      <c r="A2419" s="41">
        <v>8246</v>
      </c>
      <c r="B2419" s="42" t="s">
        <v>2794</v>
      </c>
      <c r="C2419" s="43" t="s">
        <v>289</v>
      </c>
      <c r="D2419" s="43" t="s">
        <v>523</v>
      </c>
      <c r="E2419" s="43" t="s">
        <v>230</v>
      </c>
    </row>
    <row r="2420" spans="1:5" x14ac:dyDescent="0.25">
      <c r="A2420" s="41">
        <v>8249</v>
      </c>
      <c r="B2420" s="42" t="s">
        <v>2795</v>
      </c>
      <c r="C2420" s="43" t="s">
        <v>289</v>
      </c>
      <c r="D2420" s="43" t="s">
        <v>1112</v>
      </c>
      <c r="E2420" s="43" t="s">
        <v>230</v>
      </c>
    </row>
    <row r="2421" spans="1:5" x14ac:dyDescent="0.25">
      <c r="A2421" s="41">
        <v>8254</v>
      </c>
      <c r="B2421" s="42" t="s">
        <v>2796</v>
      </c>
      <c r="C2421" s="43" t="s">
        <v>289</v>
      </c>
      <c r="D2421" s="43" t="s">
        <v>327</v>
      </c>
      <c r="E2421" s="43" t="s">
        <v>464</v>
      </c>
    </row>
    <row r="2422" spans="1:5" x14ac:dyDescent="0.25">
      <c r="A2422" s="41">
        <v>8256</v>
      </c>
      <c r="B2422" s="42" t="s">
        <v>2797</v>
      </c>
      <c r="C2422" s="43" t="s">
        <v>289</v>
      </c>
      <c r="D2422" s="43" t="s">
        <v>996</v>
      </c>
      <c r="E2422" s="43" t="s">
        <v>373</v>
      </c>
    </row>
    <row r="2423" spans="1:5" x14ac:dyDescent="0.25">
      <c r="A2423" s="41">
        <v>8257</v>
      </c>
      <c r="B2423" s="42" t="s">
        <v>2798</v>
      </c>
      <c r="C2423" s="43" t="s">
        <v>289</v>
      </c>
      <c r="D2423" s="43" t="s">
        <v>996</v>
      </c>
      <c r="E2423" s="43" t="s">
        <v>230</v>
      </c>
    </row>
    <row r="2424" spans="1:5" x14ac:dyDescent="0.25">
      <c r="A2424" s="41">
        <v>8263</v>
      </c>
      <c r="B2424" s="42" t="s">
        <v>2799</v>
      </c>
      <c r="C2424" s="43" t="s">
        <v>289</v>
      </c>
      <c r="D2424" s="43" t="s">
        <v>314</v>
      </c>
      <c r="E2424" s="43" t="s">
        <v>464</v>
      </c>
    </row>
    <row r="2425" spans="1:5" x14ac:dyDescent="0.25">
      <c r="A2425" s="41">
        <v>8268</v>
      </c>
      <c r="B2425" s="42" t="s">
        <v>2800</v>
      </c>
      <c r="C2425" s="43" t="s">
        <v>289</v>
      </c>
      <c r="D2425" s="43" t="s">
        <v>845</v>
      </c>
      <c r="E2425" s="43" t="s">
        <v>766</v>
      </c>
    </row>
    <row r="2426" spans="1:5" x14ac:dyDescent="0.25">
      <c r="A2426" s="41">
        <v>8272</v>
      </c>
      <c r="B2426" s="42" t="s">
        <v>2801</v>
      </c>
      <c r="C2426" s="43" t="s">
        <v>289</v>
      </c>
      <c r="D2426" s="43" t="s">
        <v>327</v>
      </c>
      <c r="E2426" s="43" t="s">
        <v>373</v>
      </c>
    </row>
    <row r="2427" spans="1:5" x14ac:dyDescent="0.25">
      <c r="A2427" s="41">
        <v>8276</v>
      </c>
      <c r="B2427" s="42" t="s">
        <v>2802</v>
      </c>
      <c r="C2427" s="43" t="s">
        <v>289</v>
      </c>
      <c r="D2427" s="43" t="s">
        <v>327</v>
      </c>
      <c r="E2427" s="43" t="s">
        <v>454</v>
      </c>
    </row>
    <row r="2428" spans="1:5" x14ac:dyDescent="0.25">
      <c r="A2428" s="41">
        <v>8278</v>
      </c>
      <c r="B2428" s="42" t="s">
        <v>2803</v>
      </c>
      <c r="C2428" s="43" t="s">
        <v>289</v>
      </c>
      <c r="D2428" s="43" t="s">
        <v>327</v>
      </c>
      <c r="E2428" s="43" t="s">
        <v>531</v>
      </c>
    </row>
    <row r="2429" spans="1:5" x14ac:dyDescent="0.25">
      <c r="A2429" s="41">
        <v>8282</v>
      </c>
      <c r="B2429" s="42" t="s">
        <v>2804</v>
      </c>
      <c r="C2429" s="43" t="s">
        <v>289</v>
      </c>
      <c r="D2429" s="43" t="s">
        <v>316</v>
      </c>
      <c r="E2429" s="43" t="s">
        <v>464</v>
      </c>
    </row>
    <row r="2430" spans="1:5" x14ac:dyDescent="0.25">
      <c r="A2430" s="41">
        <v>8285</v>
      </c>
      <c r="B2430" s="42" t="s">
        <v>1179</v>
      </c>
      <c r="C2430" s="43" t="s">
        <v>289</v>
      </c>
      <c r="D2430" s="43" t="s">
        <v>996</v>
      </c>
      <c r="E2430" s="43" t="s">
        <v>170</v>
      </c>
    </row>
    <row r="2431" spans="1:5" x14ac:dyDescent="0.25">
      <c r="A2431" s="41">
        <v>8286</v>
      </c>
      <c r="B2431" s="42" t="s">
        <v>2805</v>
      </c>
      <c r="C2431" s="43" t="s">
        <v>289</v>
      </c>
      <c r="D2431" s="43" t="s">
        <v>996</v>
      </c>
      <c r="E2431" s="43" t="s">
        <v>464</v>
      </c>
    </row>
    <row r="2432" spans="1:5" x14ac:dyDescent="0.25">
      <c r="A2432" s="41">
        <v>8287</v>
      </c>
      <c r="B2432" s="42" t="s">
        <v>2806</v>
      </c>
      <c r="C2432" s="43" t="s">
        <v>289</v>
      </c>
      <c r="D2432" s="43" t="s">
        <v>316</v>
      </c>
      <c r="E2432" s="43" t="s">
        <v>464</v>
      </c>
    </row>
    <row r="2433" spans="1:5" x14ac:dyDescent="0.25">
      <c r="A2433" s="41">
        <v>8288</v>
      </c>
      <c r="B2433" s="42" t="s">
        <v>2807</v>
      </c>
      <c r="C2433" s="43" t="s">
        <v>289</v>
      </c>
      <c r="D2433" s="43" t="s">
        <v>316</v>
      </c>
      <c r="E2433" s="43" t="s">
        <v>230</v>
      </c>
    </row>
    <row r="2434" spans="1:5" x14ac:dyDescent="0.25">
      <c r="A2434" s="41">
        <v>8292</v>
      </c>
      <c r="B2434" s="42" t="s">
        <v>2808</v>
      </c>
      <c r="C2434" s="43" t="s">
        <v>289</v>
      </c>
      <c r="D2434" s="43" t="s">
        <v>316</v>
      </c>
      <c r="E2434" s="43" t="s">
        <v>230</v>
      </c>
    </row>
    <row r="2435" spans="1:5" x14ac:dyDescent="0.25">
      <c r="A2435" s="41">
        <v>8297</v>
      </c>
      <c r="B2435" s="42" t="s">
        <v>2809</v>
      </c>
      <c r="C2435" s="43" t="s">
        <v>289</v>
      </c>
      <c r="D2435" s="43" t="s">
        <v>316</v>
      </c>
      <c r="E2435" s="43" t="s">
        <v>230</v>
      </c>
    </row>
    <row r="2436" spans="1:5" x14ac:dyDescent="0.25">
      <c r="A2436" s="41">
        <v>8298</v>
      </c>
      <c r="B2436" s="42" t="s">
        <v>2810</v>
      </c>
      <c r="C2436" s="43" t="s">
        <v>289</v>
      </c>
      <c r="D2436" s="43" t="s">
        <v>316</v>
      </c>
      <c r="E2436" s="43" t="s">
        <v>230</v>
      </c>
    </row>
    <row r="2437" spans="1:5" x14ac:dyDescent="0.25">
      <c r="A2437" s="41">
        <v>8303</v>
      </c>
      <c r="B2437" s="42" t="s">
        <v>2811</v>
      </c>
      <c r="C2437" s="43" t="s">
        <v>289</v>
      </c>
      <c r="D2437" s="43" t="s">
        <v>333</v>
      </c>
      <c r="E2437" s="43" t="s">
        <v>230</v>
      </c>
    </row>
    <row r="2438" spans="1:5" x14ac:dyDescent="0.25">
      <c r="A2438" s="41">
        <v>8304</v>
      </c>
      <c r="B2438" s="42" t="s">
        <v>2812</v>
      </c>
      <c r="C2438" s="43" t="s">
        <v>289</v>
      </c>
      <c r="D2438" s="43" t="s">
        <v>333</v>
      </c>
      <c r="E2438" s="43" t="s">
        <v>230</v>
      </c>
    </row>
    <row r="2439" spans="1:5" x14ac:dyDescent="0.25">
      <c r="A2439" s="41">
        <v>8307</v>
      </c>
      <c r="B2439" s="42" t="s">
        <v>2813</v>
      </c>
      <c r="C2439" s="43" t="s">
        <v>289</v>
      </c>
      <c r="D2439" s="43" t="s">
        <v>327</v>
      </c>
      <c r="E2439" s="43" t="s">
        <v>464</v>
      </c>
    </row>
    <row r="2440" spans="1:5" x14ac:dyDescent="0.25">
      <c r="A2440" s="41">
        <v>8308</v>
      </c>
      <c r="B2440" s="42" t="s">
        <v>2814</v>
      </c>
      <c r="C2440" s="43" t="s">
        <v>289</v>
      </c>
      <c r="D2440" s="43" t="s">
        <v>327</v>
      </c>
      <c r="E2440" s="43" t="s">
        <v>464</v>
      </c>
    </row>
    <row r="2441" spans="1:5" x14ac:dyDescent="0.25">
      <c r="A2441" s="41">
        <v>8309</v>
      </c>
      <c r="B2441" s="42" t="s">
        <v>2815</v>
      </c>
      <c r="C2441" s="43" t="s">
        <v>289</v>
      </c>
      <c r="D2441" s="43" t="s">
        <v>327</v>
      </c>
      <c r="E2441" s="43" t="s">
        <v>464</v>
      </c>
    </row>
    <row r="2442" spans="1:5" x14ac:dyDescent="0.25">
      <c r="A2442" s="41">
        <v>8310</v>
      </c>
      <c r="B2442" s="42" t="s">
        <v>2580</v>
      </c>
      <c r="C2442" s="43" t="s">
        <v>289</v>
      </c>
      <c r="D2442" s="43" t="s">
        <v>327</v>
      </c>
      <c r="E2442" s="43" t="s">
        <v>464</v>
      </c>
    </row>
    <row r="2443" spans="1:5" x14ac:dyDescent="0.25">
      <c r="A2443" s="41">
        <v>8318</v>
      </c>
      <c r="B2443" s="42" t="s">
        <v>2816</v>
      </c>
      <c r="C2443" s="43" t="s">
        <v>289</v>
      </c>
      <c r="D2443" s="43" t="s">
        <v>327</v>
      </c>
      <c r="E2443" s="43" t="s">
        <v>531</v>
      </c>
    </row>
    <row r="2444" spans="1:5" x14ac:dyDescent="0.25">
      <c r="A2444" s="41">
        <v>8319</v>
      </c>
      <c r="B2444" s="42" t="s">
        <v>2817</v>
      </c>
      <c r="C2444" s="43" t="s">
        <v>289</v>
      </c>
      <c r="D2444" s="43" t="s">
        <v>327</v>
      </c>
      <c r="E2444" s="43" t="s">
        <v>464</v>
      </c>
    </row>
    <row r="2445" spans="1:5" x14ac:dyDescent="0.25">
      <c r="A2445" s="41">
        <v>8320</v>
      </c>
      <c r="B2445" s="42" t="s">
        <v>2818</v>
      </c>
      <c r="C2445" s="43" t="s">
        <v>289</v>
      </c>
      <c r="D2445" s="43" t="s">
        <v>327</v>
      </c>
      <c r="E2445" s="43" t="s">
        <v>464</v>
      </c>
    </row>
    <row r="2446" spans="1:5" x14ac:dyDescent="0.25">
      <c r="A2446" s="41">
        <v>8324</v>
      </c>
      <c r="B2446" s="42" t="s">
        <v>2819</v>
      </c>
      <c r="C2446" s="43" t="s">
        <v>289</v>
      </c>
      <c r="D2446" s="43" t="s">
        <v>327</v>
      </c>
      <c r="E2446" s="43" t="s">
        <v>464</v>
      </c>
    </row>
    <row r="2447" spans="1:5" x14ac:dyDescent="0.25">
      <c r="A2447" s="41">
        <v>8327</v>
      </c>
      <c r="B2447" s="42" t="s">
        <v>2820</v>
      </c>
      <c r="C2447" s="43" t="s">
        <v>289</v>
      </c>
      <c r="D2447" s="43" t="s">
        <v>327</v>
      </c>
      <c r="E2447" s="43" t="s">
        <v>464</v>
      </c>
    </row>
    <row r="2448" spans="1:5" x14ac:dyDescent="0.25">
      <c r="A2448" s="41">
        <v>8328</v>
      </c>
      <c r="B2448" s="42" t="s">
        <v>2821</v>
      </c>
      <c r="C2448" s="43" t="s">
        <v>289</v>
      </c>
      <c r="D2448" s="43" t="s">
        <v>327</v>
      </c>
      <c r="E2448" s="43" t="s">
        <v>464</v>
      </c>
    </row>
    <row r="2449" spans="1:5" x14ac:dyDescent="0.25">
      <c r="A2449" s="41">
        <v>8330</v>
      </c>
      <c r="B2449" s="42" t="s">
        <v>2822</v>
      </c>
      <c r="C2449" s="43" t="s">
        <v>289</v>
      </c>
      <c r="D2449" s="43" t="s">
        <v>327</v>
      </c>
      <c r="E2449" s="43" t="s">
        <v>464</v>
      </c>
    </row>
    <row r="2450" spans="1:5" x14ac:dyDescent="0.25">
      <c r="A2450" s="41">
        <v>8331</v>
      </c>
      <c r="B2450" s="42" t="s">
        <v>2823</v>
      </c>
      <c r="C2450" s="43" t="s">
        <v>289</v>
      </c>
      <c r="D2450" s="43" t="s">
        <v>2647</v>
      </c>
      <c r="E2450" s="43" t="s">
        <v>464</v>
      </c>
    </row>
    <row r="2451" spans="1:5" x14ac:dyDescent="0.25">
      <c r="A2451" s="41">
        <v>8337</v>
      </c>
      <c r="B2451" s="42" t="s">
        <v>2824</v>
      </c>
      <c r="C2451" s="43" t="s">
        <v>289</v>
      </c>
      <c r="D2451" s="43" t="s">
        <v>468</v>
      </c>
      <c r="E2451" s="43" t="s">
        <v>230</v>
      </c>
    </row>
    <row r="2452" spans="1:5" x14ac:dyDescent="0.25">
      <c r="A2452" s="41">
        <v>8342</v>
      </c>
      <c r="B2452" s="42" t="s">
        <v>2825</v>
      </c>
      <c r="C2452" s="43" t="s">
        <v>289</v>
      </c>
      <c r="D2452" s="43" t="s">
        <v>468</v>
      </c>
      <c r="E2452" s="43" t="s">
        <v>230</v>
      </c>
    </row>
    <row r="2453" spans="1:5" x14ac:dyDescent="0.25">
      <c r="A2453" s="41">
        <v>8343</v>
      </c>
      <c r="B2453" s="42" t="s">
        <v>2826</v>
      </c>
      <c r="C2453" s="43" t="s">
        <v>289</v>
      </c>
      <c r="D2453" s="43" t="s">
        <v>468</v>
      </c>
      <c r="E2453" s="43" t="s">
        <v>230</v>
      </c>
    </row>
    <row r="2454" spans="1:5" x14ac:dyDescent="0.25">
      <c r="A2454" s="41">
        <v>8348</v>
      </c>
      <c r="B2454" s="42" t="s">
        <v>2827</v>
      </c>
      <c r="C2454" s="43" t="s">
        <v>289</v>
      </c>
      <c r="D2454" s="43" t="s">
        <v>468</v>
      </c>
      <c r="E2454" s="43" t="s">
        <v>230</v>
      </c>
    </row>
    <row r="2455" spans="1:5" x14ac:dyDescent="0.25">
      <c r="A2455" s="41">
        <v>8349</v>
      </c>
      <c r="B2455" s="42" t="s">
        <v>2828</v>
      </c>
      <c r="C2455" s="43" t="s">
        <v>289</v>
      </c>
      <c r="D2455" s="43" t="s">
        <v>1100</v>
      </c>
      <c r="E2455" s="43" t="s">
        <v>464</v>
      </c>
    </row>
    <row r="2456" spans="1:5" x14ac:dyDescent="0.25">
      <c r="A2456" s="41">
        <v>8360</v>
      </c>
      <c r="B2456" s="42" t="s">
        <v>2829</v>
      </c>
      <c r="C2456" s="43" t="s">
        <v>289</v>
      </c>
      <c r="D2456" s="43" t="s">
        <v>327</v>
      </c>
      <c r="E2456" s="43" t="s">
        <v>354</v>
      </c>
    </row>
    <row r="2457" spans="1:5" x14ac:dyDescent="0.25">
      <c r="A2457" s="41">
        <v>8369</v>
      </c>
      <c r="B2457" s="42" t="s">
        <v>2830</v>
      </c>
      <c r="C2457" s="43" t="s">
        <v>289</v>
      </c>
      <c r="D2457" s="43" t="s">
        <v>327</v>
      </c>
      <c r="E2457" s="43" t="s">
        <v>230</v>
      </c>
    </row>
    <row r="2458" spans="1:5" x14ac:dyDescent="0.25">
      <c r="A2458" s="41">
        <v>8371</v>
      </c>
      <c r="B2458" s="42" t="s">
        <v>2831</v>
      </c>
      <c r="C2458" s="43" t="s">
        <v>289</v>
      </c>
      <c r="D2458" s="43" t="s">
        <v>327</v>
      </c>
      <c r="E2458" s="43" t="s">
        <v>230</v>
      </c>
    </row>
    <row r="2459" spans="1:5" x14ac:dyDescent="0.25">
      <c r="A2459" s="41">
        <v>8375</v>
      </c>
      <c r="B2459" s="42" t="s">
        <v>960</v>
      </c>
      <c r="C2459" s="43" t="s">
        <v>289</v>
      </c>
      <c r="D2459" s="43" t="s">
        <v>959</v>
      </c>
      <c r="E2459" s="43" t="s">
        <v>769</v>
      </c>
    </row>
    <row r="2460" spans="1:5" x14ac:dyDescent="0.25">
      <c r="A2460" s="41">
        <v>8376</v>
      </c>
      <c r="B2460" s="42" t="s">
        <v>2832</v>
      </c>
      <c r="C2460" s="43" t="s">
        <v>289</v>
      </c>
      <c r="D2460" s="43" t="s">
        <v>316</v>
      </c>
      <c r="E2460" s="43" t="s">
        <v>464</v>
      </c>
    </row>
    <row r="2461" spans="1:5" x14ac:dyDescent="0.25">
      <c r="A2461" s="41">
        <v>8377</v>
      </c>
      <c r="B2461" s="42" t="s">
        <v>2833</v>
      </c>
      <c r="C2461" s="43" t="s">
        <v>289</v>
      </c>
      <c r="D2461" s="43" t="s">
        <v>316</v>
      </c>
      <c r="E2461" s="43" t="s">
        <v>464</v>
      </c>
    </row>
    <row r="2462" spans="1:5" x14ac:dyDescent="0.25">
      <c r="A2462" s="41">
        <v>8378</v>
      </c>
      <c r="B2462" s="42" t="s">
        <v>2834</v>
      </c>
      <c r="C2462" s="43" t="s">
        <v>289</v>
      </c>
      <c r="D2462" s="43" t="s">
        <v>316</v>
      </c>
      <c r="E2462" s="43" t="s">
        <v>464</v>
      </c>
    </row>
    <row r="2463" spans="1:5" x14ac:dyDescent="0.25">
      <c r="A2463" s="41">
        <v>8381</v>
      </c>
      <c r="B2463" s="42" t="s">
        <v>2835</v>
      </c>
      <c r="C2463" s="43" t="s">
        <v>289</v>
      </c>
      <c r="D2463" s="43" t="s">
        <v>327</v>
      </c>
      <c r="E2463" s="43" t="s">
        <v>230</v>
      </c>
    </row>
    <row r="2464" spans="1:5" x14ac:dyDescent="0.25">
      <c r="A2464" s="41">
        <v>8388</v>
      </c>
      <c r="B2464" s="42" t="s">
        <v>2836</v>
      </c>
      <c r="C2464" s="43" t="s">
        <v>289</v>
      </c>
      <c r="D2464" s="43" t="s">
        <v>835</v>
      </c>
      <c r="E2464" s="43" t="s">
        <v>464</v>
      </c>
    </row>
    <row r="2465" spans="1:5" x14ac:dyDescent="0.25">
      <c r="A2465" s="41">
        <v>8392</v>
      </c>
      <c r="B2465" s="42" t="s">
        <v>2837</v>
      </c>
      <c r="C2465" s="43" t="s">
        <v>289</v>
      </c>
      <c r="D2465" s="43" t="s">
        <v>333</v>
      </c>
      <c r="E2465" s="43" t="s">
        <v>230</v>
      </c>
    </row>
    <row r="2466" spans="1:5" x14ac:dyDescent="0.25">
      <c r="A2466" s="41">
        <v>8396</v>
      </c>
      <c r="B2466" s="42" t="s">
        <v>2838</v>
      </c>
      <c r="C2466" s="43" t="s">
        <v>289</v>
      </c>
      <c r="D2466" s="43" t="s">
        <v>795</v>
      </c>
      <c r="E2466" s="43" t="s">
        <v>170</v>
      </c>
    </row>
    <row r="2467" spans="1:5" x14ac:dyDescent="0.25">
      <c r="A2467" s="41">
        <v>8397</v>
      </c>
      <c r="B2467" s="42" t="s">
        <v>2839</v>
      </c>
      <c r="C2467" s="43" t="s">
        <v>289</v>
      </c>
      <c r="D2467" s="43" t="s">
        <v>795</v>
      </c>
      <c r="E2467" s="43" t="s">
        <v>170</v>
      </c>
    </row>
    <row r="2468" spans="1:5" x14ac:dyDescent="0.25">
      <c r="A2468" s="41">
        <v>8399</v>
      </c>
      <c r="B2468" s="42" t="s">
        <v>2840</v>
      </c>
      <c r="C2468" s="43" t="s">
        <v>289</v>
      </c>
      <c r="D2468" s="43" t="s">
        <v>845</v>
      </c>
      <c r="E2468" s="43" t="s">
        <v>170</v>
      </c>
    </row>
    <row r="2469" spans="1:5" x14ac:dyDescent="0.25">
      <c r="A2469" s="41">
        <v>8407</v>
      </c>
      <c r="B2469" s="42" t="s">
        <v>2841</v>
      </c>
      <c r="C2469" s="43" t="s">
        <v>289</v>
      </c>
      <c r="D2469" s="43" t="s">
        <v>1041</v>
      </c>
      <c r="E2469" s="43" t="s">
        <v>230</v>
      </c>
    </row>
    <row r="2470" spans="1:5" x14ac:dyDescent="0.25">
      <c r="A2470" s="41">
        <v>8413</v>
      </c>
      <c r="B2470" s="42" t="s">
        <v>2842</v>
      </c>
      <c r="C2470" s="43" t="s">
        <v>289</v>
      </c>
      <c r="D2470" s="43" t="s">
        <v>468</v>
      </c>
      <c r="E2470" s="43" t="s">
        <v>230</v>
      </c>
    </row>
    <row r="2471" spans="1:5" x14ac:dyDescent="0.25">
      <c r="A2471" s="41">
        <v>8414</v>
      </c>
      <c r="B2471" s="42" t="s">
        <v>2843</v>
      </c>
      <c r="C2471" s="43" t="s">
        <v>289</v>
      </c>
      <c r="D2471" s="43" t="s">
        <v>468</v>
      </c>
      <c r="E2471" s="43" t="s">
        <v>230</v>
      </c>
    </row>
    <row r="2472" spans="1:5" x14ac:dyDescent="0.25">
      <c r="A2472" s="41">
        <v>8416</v>
      </c>
      <c r="B2472" s="42" t="s">
        <v>2844</v>
      </c>
      <c r="C2472" s="43" t="s">
        <v>289</v>
      </c>
      <c r="D2472" s="43" t="s">
        <v>468</v>
      </c>
      <c r="E2472" s="43" t="s">
        <v>230</v>
      </c>
    </row>
    <row r="2473" spans="1:5" x14ac:dyDescent="0.25">
      <c r="A2473" s="41">
        <v>8417</v>
      </c>
      <c r="B2473" s="42" t="s">
        <v>2845</v>
      </c>
      <c r="C2473" s="43" t="s">
        <v>289</v>
      </c>
      <c r="D2473" s="43" t="s">
        <v>327</v>
      </c>
      <c r="E2473" s="43" t="s">
        <v>354</v>
      </c>
    </row>
    <row r="2474" spans="1:5" x14ac:dyDescent="0.25">
      <c r="A2474" s="41">
        <v>8418</v>
      </c>
      <c r="B2474" s="42" t="s">
        <v>2846</v>
      </c>
      <c r="C2474" s="43" t="s">
        <v>289</v>
      </c>
      <c r="D2474" s="43" t="s">
        <v>316</v>
      </c>
      <c r="E2474" s="43" t="s">
        <v>531</v>
      </c>
    </row>
    <row r="2475" spans="1:5" x14ac:dyDescent="0.25">
      <c r="A2475" s="41">
        <v>8421</v>
      </c>
      <c r="B2475" s="42" t="s">
        <v>2847</v>
      </c>
      <c r="C2475" s="43" t="s">
        <v>289</v>
      </c>
      <c r="D2475" s="43" t="s">
        <v>996</v>
      </c>
      <c r="E2475" s="43" t="s">
        <v>454</v>
      </c>
    </row>
    <row r="2476" spans="1:5" x14ac:dyDescent="0.25">
      <c r="A2476" s="41">
        <v>8430</v>
      </c>
      <c r="B2476" s="42" t="s">
        <v>2848</v>
      </c>
      <c r="C2476" s="43" t="s">
        <v>289</v>
      </c>
      <c r="D2476" s="43" t="s">
        <v>474</v>
      </c>
      <c r="E2476" s="43" t="s">
        <v>373</v>
      </c>
    </row>
    <row r="2477" spans="1:5" x14ac:dyDescent="0.25">
      <c r="A2477" s="41">
        <v>8436</v>
      </c>
      <c r="B2477" s="42" t="s">
        <v>2849</v>
      </c>
      <c r="C2477" s="43" t="s">
        <v>289</v>
      </c>
      <c r="D2477" s="43" t="s">
        <v>327</v>
      </c>
      <c r="E2477" s="43" t="s">
        <v>217</v>
      </c>
    </row>
    <row r="2478" spans="1:5" x14ac:dyDescent="0.25">
      <c r="A2478" s="41">
        <v>8444</v>
      </c>
      <c r="B2478" s="42" t="s">
        <v>2850</v>
      </c>
      <c r="C2478" s="43" t="s">
        <v>289</v>
      </c>
      <c r="D2478" s="43" t="s">
        <v>635</v>
      </c>
      <c r="E2478" s="43" t="s">
        <v>230</v>
      </c>
    </row>
    <row r="2479" spans="1:5" x14ac:dyDescent="0.25">
      <c r="A2479" s="41">
        <v>8451</v>
      </c>
      <c r="B2479" s="42" t="s">
        <v>2851</v>
      </c>
      <c r="C2479" s="43" t="s">
        <v>289</v>
      </c>
      <c r="D2479" s="43" t="s">
        <v>333</v>
      </c>
      <c r="E2479" s="43" t="s">
        <v>230</v>
      </c>
    </row>
    <row r="2480" spans="1:5" x14ac:dyDescent="0.25">
      <c r="A2480" s="41">
        <v>8461</v>
      </c>
      <c r="B2480" s="42" t="s">
        <v>2852</v>
      </c>
      <c r="C2480" s="43" t="s">
        <v>289</v>
      </c>
      <c r="D2480" s="43" t="s">
        <v>327</v>
      </c>
      <c r="E2480" s="43" t="s">
        <v>230</v>
      </c>
    </row>
    <row r="2481" spans="1:5" x14ac:dyDescent="0.25">
      <c r="A2481" s="41">
        <v>8466</v>
      </c>
      <c r="B2481" s="42" t="s">
        <v>2853</v>
      </c>
      <c r="C2481" s="43" t="s">
        <v>289</v>
      </c>
      <c r="D2481" s="43" t="s">
        <v>468</v>
      </c>
      <c r="E2481" s="43" t="s">
        <v>230</v>
      </c>
    </row>
    <row r="2482" spans="1:5" x14ac:dyDescent="0.25">
      <c r="A2482" s="41">
        <v>8467</v>
      </c>
      <c r="B2482" s="42" t="s">
        <v>2854</v>
      </c>
      <c r="C2482" s="43" t="s">
        <v>289</v>
      </c>
      <c r="D2482" s="43" t="s">
        <v>327</v>
      </c>
      <c r="E2482" s="43" t="s">
        <v>170</v>
      </c>
    </row>
    <row r="2483" spans="1:5" x14ac:dyDescent="0.25">
      <c r="A2483" s="41">
        <v>8468</v>
      </c>
      <c r="B2483" s="42" t="s">
        <v>2855</v>
      </c>
      <c r="C2483" s="43" t="s">
        <v>289</v>
      </c>
      <c r="D2483" s="43" t="s">
        <v>327</v>
      </c>
      <c r="E2483" s="43" t="s">
        <v>170</v>
      </c>
    </row>
    <row r="2484" spans="1:5" x14ac:dyDescent="0.25">
      <c r="A2484" s="41">
        <v>8469</v>
      </c>
      <c r="B2484" s="42" t="s">
        <v>2856</v>
      </c>
      <c r="C2484" s="43" t="s">
        <v>289</v>
      </c>
      <c r="D2484" s="43" t="s">
        <v>333</v>
      </c>
      <c r="E2484" s="43" t="s">
        <v>464</v>
      </c>
    </row>
    <row r="2485" spans="1:5" x14ac:dyDescent="0.25">
      <c r="A2485" s="41">
        <v>8480</v>
      </c>
      <c r="B2485" s="42" t="s">
        <v>2857</v>
      </c>
      <c r="C2485" s="43" t="s">
        <v>289</v>
      </c>
      <c r="D2485" s="43" t="s">
        <v>996</v>
      </c>
      <c r="E2485" s="43" t="s">
        <v>230</v>
      </c>
    </row>
    <row r="2486" spans="1:5" x14ac:dyDescent="0.25">
      <c r="A2486" s="41">
        <v>8481</v>
      </c>
      <c r="B2486" s="42" t="s">
        <v>2858</v>
      </c>
      <c r="C2486" s="43" t="s">
        <v>289</v>
      </c>
      <c r="D2486" s="43" t="s">
        <v>996</v>
      </c>
      <c r="E2486" s="43" t="s">
        <v>230</v>
      </c>
    </row>
    <row r="2487" spans="1:5" x14ac:dyDescent="0.25">
      <c r="A2487" s="41">
        <v>8484</v>
      </c>
      <c r="B2487" s="42" t="s">
        <v>2859</v>
      </c>
      <c r="C2487" s="43" t="s">
        <v>289</v>
      </c>
      <c r="D2487" s="43" t="s">
        <v>468</v>
      </c>
      <c r="E2487" s="43" t="s">
        <v>230</v>
      </c>
    </row>
    <row r="2488" spans="1:5" x14ac:dyDescent="0.25">
      <c r="A2488" s="41">
        <v>8486</v>
      </c>
      <c r="B2488" s="42" t="s">
        <v>2860</v>
      </c>
      <c r="C2488" s="43" t="s">
        <v>289</v>
      </c>
      <c r="D2488" s="43" t="s">
        <v>327</v>
      </c>
      <c r="E2488" s="43" t="s">
        <v>531</v>
      </c>
    </row>
    <row r="2489" spans="1:5" x14ac:dyDescent="0.25">
      <c r="A2489" s="41">
        <v>8487</v>
      </c>
      <c r="B2489" s="42" t="s">
        <v>2861</v>
      </c>
      <c r="C2489" s="43" t="s">
        <v>289</v>
      </c>
      <c r="D2489" s="43" t="s">
        <v>327</v>
      </c>
      <c r="E2489" s="43" t="s">
        <v>230</v>
      </c>
    </row>
    <row r="2490" spans="1:5" x14ac:dyDescent="0.25">
      <c r="A2490" s="41">
        <v>8488</v>
      </c>
      <c r="B2490" s="42" t="s">
        <v>2862</v>
      </c>
      <c r="C2490" s="43" t="s">
        <v>289</v>
      </c>
      <c r="D2490" s="43" t="s">
        <v>333</v>
      </c>
      <c r="E2490" s="43" t="s">
        <v>230</v>
      </c>
    </row>
    <row r="2491" spans="1:5" x14ac:dyDescent="0.25">
      <c r="A2491" s="41">
        <v>8489</v>
      </c>
      <c r="B2491" s="42" t="s">
        <v>2863</v>
      </c>
      <c r="C2491" s="43" t="s">
        <v>289</v>
      </c>
      <c r="D2491" s="43" t="s">
        <v>327</v>
      </c>
      <c r="E2491" s="43" t="s">
        <v>230</v>
      </c>
    </row>
    <row r="2492" spans="1:5" x14ac:dyDescent="0.25">
      <c r="A2492" s="41">
        <v>8493</v>
      </c>
      <c r="B2492" s="42" t="s">
        <v>2864</v>
      </c>
      <c r="C2492" s="43" t="s">
        <v>289</v>
      </c>
      <c r="D2492" s="43" t="s">
        <v>327</v>
      </c>
      <c r="E2492" s="43" t="s">
        <v>230</v>
      </c>
    </row>
    <row r="2493" spans="1:5" x14ac:dyDescent="0.25">
      <c r="A2493" s="41">
        <v>8494</v>
      </c>
      <c r="B2493" s="42" t="s">
        <v>2865</v>
      </c>
      <c r="C2493" s="43" t="s">
        <v>289</v>
      </c>
      <c r="D2493" s="43" t="s">
        <v>327</v>
      </c>
      <c r="E2493" s="43" t="s">
        <v>230</v>
      </c>
    </row>
    <row r="2494" spans="1:5" x14ac:dyDescent="0.25">
      <c r="A2494" s="41">
        <v>8495</v>
      </c>
      <c r="B2494" s="42" t="s">
        <v>2866</v>
      </c>
      <c r="C2494" s="43" t="s">
        <v>289</v>
      </c>
      <c r="D2494" s="43" t="s">
        <v>327</v>
      </c>
      <c r="E2494" s="43" t="s">
        <v>230</v>
      </c>
    </row>
    <row r="2495" spans="1:5" x14ac:dyDescent="0.25">
      <c r="A2495" s="41">
        <v>8499</v>
      </c>
      <c r="B2495" s="42" t="s">
        <v>2867</v>
      </c>
      <c r="C2495" s="43" t="s">
        <v>289</v>
      </c>
      <c r="D2495" s="43" t="s">
        <v>316</v>
      </c>
      <c r="E2495" s="43" t="s">
        <v>230</v>
      </c>
    </row>
    <row r="2496" spans="1:5" x14ac:dyDescent="0.25">
      <c r="A2496" s="41">
        <v>8500</v>
      </c>
      <c r="B2496" s="42" t="s">
        <v>2868</v>
      </c>
      <c r="C2496" s="43" t="s">
        <v>289</v>
      </c>
      <c r="D2496" s="43" t="s">
        <v>316</v>
      </c>
      <c r="E2496" s="43" t="s">
        <v>336</v>
      </c>
    </row>
    <row r="2497" spans="1:5" x14ac:dyDescent="0.25">
      <c r="A2497" s="41">
        <v>8501</v>
      </c>
      <c r="B2497" s="42" t="s">
        <v>2869</v>
      </c>
      <c r="C2497" s="43" t="s">
        <v>289</v>
      </c>
      <c r="D2497" s="43" t="s">
        <v>316</v>
      </c>
      <c r="E2497" s="43" t="s">
        <v>336</v>
      </c>
    </row>
    <row r="2498" spans="1:5" x14ac:dyDescent="0.25">
      <c r="A2498" s="41">
        <v>8504</v>
      </c>
      <c r="B2498" s="42" t="s">
        <v>2870</v>
      </c>
      <c r="C2498" s="43" t="s">
        <v>289</v>
      </c>
      <c r="D2498" s="43" t="s">
        <v>327</v>
      </c>
      <c r="E2498" s="43" t="s">
        <v>230</v>
      </c>
    </row>
    <row r="2499" spans="1:5" x14ac:dyDescent="0.25">
      <c r="A2499" s="41">
        <v>8506</v>
      </c>
      <c r="B2499" s="42" t="s">
        <v>2871</v>
      </c>
      <c r="C2499" s="43" t="s">
        <v>289</v>
      </c>
      <c r="D2499" s="43" t="s">
        <v>327</v>
      </c>
      <c r="E2499" s="43" t="s">
        <v>230</v>
      </c>
    </row>
    <row r="2500" spans="1:5" x14ac:dyDescent="0.25">
      <c r="A2500" s="41">
        <v>8507</v>
      </c>
      <c r="B2500" s="42" t="s">
        <v>2872</v>
      </c>
      <c r="C2500" s="43" t="s">
        <v>289</v>
      </c>
      <c r="D2500" s="43" t="s">
        <v>327</v>
      </c>
      <c r="E2500" s="43" t="s">
        <v>230</v>
      </c>
    </row>
    <row r="2501" spans="1:5" x14ac:dyDescent="0.25">
      <c r="A2501" s="41">
        <v>8508</v>
      </c>
      <c r="B2501" s="42" t="s">
        <v>2873</v>
      </c>
      <c r="C2501" s="43" t="s">
        <v>289</v>
      </c>
      <c r="D2501" s="43" t="s">
        <v>327</v>
      </c>
      <c r="E2501" s="43" t="s">
        <v>230</v>
      </c>
    </row>
    <row r="2502" spans="1:5" x14ac:dyDescent="0.25">
      <c r="A2502" s="41">
        <v>8512</v>
      </c>
      <c r="B2502" s="42" t="s">
        <v>2874</v>
      </c>
      <c r="C2502" s="43" t="s">
        <v>289</v>
      </c>
      <c r="D2502" s="43" t="s">
        <v>845</v>
      </c>
      <c r="E2502" s="43" t="s">
        <v>230</v>
      </c>
    </row>
    <row r="2503" spans="1:5" x14ac:dyDescent="0.25">
      <c r="A2503" s="41">
        <v>8513</v>
      </c>
      <c r="B2503" s="42" t="s">
        <v>2875</v>
      </c>
      <c r="C2503" s="43" t="s">
        <v>289</v>
      </c>
      <c r="D2503" s="43" t="s">
        <v>316</v>
      </c>
      <c r="E2503" s="43" t="s">
        <v>230</v>
      </c>
    </row>
    <row r="2504" spans="1:5" x14ac:dyDescent="0.25">
      <c r="A2504" s="41">
        <v>8515</v>
      </c>
      <c r="B2504" s="42" t="s">
        <v>2876</v>
      </c>
      <c r="C2504" s="43" t="s">
        <v>289</v>
      </c>
      <c r="D2504" s="43" t="s">
        <v>996</v>
      </c>
      <c r="E2504" s="43" t="s">
        <v>464</v>
      </c>
    </row>
    <row r="2505" spans="1:5" x14ac:dyDescent="0.25">
      <c r="A2505" s="41">
        <v>8518</v>
      </c>
      <c r="B2505" s="42" t="s">
        <v>2877</v>
      </c>
      <c r="C2505" s="43" t="s">
        <v>289</v>
      </c>
      <c r="D2505" s="43" t="s">
        <v>996</v>
      </c>
      <c r="E2505" s="43" t="s">
        <v>464</v>
      </c>
    </row>
    <row r="2506" spans="1:5" x14ac:dyDescent="0.25">
      <c r="A2506" s="41">
        <v>8520</v>
      </c>
      <c r="B2506" s="42" t="s">
        <v>2878</v>
      </c>
      <c r="C2506" s="43" t="s">
        <v>289</v>
      </c>
      <c r="D2506" s="43" t="s">
        <v>996</v>
      </c>
      <c r="E2506" s="43" t="s">
        <v>464</v>
      </c>
    </row>
    <row r="2507" spans="1:5" x14ac:dyDescent="0.25">
      <c r="A2507" s="41">
        <v>8525</v>
      </c>
      <c r="B2507" s="42" t="s">
        <v>2879</v>
      </c>
      <c r="C2507" s="43" t="s">
        <v>289</v>
      </c>
      <c r="D2507" s="43" t="s">
        <v>996</v>
      </c>
      <c r="E2507" s="43" t="s">
        <v>464</v>
      </c>
    </row>
    <row r="2508" spans="1:5" x14ac:dyDescent="0.25">
      <c r="A2508" s="41">
        <v>8526</v>
      </c>
      <c r="B2508" s="42" t="s">
        <v>2880</v>
      </c>
      <c r="C2508" s="43" t="s">
        <v>289</v>
      </c>
      <c r="D2508" s="43" t="s">
        <v>996</v>
      </c>
      <c r="E2508" s="43" t="s">
        <v>464</v>
      </c>
    </row>
    <row r="2509" spans="1:5" x14ac:dyDescent="0.25">
      <c r="A2509" s="41">
        <v>8527</v>
      </c>
      <c r="B2509" s="42" t="s">
        <v>2881</v>
      </c>
      <c r="C2509" s="43" t="s">
        <v>289</v>
      </c>
      <c r="D2509" s="43" t="s">
        <v>996</v>
      </c>
      <c r="E2509" s="43" t="s">
        <v>464</v>
      </c>
    </row>
    <row r="2510" spans="1:5" x14ac:dyDescent="0.25">
      <c r="A2510" s="41">
        <v>8528</v>
      </c>
      <c r="B2510" s="42" t="s">
        <v>2882</v>
      </c>
      <c r="C2510" s="43" t="s">
        <v>289</v>
      </c>
      <c r="D2510" s="43" t="s">
        <v>996</v>
      </c>
      <c r="E2510" s="43" t="s">
        <v>464</v>
      </c>
    </row>
    <row r="2511" spans="1:5" x14ac:dyDescent="0.25">
      <c r="A2511" s="41">
        <v>8535</v>
      </c>
      <c r="B2511" s="42" t="s">
        <v>2883</v>
      </c>
      <c r="C2511" s="43" t="s">
        <v>289</v>
      </c>
      <c r="D2511" s="43" t="s">
        <v>474</v>
      </c>
      <c r="E2511" s="43" t="s">
        <v>230</v>
      </c>
    </row>
    <row r="2512" spans="1:5" x14ac:dyDescent="0.25">
      <c r="A2512" s="41">
        <v>8536</v>
      </c>
      <c r="B2512" s="42" t="s">
        <v>2884</v>
      </c>
      <c r="C2512" s="43" t="s">
        <v>289</v>
      </c>
      <c r="D2512" s="43" t="s">
        <v>482</v>
      </c>
      <c r="E2512" s="43" t="s">
        <v>472</v>
      </c>
    </row>
    <row r="2513" spans="1:5" x14ac:dyDescent="0.25">
      <c r="A2513" s="41">
        <v>8542</v>
      </c>
      <c r="B2513" s="42" t="s">
        <v>2885</v>
      </c>
      <c r="C2513" s="43" t="s">
        <v>289</v>
      </c>
      <c r="D2513" s="43" t="s">
        <v>314</v>
      </c>
      <c r="E2513" s="43" t="s">
        <v>230</v>
      </c>
    </row>
    <row r="2514" spans="1:5" x14ac:dyDescent="0.25">
      <c r="A2514" s="41">
        <v>8545</v>
      </c>
      <c r="B2514" s="42" t="s">
        <v>2886</v>
      </c>
      <c r="C2514" s="43" t="s">
        <v>289</v>
      </c>
      <c r="D2514" s="43" t="s">
        <v>327</v>
      </c>
      <c r="E2514" s="43" t="s">
        <v>464</v>
      </c>
    </row>
    <row r="2515" spans="1:5" x14ac:dyDescent="0.25">
      <c r="A2515" s="41">
        <v>8549</v>
      </c>
      <c r="B2515" s="42" t="s">
        <v>2887</v>
      </c>
      <c r="C2515" s="43" t="s">
        <v>289</v>
      </c>
      <c r="D2515" s="43" t="s">
        <v>795</v>
      </c>
      <c r="E2515" s="43" t="s">
        <v>170</v>
      </c>
    </row>
    <row r="2516" spans="1:5" x14ac:dyDescent="0.25">
      <c r="A2516" s="41">
        <v>8563</v>
      </c>
      <c r="B2516" s="42" t="s">
        <v>2888</v>
      </c>
      <c r="C2516" s="43" t="s">
        <v>289</v>
      </c>
      <c r="D2516" s="43" t="s">
        <v>335</v>
      </c>
      <c r="E2516" s="43" t="s">
        <v>336</v>
      </c>
    </row>
    <row r="2517" spans="1:5" x14ac:dyDescent="0.25">
      <c r="A2517" s="41">
        <v>8564</v>
      </c>
      <c r="B2517" s="42" t="s">
        <v>2889</v>
      </c>
      <c r="C2517" s="43" t="s">
        <v>289</v>
      </c>
      <c r="D2517" s="43" t="s">
        <v>314</v>
      </c>
      <c r="E2517" s="43" t="s">
        <v>354</v>
      </c>
    </row>
    <row r="2518" spans="1:5" x14ac:dyDescent="0.25">
      <c r="A2518" s="41">
        <v>8581</v>
      </c>
      <c r="B2518" s="42" t="s">
        <v>2890</v>
      </c>
      <c r="C2518" s="43" t="s">
        <v>289</v>
      </c>
      <c r="D2518" s="43" t="s">
        <v>996</v>
      </c>
      <c r="E2518" s="43" t="s">
        <v>170</v>
      </c>
    </row>
    <row r="2519" spans="1:5" x14ac:dyDescent="0.25">
      <c r="A2519" s="41">
        <v>8582</v>
      </c>
      <c r="B2519" s="42" t="s">
        <v>2891</v>
      </c>
      <c r="C2519" s="43" t="s">
        <v>289</v>
      </c>
      <c r="D2519" s="43" t="s">
        <v>996</v>
      </c>
      <c r="E2519" s="43" t="s">
        <v>170</v>
      </c>
    </row>
    <row r="2520" spans="1:5" x14ac:dyDescent="0.25">
      <c r="A2520" s="41">
        <v>8584</v>
      </c>
      <c r="B2520" s="42" t="s">
        <v>2892</v>
      </c>
      <c r="C2520" s="43" t="s">
        <v>289</v>
      </c>
      <c r="D2520" s="43" t="s">
        <v>996</v>
      </c>
      <c r="E2520" s="43" t="s">
        <v>170</v>
      </c>
    </row>
    <row r="2521" spans="1:5" x14ac:dyDescent="0.25">
      <c r="A2521" s="41">
        <v>8586</v>
      </c>
      <c r="B2521" s="42" t="s">
        <v>2893</v>
      </c>
      <c r="C2521" s="43" t="s">
        <v>289</v>
      </c>
      <c r="D2521" s="43" t="s">
        <v>375</v>
      </c>
      <c r="E2521" s="43" t="s">
        <v>230</v>
      </c>
    </row>
    <row r="2522" spans="1:5" x14ac:dyDescent="0.25">
      <c r="A2522" s="41">
        <v>8588</v>
      </c>
      <c r="B2522" s="42" t="s">
        <v>2894</v>
      </c>
      <c r="C2522" s="43" t="s">
        <v>289</v>
      </c>
      <c r="D2522" s="43" t="s">
        <v>795</v>
      </c>
      <c r="E2522" s="43" t="s">
        <v>373</v>
      </c>
    </row>
    <row r="2523" spans="1:5" x14ac:dyDescent="0.25">
      <c r="A2523" s="41">
        <v>8590</v>
      </c>
      <c r="B2523" s="42" t="s">
        <v>2895</v>
      </c>
      <c r="C2523" s="43" t="s">
        <v>289</v>
      </c>
      <c r="D2523" s="43" t="s">
        <v>1100</v>
      </c>
      <c r="E2523" s="43" t="s">
        <v>766</v>
      </c>
    </row>
    <row r="2524" spans="1:5" x14ac:dyDescent="0.25">
      <c r="A2524" s="41">
        <v>8591</v>
      </c>
      <c r="B2524" s="42" t="s">
        <v>2896</v>
      </c>
      <c r="C2524" s="43" t="s">
        <v>289</v>
      </c>
      <c r="D2524" s="43" t="s">
        <v>1100</v>
      </c>
      <c r="E2524" s="43" t="s">
        <v>766</v>
      </c>
    </row>
    <row r="2525" spans="1:5" x14ac:dyDescent="0.25">
      <c r="A2525" s="41">
        <v>8608</v>
      </c>
      <c r="B2525" s="42" t="s">
        <v>2897</v>
      </c>
      <c r="C2525" s="43" t="s">
        <v>289</v>
      </c>
      <c r="D2525" s="43" t="s">
        <v>1326</v>
      </c>
      <c r="E2525" s="43" t="s">
        <v>230</v>
      </c>
    </row>
    <row r="2526" spans="1:5" x14ac:dyDescent="0.25">
      <c r="A2526" s="41">
        <v>8610</v>
      </c>
      <c r="B2526" s="42" t="s">
        <v>2898</v>
      </c>
      <c r="C2526" s="43" t="s">
        <v>289</v>
      </c>
      <c r="D2526" s="43" t="s">
        <v>327</v>
      </c>
      <c r="E2526" s="43" t="s">
        <v>230</v>
      </c>
    </row>
    <row r="2527" spans="1:5" x14ac:dyDescent="0.25">
      <c r="A2527" s="41">
        <v>8613</v>
      </c>
      <c r="B2527" s="42" t="s">
        <v>2899</v>
      </c>
      <c r="C2527" s="43" t="s">
        <v>289</v>
      </c>
      <c r="D2527" s="43" t="s">
        <v>316</v>
      </c>
      <c r="E2527" s="43" t="s">
        <v>454</v>
      </c>
    </row>
    <row r="2528" spans="1:5" x14ac:dyDescent="0.25">
      <c r="A2528" s="41">
        <v>8615</v>
      </c>
      <c r="B2528" s="42" t="s">
        <v>2900</v>
      </c>
      <c r="C2528" s="43" t="s">
        <v>289</v>
      </c>
      <c r="D2528" s="43" t="s">
        <v>1779</v>
      </c>
      <c r="E2528" s="43" t="s">
        <v>230</v>
      </c>
    </row>
    <row r="2529" spans="1:5" x14ac:dyDescent="0.25">
      <c r="A2529" s="41">
        <v>8617</v>
      </c>
      <c r="B2529" s="42" t="s">
        <v>2901</v>
      </c>
      <c r="C2529" s="43" t="s">
        <v>289</v>
      </c>
      <c r="D2529" s="43" t="s">
        <v>333</v>
      </c>
      <c r="E2529" s="43" t="s">
        <v>230</v>
      </c>
    </row>
    <row r="2530" spans="1:5" x14ac:dyDescent="0.25">
      <c r="A2530" s="41">
        <v>8621</v>
      </c>
      <c r="B2530" s="42" t="s">
        <v>2902</v>
      </c>
      <c r="C2530" s="43" t="s">
        <v>289</v>
      </c>
      <c r="D2530" s="43" t="s">
        <v>327</v>
      </c>
      <c r="E2530" s="43" t="s">
        <v>230</v>
      </c>
    </row>
    <row r="2531" spans="1:5" x14ac:dyDescent="0.25">
      <c r="A2531" s="41">
        <v>8623</v>
      </c>
      <c r="B2531" s="42" t="s">
        <v>2903</v>
      </c>
      <c r="C2531" s="43" t="s">
        <v>289</v>
      </c>
      <c r="D2531" s="43" t="s">
        <v>468</v>
      </c>
      <c r="E2531" s="43" t="s">
        <v>464</v>
      </c>
    </row>
    <row r="2532" spans="1:5" x14ac:dyDescent="0.25">
      <c r="A2532" s="41">
        <v>8627</v>
      </c>
      <c r="B2532" s="42" t="s">
        <v>2904</v>
      </c>
      <c r="C2532" s="43" t="s">
        <v>289</v>
      </c>
      <c r="D2532" s="43" t="s">
        <v>316</v>
      </c>
      <c r="E2532" s="43" t="s">
        <v>230</v>
      </c>
    </row>
    <row r="2533" spans="1:5" x14ac:dyDescent="0.25">
      <c r="A2533" s="41">
        <v>8628</v>
      </c>
      <c r="B2533" s="42" t="s">
        <v>2905</v>
      </c>
      <c r="C2533" s="43" t="s">
        <v>289</v>
      </c>
      <c r="D2533" s="43" t="s">
        <v>316</v>
      </c>
      <c r="E2533" s="43" t="s">
        <v>230</v>
      </c>
    </row>
    <row r="2534" spans="1:5" x14ac:dyDescent="0.25">
      <c r="A2534" s="41">
        <v>8630</v>
      </c>
      <c r="B2534" s="42" t="s">
        <v>2906</v>
      </c>
      <c r="C2534" s="43" t="s">
        <v>289</v>
      </c>
      <c r="D2534" s="43" t="s">
        <v>316</v>
      </c>
      <c r="E2534" s="43" t="s">
        <v>230</v>
      </c>
    </row>
    <row r="2535" spans="1:5" x14ac:dyDescent="0.25">
      <c r="A2535" s="41">
        <v>8633</v>
      </c>
      <c r="B2535" s="42" t="s">
        <v>2907</v>
      </c>
      <c r="C2535" s="43" t="s">
        <v>289</v>
      </c>
      <c r="D2535" s="43" t="s">
        <v>327</v>
      </c>
      <c r="E2535" s="43" t="s">
        <v>464</v>
      </c>
    </row>
    <row r="2536" spans="1:5" x14ac:dyDescent="0.25">
      <c r="A2536" s="41">
        <v>8638</v>
      </c>
      <c r="B2536" s="42" t="s">
        <v>2908</v>
      </c>
      <c r="C2536" s="43" t="s">
        <v>289</v>
      </c>
      <c r="D2536" s="43" t="s">
        <v>1779</v>
      </c>
      <c r="E2536" s="43" t="s">
        <v>464</v>
      </c>
    </row>
    <row r="2537" spans="1:5" x14ac:dyDescent="0.25">
      <c r="A2537" s="41">
        <v>8640</v>
      </c>
      <c r="B2537" s="42" t="s">
        <v>2909</v>
      </c>
      <c r="C2537" s="43" t="s">
        <v>289</v>
      </c>
      <c r="D2537" s="43" t="s">
        <v>996</v>
      </c>
      <c r="E2537" s="43" t="s">
        <v>230</v>
      </c>
    </row>
    <row r="2538" spans="1:5" x14ac:dyDescent="0.25">
      <c r="A2538" s="41">
        <v>8641</v>
      </c>
      <c r="B2538" s="42" t="s">
        <v>2910</v>
      </c>
      <c r="C2538" s="43" t="s">
        <v>289</v>
      </c>
      <c r="D2538" s="43" t="s">
        <v>996</v>
      </c>
      <c r="E2538" s="43" t="s">
        <v>230</v>
      </c>
    </row>
    <row r="2539" spans="1:5" x14ac:dyDescent="0.25">
      <c r="A2539" s="41">
        <v>8642</v>
      </c>
      <c r="B2539" s="42" t="s">
        <v>2911</v>
      </c>
      <c r="C2539" s="43" t="s">
        <v>289</v>
      </c>
      <c r="D2539" s="43" t="s">
        <v>996</v>
      </c>
      <c r="E2539" s="43" t="s">
        <v>230</v>
      </c>
    </row>
    <row r="2540" spans="1:5" x14ac:dyDescent="0.25">
      <c r="A2540" s="41">
        <v>8644</v>
      </c>
      <c r="B2540" s="42" t="s">
        <v>2912</v>
      </c>
      <c r="C2540" s="43" t="s">
        <v>289</v>
      </c>
      <c r="D2540" s="43" t="s">
        <v>996</v>
      </c>
      <c r="E2540" s="43" t="s">
        <v>230</v>
      </c>
    </row>
    <row r="2541" spans="1:5" x14ac:dyDescent="0.25">
      <c r="A2541" s="41">
        <v>8649</v>
      </c>
      <c r="B2541" s="42" t="s">
        <v>2913</v>
      </c>
      <c r="C2541" s="43" t="s">
        <v>289</v>
      </c>
      <c r="D2541" s="43" t="s">
        <v>633</v>
      </c>
      <c r="E2541" s="43" t="s">
        <v>464</v>
      </c>
    </row>
    <row r="2542" spans="1:5" x14ac:dyDescent="0.25">
      <c r="A2542" s="41">
        <v>8652</v>
      </c>
      <c r="B2542" s="42" t="s">
        <v>2914</v>
      </c>
      <c r="C2542" s="43" t="s">
        <v>289</v>
      </c>
      <c r="D2542" s="43" t="s">
        <v>290</v>
      </c>
      <c r="E2542" s="43" t="s">
        <v>230</v>
      </c>
    </row>
    <row r="2543" spans="1:5" x14ac:dyDescent="0.25">
      <c r="A2543" s="41">
        <v>8655</v>
      </c>
      <c r="B2543" s="42" t="s">
        <v>2915</v>
      </c>
      <c r="C2543" s="43" t="s">
        <v>289</v>
      </c>
      <c r="D2543" s="43" t="s">
        <v>290</v>
      </c>
      <c r="E2543" s="43" t="s">
        <v>230</v>
      </c>
    </row>
    <row r="2544" spans="1:5" x14ac:dyDescent="0.25">
      <c r="A2544" s="41">
        <v>8657</v>
      </c>
      <c r="B2544" s="42" t="s">
        <v>2916</v>
      </c>
      <c r="C2544" s="43" t="s">
        <v>289</v>
      </c>
      <c r="D2544" s="43" t="s">
        <v>466</v>
      </c>
      <c r="E2544" s="43" t="s">
        <v>230</v>
      </c>
    </row>
    <row r="2545" spans="1:5" x14ac:dyDescent="0.25">
      <c r="A2545" s="41">
        <v>8659</v>
      </c>
      <c r="B2545" s="42" t="s">
        <v>2917</v>
      </c>
      <c r="C2545" s="43" t="s">
        <v>289</v>
      </c>
      <c r="D2545" s="43" t="s">
        <v>327</v>
      </c>
      <c r="E2545" s="43" t="s">
        <v>230</v>
      </c>
    </row>
    <row r="2546" spans="1:5" x14ac:dyDescent="0.25">
      <c r="A2546" s="41">
        <v>8661</v>
      </c>
      <c r="B2546" s="42" t="s">
        <v>2918</v>
      </c>
      <c r="C2546" s="43" t="s">
        <v>289</v>
      </c>
      <c r="D2546" s="43" t="s">
        <v>316</v>
      </c>
      <c r="E2546" s="43" t="s">
        <v>230</v>
      </c>
    </row>
    <row r="2547" spans="1:5" x14ac:dyDescent="0.25">
      <c r="A2547" s="41">
        <v>8662</v>
      </c>
      <c r="B2547" s="42" t="s">
        <v>2919</v>
      </c>
      <c r="C2547" s="43" t="s">
        <v>289</v>
      </c>
      <c r="D2547" s="43" t="s">
        <v>1041</v>
      </c>
      <c r="E2547" s="43" t="s">
        <v>230</v>
      </c>
    </row>
    <row r="2548" spans="1:5" x14ac:dyDescent="0.25">
      <c r="A2548" s="41">
        <v>8664</v>
      </c>
      <c r="B2548" s="42" t="s">
        <v>2920</v>
      </c>
      <c r="C2548" s="43" t="s">
        <v>289</v>
      </c>
      <c r="D2548" s="43" t="s">
        <v>327</v>
      </c>
      <c r="E2548" s="43" t="s">
        <v>230</v>
      </c>
    </row>
    <row r="2549" spans="1:5" x14ac:dyDescent="0.25">
      <c r="A2549" s="41">
        <v>8667</v>
      </c>
      <c r="B2549" s="42" t="s">
        <v>2921</v>
      </c>
      <c r="C2549" s="43" t="s">
        <v>289</v>
      </c>
      <c r="D2549" s="43" t="s">
        <v>316</v>
      </c>
      <c r="E2549" s="43" t="s">
        <v>230</v>
      </c>
    </row>
    <row r="2550" spans="1:5" x14ac:dyDescent="0.25">
      <c r="A2550" s="41">
        <v>8670</v>
      </c>
      <c r="B2550" s="42" t="s">
        <v>2922</v>
      </c>
      <c r="C2550" s="43" t="s">
        <v>289</v>
      </c>
      <c r="D2550" s="43" t="s">
        <v>845</v>
      </c>
      <c r="E2550" s="43" t="s">
        <v>170</v>
      </c>
    </row>
    <row r="2551" spans="1:5" x14ac:dyDescent="0.25">
      <c r="A2551" s="41">
        <v>8671</v>
      </c>
      <c r="B2551" s="42" t="s">
        <v>2923</v>
      </c>
      <c r="C2551" s="43" t="s">
        <v>289</v>
      </c>
      <c r="D2551" s="43" t="s">
        <v>474</v>
      </c>
      <c r="E2551" s="43" t="s">
        <v>230</v>
      </c>
    </row>
    <row r="2552" spans="1:5" x14ac:dyDescent="0.25">
      <c r="A2552" s="41">
        <v>8672</v>
      </c>
      <c r="B2552" s="42" t="s">
        <v>2924</v>
      </c>
      <c r="C2552" s="43" t="s">
        <v>289</v>
      </c>
      <c r="D2552" s="43" t="s">
        <v>474</v>
      </c>
      <c r="E2552" s="43" t="s">
        <v>230</v>
      </c>
    </row>
    <row r="2553" spans="1:5" x14ac:dyDescent="0.25">
      <c r="A2553" s="41">
        <v>8681</v>
      </c>
      <c r="B2553" s="42" t="s">
        <v>2925</v>
      </c>
      <c r="C2553" s="43" t="s">
        <v>289</v>
      </c>
      <c r="D2553" s="43" t="s">
        <v>327</v>
      </c>
      <c r="E2553" s="43" t="s">
        <v>230</v>
      </c>
    </row>
    <row r="2554" spans="1:5" x14ac:dyDescent="0.25">
      <c r="A2554" s="41">
        <v>8682</v>
      </c>
      <c r="B2554" s="42" t="s">
        <v>2926</v>
      </c>
      <c r="C2554" s="43" t="s">
        <v>289</v>
      </c>
      <c r="D2554" s="43" t="s">
        <v>327</v>
      </c>
      <c r="E2554" s="43" t="s">
        <v>230</v>
      </c>
    </row>
    <row r="2555" spans="1:5" x14ac:dyDescent="0.25">
      <c r="A2555" s="41">
        <v>8683</v>
      </c>
      <c r="B2555" s="42" t="s">
        <v>2927</v>
      </c>
      <c r="C2555" s="43" t="s">
        <v>289</v>
      </c>
      <c r="D2555" s="43" t="s">
        <v>316</v>
      </c>
      <c r="E2555" s="43" t="s">
        <v>230</v>
      </c>
    </row>
    <row r="2556" spans="1:5" x14ac:dyDescent="0.25">
      <c r="A2556" s="41">
        <v>8684</v>
      </c>
      <c r="B2556" s="42" t="s">
        <v>2928</v>
      </c>
      <c r="C2556" s="43" t="s">
        <v>289</v>
      </c>
      <c r="D2556" s="43" t="s">
        <v>316</v>
      </c>
      <c r="E2556" s="43" t="s">
        <v>230</v>
      </c>
    </row>
    <row r="2557" spans="1:5" x14ac:dyDescent="0.25">
      <c r="A2557" s="41">
        <v>8685</v>
      </c>
      <c r="B2557" s="42" t="s">
        <v>2929</v>
      </c>
      <c r="C2557" s="43" t="s">
        <v>289</v>
      </c>
      <c r="D2557" s="43" t="s">
        <v>316</v>
      </c>
      <c r="E2557" s="43" t="s">
        <v>230</v>
      </c>
    </row>
    <row r="2558" spans="1:5" x14ac:dyDescent="0.25">
      <c r="A2558" s="41">
        <v>8686</v>
      </c>
      <c r="B2558" s="42" t="s">
        <v>2930</v>
      </c>
      <c r="C2558" s="43" t="s">
        <v>289</v>
      </c>
      <c r="D2558" s="43" t="s">
        <v>316</v>
      </c>
      <c r="E2558" s="43" t="s">
        <v>230</v>
      </c>
    </row>
    <row r="2559" spans="1:5" x14ac:dyDescent="0.25">
      <c r="A2559" s="41">
        <v>8693</v>
      </c>
      <c r="B2559" s="42" t="s">
        <v>2931</v>
      </c>
      <c r="C2559" s="43" t="s">
        <v>289</v>
      </c>
      <c r="D2559" s="43" t="s">
        <v>314</v>
      </c>
      <c r="E2559" s="43" t="s">
        <v>230</v>
      </c>
    </row>
    <row r="2560" spans="1:5" x14ac:dyDescent="0.25">
      <c r="A2560" s="41">
        <v>8701</v>
      </c>
      <c r="B2560" s="42" t="s">
        <v>2932</v>
      </c>
      <c r="C2560" s="43" t="s">
        <v>289</v>
      </c>
      <c r="D2560" s="43" t="s">
        <v>316</v>
      </c>
      <c r="E2560" s="43" t="s">
        <v>230</v>
      </c>
    </row>
    <row r="2561" spans="1:5" x14ac:dyDescent="0.25">
      <c r="A2561" s="41">
        <v>8702</v>
      </c>
      <c r="B2561" s="42" t="s">
        <v>2933</v>
      </c>
      <c r="C2561" s="43" t="s">
        <v>289</v>
      </c>
      <c r="D2561" s="43" t="s">
        <v>316</v>
      </c>
      <c r="E2561" s="43" t="s">
        <v>230</v>
      </c>
    </row>
    <row r="2562" spans="1:5" x14ac:dyDescent="0.25">
      <c r="A2562" s="41">
        <v>8704</v>
      </c>
      <c r="B2562" s="42" t="s">
        <v>2934</v>
      </c>
      <c r="C2562" s="43" t="s">
        <v>289</v>
      </c>
      <c r="D2562" s="43" t="s">
        <v>316</v>
      </c>
      <c r="E2562" s="43" t="s">
        <v>230</v>
      </c>
    </row>
    <row r="2563" spans="1:5" x14ac:dyDescent="0.25">
      <c r="A2563" s="41">
        <v>8718</v>
      </c>
      <c r="B2563" s="42" t="s">
        <v>2935</v>
      </c>
      <c r="C2563" s="43" t="s">
        <v>289</v>
      </c>
      <c r="D2563" s="43" t="s">
        <v>410</v>
      </c>
      <c r="E2563" s="43" t="s">
        <v>464</v>
      </c>
    </row>
    <row r="2564" spans="1:5" x14ac:dyDescent="0.25">
      <c r="A2564" s="41">
        <v>8722</v>
      </c>
      <c r="B2564" s="42" t="s">
        <v>2936</v>
      </c>
      <c r="C2564" s="43" t="s">
        <v>289</v>
      </c>
      <c r="D2564" s="43" t="s">
        <v>410</v>
      </c>
      <c r="E2564" s="43" t="s">
        <v>464</v>
      </c>
    </row>
    <row r="2565" spans="1:5" x14ac:dyDescent="0.25">
      <c r="A2565" s="41">
        <v>8725</v>
      </c>
      <c r="B2565" s="42" t="s">
        <v>2937</v>
      </c>
      <c r="C2565" s="43" t="s">
        <v>289</v>
      </c>
      <c r="D2565" s="43" t="s">
        <v>290</v>
      </c>
      <c r="E2565" s="43" t="s">
        <v>230</v>
      </c>
    </row>
    <row r="2566" spans="1:5" x14ac:dyDescent="0.25">
      <c r="A2566" s="41">
        <v>8729</v>
      </c>
      <c r="B2566" s="42" t="s">
        <v>2938</v>
      </c>
      <c r="C2566" s="43" t="s">
        <v>289</v>
      </c>
      <c r="D2566" s="43" t="s">
        <v>811</v>
      </c>
      <c r="E2566" s="43" t="s">
        <v>230</v>
      </c>
    </row>
    <row r="2567" spans="1:5" x14ac:dyDescent="0.25">
      <c r="A2567" s="41">
        <v>8730</v>
      </c>
      <c r="B2567" s="42" t="s">
        <v>2939</v>
      </c>
      <c r="C2567" s="43" t="s">
        <v>289</v>
      </c>
      <c r="D2567" s="43" t="s">
        <v>1112</v>
      </c>
      <c r="E2567" s="43" t="s">
        <v>230</v>
      </c>
    </row>
    <row r="2568" spans="1:5" x14ac:dyDescent="0.25">
      <c r="A2568" s="41">
        <v>8731</v>
      </c>
      <c r="B2568" s="42" t="s">
        <v>2940</v>
      </c>
      <c r="C2568" s="43" t="s">
        <v>289</v>
      </c>
      <c r="D2568" s="43" t="s">
        <v>316</v>
      </c>
      <c r="E2568" s="43" t="s">
        <v>230</v>
      </c>
    </row>
    <row r="2569" spans="1:5" x14ac:dyDescent="0.25">
      <c r="A2569" s="41">
        <v>8732</v>
      </c>
      <c r="B2569" s="42" t="s">
        <v>2941</v>
      </c>
      <c r="C2569" s="43" t="s">
        <v>289</v>
      </c>
      <c r="D2569" s="43" t="s">
        <v>316</v>
      </c>
      <c r="E2569" s="43" t="s">
        <v>230</v>
      </c>
    </row>
    <row r="2570" spans="1:5" x14ac:dyDescent="0.25">
      <c r="A2570" s="41">
        <v>8734</v>
      </c>
      <c r="B2570" s="42" t="s">
        <v>2942</v>
      </c>
      <c r="C2570" s="43" t="s">
        <v>289</v>
      </c>
      <c r="D2570" s="43" t="s">
        <v>327</v>
      </c>
      <c r="E2570" s="43" t="s">
        <v>230</v>
      </c>
    </row>
    <row r="2571" spans="1:5" x14ac:dyDescent="0.25">
      <c r="A2571" s="41">
        <v>8740</v>
      </c>
      <c r="B2571" s="42" t="s">
        <v>2943</v>
      </c>
      <c r="C2571" s="43" t="s">
        <v>289</v>
      </c>
      <c r="D2571" s="43" t="s">
        <v>811</v>
      </c>
      <c r="E2571" s="43" t="s">
        <v>230</v>
      </c>
    </row>
    <row r="2572" spans="1:5" x14ac:dyDescent="0.25">
      <c r="A2572" s="41">
        <v>8745</v>
      </c>
      <c r="B2572" s="42" t="s">
        <v>2944</v>
      </c>
      <c r="C2572" s="43" t="s">
        <v>289</v>
      </c>
      <c r="D2572" s="43" t="s">
        <v>333</v>
      </c>
      <c r="E2572" s="43" t="s">
        <v>464</v>
      </c>
    </row>
    <row r="2573" spans="1:5" x14ac:dyDescent="0.25">
      <c r="A2573" s="41">
        <v>8749</v>
      </c>
      <c r="B2573" s="42" t="s">
        <v>2945</v>
      </c>
      <c r="C2573" s="43" t="s">
        <v>289</v>
      </c>
      <c r="D2573" s="43" t="s">
        <v>327</v>
      </c>
      <c r="E2573" s="43" t="s">
        <v>170</v>
      </c>
    </row>
    <row r="2574" spans="1:5" x14ac:dyDescent="0.25">
      <c r="A2574" s="41">
        <v>8750</v>
      </c>
      <c r="B2574" s="42" t="s">
        <v>2946</v>
      </c>
      <c r="C2574" s="43" t="s">
        <v>289</v>
      </c>
      <c r="D2574" s="43" t="s">
        <v>316</v>
      </c>
      <c r="E2574" s="43" t="s">
        <v>454</v>
      </c>
    </row>
    <row r="2575" spans="1:5" x14ac:dyDescent="0.25">
      <c r="A2575" s="41">
        <v>8753</v>
      </c>
      <c r="B2575" s="42" t="s">
        <v>2947</v>
      </c>
      <c r="C2575" s="43" t="s">
        <v>289</v>
      </c>
      <c r="D2575" s="43" t="s">
        <v>327</v>
      </c>
      <c r="E2575" s="43" t="s">
        <v>230</v>
      </c>
    </row>
    <row r="2576" spans="1:5" x14ac:dyDescent="0.25">
      <c r="A2576" s="41">
        <v>8755</v>
      </c>
      <c r="B2576" s="42" t="s">
        <v>2948</v>
      </c>
      <c r="C2576" s="43" t="s">
        <v>289</v>
      </c>
      <c r="D2576" s="43" t="s">
        <v>327</v>
      </c>
      <c r="E2576" s="43" t="s">
        <v>230</v>
      </c>
    </row>
    <row r="2577" spans="1:5" x14ac:dyDescent="0.25">
      <c r="A2577" s="41">
        <v>8756</v>
      </c>
      <c r="B2577" s="42" t="s">
        <v>2949</v>
      </c>
      <c r="C2577" s="43" t="s">
        <v>289</v>
      </c>
      <c r="D2577" s="43" t="s">
        <v>327</v>
      </c>
      <c r="E2577" s="43" t="s">
        <v>230</v>
      </c>
    </row>
    <row r="2578" spans="1:5" x14ac:dyDescent="0.25">
      <c r="A2578" s="41">
        <v>8760</v>
      </c>
      <c r="B2578" s="42" t="s">
        <v>2950</v>
      </c>
      <c r="C2578" s="43" t="s">
        <v>289</v>
      </c>
      <c r="D2578" s="43" t="s">
        <v>327</v>
      </c>
      <c r="E2578" s="43" t="s">
        <v>230</v>
      </c>
    </row>
    <row r="2579" spans="1:5" x14ac:dyDescent="0.25">
      <c r="A2579" s="41">
        <v>8762</v>
      </c>
      <c r="B2579" s="42" t="s">
        <v>2951</v>
      </c>
      <c r="C2579" s="43" t="s">
        <v>289</v>
      </c>
      <c r="D2579" s="43" t="s">
        <v>327</v>
      </c>
      <c r="E2579" s="43" t="s">
        <v>230</v>
      </c>
    </row>
    <row r="2580" spans="1:5" x14ac:dyDescent="0.25">
      <c r="A2580" s="41">
        <v>8764</v>
      </c>
      <c r="B2580" s="42" t="s">
        <v>2952</v>
      </c>
      <c r="C2580" s="43" t="s">
        <v>289</v>
      </c>
      <c r="D2580" s="43" t="s">
        <v>327</v>
      </c>
      <c r="E2580" s="43" t="s">
        <v>454</v>
      </c>
    </row>
    <row r="2581" spans="1:5" x14ac:dyDescent="0.25">
      <c r="A2581" s="41">
        <v>8765</v>
      </c>
      <c r="B2581" s="42" t="s">
        <v>2953</v>
      </c>
      <c r="C2581" s="43" t="s">
        <v>289</v>
      </c>
      <c r="D2581" s="43" t="s">
        <v>1100</v>
      </c>
      <c r="E2581" s="43" t="s">
        <v>230</v>
      </c>
    </row>
    <row r="2582" spans="1:5" x14ac:dyDescent="0.25">
      <c r="A2582" s="41">
        <v>8766</v>
      </c>
      <c r="B2582" s="42" t="s">
        <v>2954</v>
      </c>
      <c r="C2582" s="43" t="s">
        <v>289</v>
      </c>
      <c r="D2582" s="43" t="s">
        <v>1100</v>
      </c>
      <c r="E2582" s="43" t="s">
        <v>230</v>
      </c>
    </row>
    <row r="2583" spans="1:5" x14ac:dyDescent="0.25">
      <c r="A2583" s="41">
        <v>8767</v>
      </c>
      <c r="B2583" s="42" t="s">
        <v>2955</v>
      </c>
      <c r="C2583" s="43" t="s">
        <v>289</v>
      </c>
      <c r="D2583" s="43" t="s">
        <v>1100</v>
      </c>
      <c r="E2583" s="43" t="s">
        <v>230</v>
      </c>
    </row>
    <row r="2584" spans="1:5" x14ac:dyDescent="0.25">
      <c r="A2584" s="41">
        <v>8769</v>
      </c>
      <c r="B2584" s="42" t="s">
        <v>2956</v>
      </c>
      <c r="C2584" s="43" t="s">
        <v>289</v>
      </c>
      <c r="D2584" s="43" t="s">
        <v>316</v>
      </c>
      <c r="E2584" s="43" t="s">
        <v>170</v>
      </c>
    </row>
    <row r="2585" spans="1:5" x14ac:dyDescent="0.25">
      <c r="A2585" s="41">
        <v>8775</v>
      </c>
      <c r="B2585" s="42" t="s">
        <v>2957</v>
      </c>
      <c r="C2585" s="43" t="s">
        <v>289</v>
      </c>
      <c r="D2585" s="43" t="s">
        <v>996</v>
      </c>
      <c r="E2585" s="43" t="s">
        <v>230</v>
      </c>
    </row>
    <row r="2586" spans="1:5" x14ac:dyDescent="0.25">
      <c r="A2586" s="41">
        <v>8779</v>
      </c>
      <c r="B2586" s="42" t="s">
        <v>2958</v>
      </c>
      <c r="C2586" s="43" t="s">
        <v>289</v>
      </c>
      <c r="D2586" s="43" t="s">
        <v>316</v>
      </c>
      <c r="E2586" s="43" t="s">
        <v>531</v>
      </c>
    </row>
    <row r="2587" spans="1:5" x14ac:dyDescent="0.25">
      <c r="A2587" s="41">
        <v>8783</v>
      </c>
      <c r="B2587" s="42" t="s">
        <v>2959</v>
      </c>
      <c r="C2587" s="43" t="s">
        <v>289</v>
      </c>
      <c r="D2587" s="43" t="s">
        <v>694</v>
      </c>
      <c r="E2587" s="43" t="s">
        <v>373</v>
      </c>
    </row>
    <row r="2588" spans="1:5" x14ac:dyDescent="0.25">
      <c r="A2588" s="41">
        <v>8784</v>
      </c>
      <c r="B2588" s="42" t="s">
        <v>2960</v>
      </c>
      <c r="C2588" s="43" t="s">
        <v>289</v>
      </c>
      <c r="D2588" s="43" t="s">
        <v>327</v>
      </c>
      <c r="E2588" s="43" t="s">
        <v>230</v>
      </c>
    </row>
    <row r="2589" spans="1:5" x14ac:dyDescent="0.25">
      <c r="A2589" s="41">
        <v>8785</v>
      </c>
      <c r="B2589" s="42" t="s">
        <v>2961</v>
      </c>
      <c r="C2589" s="43" t="s">
        <v>289</v>
      </c>
      <c r="D2589" s="43" t="s">
        <v>314</v>
      </c>
      <c r="E2589" s="43" t="s">
        <v>230</v>
      </c>
    </row>
    <row r="2590" spans="1:5" x14ac:dyDescent="0.25">
      <c r="A2590" s="41">
        <v>8787</v>
      </c>
      <c r="B2590" s="42" t="s">
        <v>2962</v>
      </c>
      <c r="C2590" s="43" t="s">
        <v>289</v>
      </c>
      <c r="D2590" s="43" t="s">
        <v>996</v>
      </c>
      <c r="E2590" s="43" t="s">
        <v>230</v>
      </c>
    </row>
    <row r="2591" spans="1:5" x14ac:dyDescent="0.25">
      <c r="A2591" s="41">
        <v>8788</v>
      </c>
      <c r="B2591" s="42" t="s">
        <v>2963</v>
      </c>
      <c r="C2591" s="43" t="s">
        <v>289</v>
      </c>
      <c r="D2591" s="43" t="s">
        <v>333</v>
      </c>
      <c r="E2591" s="43" t="s">
        <v>230</v>
      </c>
    </row>
    <row r="2592" spans="1:5" x14ac:dyDescent="0.25">
      <c r="A2592" s="41">
        <v>8798</v>
      </c>
      <c r="B2592" s="42" t="s">
        <v>2964</v>
      </c>
      <c r="C2592" s="43" t="s">
        <v>289</v>
      </c>
      <c r="D2592" s="43" t="s">
        <v>327</v>
      </c>
      <c r="E2592" s="43" t="s">
        <v>230</v>
      </c>
    </row>
    <row r="2593" spans="1:5" x14ac:dyDescent="0.25">
      <c r="A2593" s="41">
        <v>8800</v>
      </c>
      <c r="B2593" s="42" t="s">
        <v>2965</v>
      </c>
      <c r="C2593" s="43" t="s">
        <v>289</v>
      </c>
      <c r="D2593" s="43" t="s">
        <v>327</v>
      </c>
      <c r="E2593" s="43" t="s">
        <v>230</v>
      </c>
    </row>
    <row r="2594" spans="1:5" x14ac:dyDescent="0.25">
      <c r="A2594" s="41">
        <v>8801</v>
      </c>
      <c r="B2594" s="42" t="s">
        <v>2966</v>
      </c>
      <c r="C2594" s="43" t="s">
        <v>289</v>
      </c>
      <c r="D2594" s="43" t="s">
        <v>327</v>
      </c>
      <c r="E2594" s="43" t="s">
        <v>230</v>
      </c>
    </row>
    <row r="2595" spans="1:5" x14ac:dyDescent="0.25">
      <c r="A2595" s="41">
        <v>8802</v>
      </c>
      <c r="B2595" s="42" t="s">
        <v>2967</v>
      </c>
      <c r="C2595" s="43" t="s">
        <v>289</v>
      </c>
      <c r="D2595" s="43" t="s">
        <v>327</v>
      </c>
      <c r="E2595" s="43" t="s">
        <v>230</v>
      </c>
    </row>
    <row r="2596" spans="1:5" x14ac:dyDescent="0.25">
      <c r="A2596" s="41">
        <v>8804</v>
      </c>
      <c r="B2596" s="42" t="s">
        <v>2968</v>
      </c>
      <c r="C2596" s="43" t="s">
        <v>289</v>
      </c>
      <c r="D2596" s="43" t="s">
        <v>316</v>
      </c>
      <c r="E2596" s="43" t="s">
        <v>230</v>
      </c>
    </row>
    <row r="2597" spans="1:5" x14ac:dyDescent="0.25">
      <c r="A2597" s="41">
        <v>8806</v>
      </c>
      <c r="B2597" s="42" t="s">
        <v>2969</v>
      </c>
      <c r="C2597" s="43" t="s">
        <v>289</v>
      </c>
      <c r="D2597" s="43" t="s">
        <v>996</v>
      </c>
      <c r="E2597" s="43" t="s">
        <v>230</v>
      </c>
    </row>
    <row r="2598" spans="1:5" x14ac:dyDescent="0.25">
      <c r="A2598" s="41">
        <v>8807</v>
      </c>
      <c r="B2598" s="42" t="s">
        <v>2970</v>
      </c>
      <c r="C2598" s="43" t="s">
        <v>289</v>
      </c>
      <c r="D2598" s="43" t="s">
        <v>996</v>
      </c>
      <c r="E2598" s="43" t="s">
        <v>230</v>
      </c>
    </row>
    <row r="2599" spans="1:5" x14ac:dyDescent="0.25">
      <c r="A2599" s="41">
        <v>8808</v>
      </c>
      <c r="B2599" s="42" t="s">
        <v>2971</v>
      </c>
      <c r="C2599" s="43" t="s">
        <v>289</v>
      </c>
      <c r="D2599" s="43" t="s">
        <v>996</v>
      </c>
      <c r="E2599" s="43" t="s">
        <v>230</v>
      </c>
    </row>
    <row r="2600" spans="1:5" x14ac:dyDescent="0.25">
      <c r="A2600" s="41">
        <v>8810</v>
      </c>
      <c r="B2600" s="42" t="s">
        <v>2972</v>
      </c>
      <c r="C2600" s="43" t="s">
        <v>289</v>
      </c>
      <c r="D2600" s="43" t="s">
        <v>996</v>
      </c>
      <c r="E2600" s="43" t="s">
        <v>230</v>
      </c>
    </row>
    <row r="2601" spans="1:5" x14ac:dyDescent="0.25">
      <c r="A2601" s="41">
        <v>8816</v>
      </c>
      <c r="B2601" s="42" t="s">
        <v>2973</v>
      </c>
      <c r="C2601" s="43" t="s">
        <v>289</v>
      </c>
      <c r="D2601" s="43" t="s">
        <v>996</v>
      </c>
      <c r="E2601" s="43" t="s">
        <v>230</v>
      </c>
    </row>
    <row r="2602" spans="1:5" x14ac:dyDescent="0.25">
      <c r="A2602" s="41">
        <v>8818</v>
      </c>
      <c r="B2602" s="42" t="s">
        <v>2974</v>
      </c>
      <c r="C2602" s="43" t="s">
        <v>289</v>
      </c>
      <c r="D2602" s="43" t="s">
        <v>996</v>
      </c>
      <c r="E2602" s="43" t="s">
        <v>230</v>
      </c>
    </row>
    <row r="2603" spans="1:5" x14ac:dyDescent="0.25">
      <c r="A2603" s="41">
        <v>8819</v>
      </c>
      <c r="B2603" s="42" t="s">
        <v>2975</v>
      </c>
      <c r="C2603" s="43" t="s">
        <v>289</v>
      </c>
      <c r="D2603" s="43" t="s">
        <v>996</v>
      </c>
      <c r="E2603" s="43" t="s">
        <v>230</v>
      </c>
    </row>
    <row r="2604" spans="1:5" x14ac:dyDescent="0.25">
      <c r="A2604" s="41">
        <v>8821</v>
      </c>
      <c r="B2604" s="42" t="s">
        <v>2976</v>
      </c>
      <c r="C2604" s="43" t="s">
        <v>289</v>
      </c>
      <c r="D2604" s="43" t="s">
        <v>327</v>
      </c>
      <c r="E2604" s="43" t="s">
        <v>170</v>
      </c>
    </row>
    <row r="2605" spans="1:5" x14ac:dyDescent="0.25">
      <c r="A2605" s="41">
        <v>8824</v>
      </c>
      <c r="B2605" s="42" t="s">
        <v>2977</v>
      </c>
      <c r="C2605" s="43" t="s">
        <v>289</v>
      </c>
      <c r="D2605" s="43" t="s">
        <v>327</v>
      </c>
      <c r="E2605" s="43" t="s">
        <v>2978</v>
      </c>
    </row>
    <row r="2606" spans="1:5" x14ac:dyDescent="0.25">
      <c r="A2606" s="41">
        <v>8826</v>
      </c>
      <c r="B2606" s="42" t="s">
        <v>2979</v>
      </c>
      <c r="C2606" s="43" t="s">
        <v>289</v>
      </c>
      <c r="D2606" s="43" t="s">
        <v>316</v>
      </c>
      <c r="E2606" s="43" t="s">
        <v>230</v>
      </c>
    </row>
    <row r="2607" spans="1:5" x14ac:dyDescent="0.25">
      <c r="A2607" s="41">
        <v>8828</v>
      </c>
      <c r="B2607" s="42" t="s">
        <v>2980</v>
      </c>
      <c r="C2607" s="43" t="s">
        <v>289</v>
      </c>
      <c r="D2607" s="43" t="s">
        <v>996</v>
      </c>
      <c r="E2607" s="43" t="s">
        <v>230</v>
      </c>
    </row>
    <row r="2608" spans="1:5" x14ac:dyDescent="0.25">
      <c r="A2608" s="41">
        <v>8829</v>
      </c>
      <c r="B2608" s="42" t="s">
        <v>2981</v>
      </c>
      <c r="C2608" s="43" t="s">
        <v>289</v>
      </c>
      <c r="D2608" s="43" t="s">
        <v>635</v>
      </c>
      <c r="E2608" s="43" t="s">
        <v>230</v>
      </c>
    </row>
    <row r="2609" spans="1:5" x14ac:dyDescent="0.25">
      <c r="A2609" s="41">
        <v>8830</v>
      </c>
      <c r="B2609" s="42" t="s">
        <v>2982</v>
      </c>
      <c r="C2609" s="43" t="s">
        <v>289</v>
      </c>
      <c r="D2609" s="43" t="s">
        <v>635</v>
      </c>
      <c r="E2609" s="43" t="s">
        <v>230</v>
      </c>
    </row>
    <row r="2610" spans="1:5" x14ac:dyDescent="0.25">
      <c r="A2610" s="41">
        <v>8836</v>
      </c>
      <c r="B2610" s="42" t="s">
        <v>2983</v>
      </c>
      <c r="C2610" s="43" t="s">
        <v>289</v>
      </c>
      <c r="D2610" s="43" t="s">
        <v>694</v>
      </c>
      <c r="E2610" s="43" t="s">
        <v>170</v>
      </c>
    </row>
    <row r="2611" spans="1:5" x14ac:dyDescent="0.25">
      <c r="A2611" s="41">
        <v>8839</v>
      </c>
      <c r="B2611" s="42" t="s">
        <v>2984</v>
      </c>
      <c r="C2611" s="43" t="s">
        <v>289</v>
      </c>
      <c r="D2611" s="43" t="s">
        <v>327</v>
      </c>
      <c r="E2611" s="43" t="s">
        <v>464</v>
      </c>
    </row>
    <row r="2612" spans="1:5" x14ac:dyDescent="0.25">
      <c r="A2612" s="41">
        <v>8847</v>
      </c>
      <c r="B2612" s="42" t="s">
        <v>2985</v>
      </c>
      <c r="C2612" s="43" t="s">
        <v>289</v>
      </c>
      <c r="D2612" s="43" t="s">
        <v>1112</v>
      </c>
      <c r="E2612" s="43" t="s">
        <v>464</v>
      </c>
    </row>
    <row r="2613" spans="1:5" x14ac:dyDescent="0.25">
      <c r="A2613" s="41">
        <v>8857</v>
      </c>
      <c r="B2613" s="42" t="s">
        <v>2986</v>
      </c>
      <c r="C2613" s="43" t="s">
        <v>289</v>
      </c>
      <c r="D2613" s="43" t="s">
        <v>468</v>
      </c>
      <c r="E2613" s="43" t="s">
        <v>230</v>
      </c>
    </row>
    <row r="2614" spans="1:5" x14ac:dyDescent="0.25">
      <c r="A2614" s="41">
        <v>8858</v>
      </c>
      <c r="B2614" s="42" t="s">
        <v>2987</v>
      </c>
      <c r="C2614" s="43" t="s">
        <v>289</v>
      </c>
      <c r="D2614" s="43" t="s">
        <v>468</v>
      </c>
      <c r="E2614" s="43" t="s">
        <v>230</v>
      </c>
    </row>
    <row r="2615" spans="1:5" x14ac:dyDescent="0.25">
      <c r="A2615" s="41">
        <v>8861</v>
      </c>
      <c r="B2615" s="42" t="s">
        <v>2988</v>
      </c>
      <c r="C2615" s="43" t="s">
        <v>289</v>
      </c>
      <c r="D2615" s="43" t="s">
        <v>468</v>
      </c>
      <c r="E2615" s="43" t="s">
        <v>230</v>
      </c>
    </row>
    <row r="2616" spans="1:5" x14ac:dyDescent="0.25">
      <c r="A2616" s="41">
        <v>8862</v>
      </c>
      <c r="B2616" s="42" t="s">
        <v>2989</v>
      </c>
      <c r="C2616" s="43" t="s">
        <v>289</v>
      </c>
      <c r="D2616" s="43" t="s">
        <v>2146</v>
      </c>
      <c r="E2616" s="43" t="s">
        <v>230</v>
      </c>
    </row>
    <row r="2617" spans="1:5" x14ac:dyDescent="0.25">
      <c r="A2617" s="41">
        <v>8865</v>
      </c>
      <c r="B2617" s="42" t="s">
        <v>2990</v>
      </c>
      <c r="C2617" s="43" t="s">
        <v>289</v>
      </c>
      <c r="D2617" s="43" t="s">
        <v>1779</v>
      </c>
      <c r="E2617" s="43" t="s">
        <v>230</v>
      </c>
    </row>
    <row r="2618" spans="1:5" x14ac:dyDescent="0.25">
      <c r="A2618" s="41">
        <v>8867</v>
      </c>
      <c r="B2618" s="42" t="s">
        <v>2991</v>
      </c>
      <c r="C2618" s="43" t="s">
        <v>289</v>
      </c>
      <c r="D2618" s="43" t="s">
        <v>1779</v>
      </c>
      <c r="E2618" s="43" t="s">
        <v>230</v>
      </c>
    </row>
    <row r="2619" spans="1:5" x14ac:dyDescent="0.25">
      <c r="A2619" s="41">
        <v>8876</v>
      </c>
      <c r="B2619" s="42" t="s">
        <v>2992</v>
      </c>
      <c r="C2619" s="43" t="s">
        <v>289</v>
      </c>
      <c r="D2619" s="43" t="s">
        <v>410</v>
      </c>
      <c r="E2619" s="43" t="s">
        <v>230</v>
      </c>
    </row>
    <row r="2620" spans="1:5" x14ac:dyDescent="0.25">
      <c r="A2620" s="41">
        <v>8877</v>
      </c>
      <c r="B2620" s="42" t="s">
        <v>2993</v>
      </c>
      <c r="C2620" s="43" t="s">
        <v>289</v>
      </c>
      <c r="D2620" s="43" t="s">
        <v>410</v>
      </c>
      <c r="E2620" s="43" t="s">
        <v>230</v>
      </c>
    </row>
    <row r="2621" spans="1:5" x14ac:dyDescent="0.25">
      <c r="A2621" s="41">
        <v>8880</v>
      </c>
      <c r="B2621" s="42" t="s">
        <v>2994</v>
      </c>
      <c r="C2621" s="43" t="s">
        <v>289</v>
      </c>
      <c r="D2621" s="43" t="s">
        <v>316</v>
      </c>
      <c r="E2621" s="43" t="s">
        <v>230</v>
      </c>
    </row>
    <row r="2622" spans="1:5" x14ac:dyDescent="0.25">
      <c r="A2622" s="41">
        <v>8890</v>
      </c>
      <c r="B2622" s="42" t="s">
        <v>2995</v>
      </c>
      <c r="C2622" s="43" t="s">
        <v>289</v>
      </c>
      <c r="D2622" s="43" t="s">
        <v>433</v>
      </c>
      <c r="E2622" s="43" t="s">
        <v>454</v>
      </c>
    </row>
    <row r="2623" spans="1:5" x14ac:dyDescent="0.25">
      <c r="A2623" s="41">
        <v>8895</v>
      </c>
      <c r="B2623" s="42" t="s">
        <v>2996</v>
      </c>
      <c r="C2623" s="43" t="s">
        <v>289</v>
      </c>
      <c r="D2623" s="43" t="s">
        <v>327</v>
      </c>
      <c r="E2623" s="43" t="s">
        <v>230</v>
      </c>
    </row>
    <row r="2624" spans="1:5" x14ac:dyDescent="0.25">
      <c r="A2624" s="41">
        <v>8897</v>
      </c>
      <c r="B2624" s="42" t="s">
        <v>2997</v>
      </c>
      <c r="C2624" s="43" t="s">
        <v>289</v>
      </c>
      <c r="D2624" s="43" t="s">
        <v>474</v>
      </c>
      <c r="E2624" s="43" t="s">
        <v>170</v>
      </c>
    </row>
    <row r="2625" spans="1:5" x14ac:dyDescent="0.25">
      <c r="A2625" s="41">
        <v>8898</v>
      </c>
      <c r="B2625" s="42" t="s">
        <v>2998</v>
      </c>
      <c r="C2625" s="43" t="s">
        <v>289</v>
      </c>
      <c r="D2625" s="43" t="s">
        <v>474</v>
      </c>
      <c r="E2625" s="43" t="s">
        <v>230</v>
      </c>
    </row>
    <row r="2626" spans="1:5" x14ac:dyDescent="0.25">
      <c r="A2626" s="41">
        <v>8901</v>
      </c>
      <c r="B2626" s="42" t="s">
        <v>2999</v>
      </c>
      <c r="C2626" s="43" t="s">
        <v>289</v>
      </c>
      <c r="D2626" s="43" t="s">
        <v>433</v>
      </c>
      <c r="E2626" s="43" t="s">
        <v>454</v>
      </c>
    </row>
    <row r="2627" spans="1:5" x14ac:dyDescent="0.25">
      <c r="A2627" s="41">
        <v>8904</v>
      </c>
      <c r="B2627" s="42" t="s">
        <v>3000</v>
      </c>
      <c r="C2627" s="43" t="s">
        <v>289</v>
      </c>
      <c r="D2627" s="43" t="s">
        <v>316</v>
      </c>
      <c r="E2627" s="43" t="s">
        <v>454</v>
      </c>
    </row>
    <row r="2628" spans="1:5" x14ac:dyDescent="0.25">
      <c r="A2628" s="41">
        <v>8915</v>
      </c>
      <c r="B2628" s="42" t="s">
        <v>3001</v>
      </c>
      <c r="C2628" s="43" t="s">
        <v>289</v>
      </c>
      <c r="D2628" s="43" t="s">
        <v>316</v>
      </c>
      <c r="E2628" s="43" t="s">
        <v>336</v>
      </c>
    </row>
    <row r="2629" spans="1:5" x14ac:dyDescent="0.25">
      <c r="A2629" s="41">
        <v>8916</v>
      </c>
      <c r="B2629" s="42" t="s">
        <v>3002</v>
      </c>
      <c r="C2629" s="43" t="s">
        <v>289</v>
      </c>
      <c r="D2629" s="43" t="s">
        <v>327</v>
      </c>
      <c r="E2629" s="43" t="s">
        <v>230</v>
      </c>
    </row>
    <row r="2630" spans="1:5" x14ac:dyDescent="0.25">
      <c r="A2630" s="41">
        <v>8918</v>
      </c>
      <c r="B2630" s="42" t="s">
        <v>3003</v>
      </c>
      <c r="C2630" s="43" t="s">
        <v>289</v>
      </c>
      <c r="D2630" s="43" t="s">
        <v>327</v>
      </c>
      <c r="E2630" s="43" t="s">
        <v>336</v>
      </c>
    </row>
    <row r="2631" spans="1:5" x14ac:dyDescent="0.25">
      <c r="A2631" s="41">
        <v>8930</v>
      </c>
      <c r="B2631" s="42" t="s">
        <v>3004</v>
      </c>
      <c r="C2631" s="43" t="s">
        <v>289</v>
      </c>
      <c r="D2631" s="43" t="s">
        <v>327</v>
      </c>
      <c r="E2631" s="43" t="s">
        <v>230</v>
      </c>
    </row>
    <row r="2632" spans="1:5" x14ac:dyDescent="0.25">
      <c r="A2632" s="41">
        <v>8938</v>
      </c>
      <c r="B2632" s="42" t="s">
        <v>3005</v>
      </c>
      <c r="C2632" s="43" t="s">
        <v>289</v>
      </c>
      <c r="D2632" s="43" t="s">
        <v>845</v>
      </c>
      <c r="E2632" s="43" t="s">
        <v>230</v>
      </c>
    </row>
    <row r="2633" spans="1:5" x14ac:dyDescent="0.25">
      <c r="A2633" s="41">
        <v>8940</v>
      </c>
      <c r="B2633" s="42" t="s">
        <v>3006</v>
      </c>
      <c r="C2633" s="43" t="s">
        <v>289</v>
      </c>
      <c r="D2633" s="43" t="s">
        <v>1779</v>
      </c>
      <c r="E2633" s="43" t="s">
        <v>230</v>
      </c>
    </row>
    <row r="2634" spans="1:5" x14ac:dyDescent="0.25">
      <c r="A2634" s="41">
        <v>8946</v>
      </c>
      <c r="B2634" s="42" t="s">
        <v>3007</v>
      </c>
      <c r="C2634" s="43" t="s">
        <v>289</v>
      </c>
      <c r="D2634" s="43" t="s">
        <v>327</v>
      </c>
      <c r="E2634" s="43" t="s">
        <v>230</v>
      </c>
    </row>
    <row r="2635" spans="1:5" x14ac:dyDescent="0.25">
      <c r="A2635" s="41">
        <v>8947</v>
      </c>
      <c r="B2635" s="42" t="s">
        <v>3008</v>
      </c>
      <c r="C2635" s="43" t="s">
        <v>289</v>
      </c>
      <c r="D2635" s="43" t="s">
        <v>327</v>
      </c>
      <c r="E2635" s="43" t="s">
        <v>230</v>
      </c>
    </row>
    <row r="2636" spans="1:5" x14ac:dyDescent="0.25">
      <c r="A2636" s="41">
        <v>8948</v>
      </c>
      <c r="B2636" s="42" t="s">
        <v>3009</v>
      </c>
      <c r="C2636" s="43" t="s">
        <v>289</v>
      </c>
      <c r="D2636" s="43" t="s">
        <v>290</v>
      </c>
      <c r="E2636" s="43" t="s">
        <v>230</v>
      </c>
    </row>
    <row r="2637" spans="1:5" x14ac:dyDescent="0.25">
      <c r="A2637" s="41">
        <v>8949</v>
      </c>
      <c r="B2637" s="42" t="s">
        <v>3010</v>
      </c>
      <c r="C2637" s="43" t="s">
        <v>289</v>
      </c>
      <c r="D2637" s="43" t="s">
        <v>290</v>
      </c>
      <c r="E2637" s="43" t="s">
        <v>230</v>
      </c>
    </row>
    <row r="2638" spans="1:5" x14ac:dyDescent="0.25">
      <c r="A2638" s="41">
        <v>8950</v>
      </c>
      <c r="B2638" s="42" t="s">
        <v>3011</v>
      </c>
      <c r="C2638" s="43" t="s">
        <v>289</v>
      </c>
      <c r="D2638" s="43" t="s">
        <v>290</v>
      </c>
      <c r="E2638" s="43" t="s">
        <v>230</v>
      </c>
    </row>
    <row r="2639" spans="1:5" x14ac:dyDescent="0.25">
      <c r="A2639" s="41">
        <v>8958</v>
      </c>
      <c r="B2639" s="42" t="s">
        <v>3012</v>
      </c>
      <c r="C2639" s="43" t="s">
        <v>289</v>
      </c>
      <c r="D2639" s="43" t="s">
        <v>433</v>
      </c>
      <c r="E2639" s="43" t="s">
        <v>170</v>
      </c>
    </row>
    <row r="2640" spans="1:5" x14ac:dyDescent="0.25">
      <c r="A2640" s="41">
        <v>8959</v>
      </c>
      <c r="B2640" s="42" t="s">
        <v>3013</v>
      </c>
      <c r="C2640" s="43" t="s">
        <v>289</v>
      </c>
      <c r="D2640" s="43" t="s">
        <v>316</v>
      </c>
      <c r="E2640" s="43" t="s">
        <v>230</v>
      </c>
    </row>
    <row r="2641" spans="1:5" x14ac:dyDescent="0.25">
      <c r="A2641" s="41">
        <v>8964</v>
      </c>
      <c r="B2641" s="42" t="s">
        <v>3014</v>
      </c>
      <c r="C2641" s="43" t="s">
        <v>289</v>
      </c>
      <c r="D2641" s="43" t="s">
        <v>327</v>
      </c>
      <c r="E2641" s="43" t="s">
        <v>230</v>
      </c>
    </row>
    <row r="2642" spans="1:5" x14ac:dyDescent="0.25">
      <c r="A2642" s="41">
        <v>8975</v>
      </c>
      <c r="B2642" s="42" t="s">
        <v>3015</v>
      </c>
      <c r="C2642" s="43" t="s">
        <v>289</v>
      </c>
      <c r="D2642" s="43" t="s">
        <v>333</v>
      </c>
      <c r="E2642" s="43" t="s">
        <v>230</v>
      </c>
    </row>
    <row r="2643" spans="1:5" x14ac:dyDescent="0.25">
      <c r="A2643" s="41">
        <v>8978</v>
      </c>
      <c r="B2643" s="42" t="s">
        <v>3016</v>
      </c>
      <c r="C2643" s="43" t="s">
        <v>289</v>
      </c>
      <c r="D2643" s="43" t="s">
        <v>474</v>
      </c>
      <c r="E2643" s="43" t="s">
        <v>230</v>
      </c>
    </row>
    <row r="2644" spans="1:5" x14ac:dyDescent="0.25">
      <c r="A2644" s="41">
        <v>8988</v>
      </c>
      <c r="B2644" s="42" t="s">
        <v>3017</v>
      </c>
      <c r="C2644" s="43" t="s">
        <v>289</v>
      </c>
      <c r="D2644" s="43" t="s">
        <v>327</v>
      </c>
      <c r="E2644" s="43" t="s">
        <v>336</v>
      </c>
    </row>
    <row r="2645" spans="1:5" x14ac:dyDescent="0.25">
      <c r="A2645" s="41">
        <v>8989</v>
      </c>
      <c r="B2645" s="42" t="s">
        <v>3018</v>
      </c>
      <c r="C2645" s="43" t="s">
        <v>289</v>
      </c>
      <c r="D2645" s="43" t="s">
        <v>327</v>
      </c>
      <c r="E2645" s="43" t="s">
        <v>230</v>
      </c>
    </row>
    <row r="2646" spans="1:5" x14ac:dyDescent="0.25">
      <c r="A2646" s="41">
        <v>8994</v>
      </c>
      <c r="B2646" s="42" t="s">
        <v>3019</v>
      </c>
      <c r="C2646" s="43" t="s">
        <v>289</v>
      </c>
      <c r="D2646" s="43" t="s">
        <v>433</v>
      </c>
      <c r="E2646" s="43" t="s">
        <v>454</v>
      </c>
    </row>
    <row r="2647" spans="1:5" x14ac:dyDescent="0.25">
      <c r="A2647" s="41">
        <v>8998</v>
      </c>
      <c r="B2647" s="42" t="s">
        <v>3020</v>
      </c>
      <c r="C2647" s="43" t="s">
        <v>289</v>
      </c>
      <c r="D2647" s="43" t="s">
        <v>316</v>
      </c>
      <c r="E2647" s="43" t="s">
        <v>230</v>
      </c>
    </row>
    <row r="2648" spans="1:5" x14ac:dyDescent="0.25">
      <c r="A2648" s="41">
        <v>8999</v>
      </c>
      <c r="B2648" s="42" t="s">
        <v>3021</v>
      </c>
      <c r="C2648" s="43" t="s">
        <v>289</v>
      </c>
      <c r="D2648" s="43" t="s">
        <v>996</v>
      </c>
      <c r="E2648" s="43" t="s">
        <v>230</v>
      </c>
    </row>
    <row r="2649" spans="1:5" x14ac:dyDescent="0.25">
      <c r="A2649" s="41">
        <v>9000</v>
      </c>
      <c r="B2649" s="42" t="s">
        <v>3022</v>
      </c>
      <c r="C2649" s="43" t="s">
        <v>289</v>
      </c>
      <c r="D2649" s="43" t="s">
        <v>941</v>
      </c>
      <c r="E2649" s="43" t="s">
        <v>230</v>
      </c>
    </row>
    <row r="2650" spans="1:5" x14ac:dyDescent="0.25">
      <c r="A2650" s="41">
        <v>9003</v>
      </c>
      <c r="B2650" s="42" t="s">
        <v>3023</v>
      </c>
      <c r="C2650" s="43" t="s">
        <v>289</v>
      </c>
      <c r="D2650" s="43" t="s">
        <v>316</v>
      </c>
      <c r="E2650" s="43" t="s">
        <v>230</v>
      </c>
    </row>
    <row r="2651" spans="1:5" x14ac:dyDescent="0.25">
      <c r="A2651" s="41">
        <v>9008</v>
      </c>
      <c r="B2651" s="42" t="s">
        <v>3024</v>
      </c>
      <c r="C2651" s="43" t="s">
        <v>289</v>
      </c>
      <c r="D2651" s="43" t="s">
        <v>327</v>
      </c>
      <c r="E2651" s="43" t="s">
        <v>230</v>
      </c>
    </row>
    <row r="2652" spans="1:5" x14ac:dyDescent="0.25">
      <c r="A2652" s="41">
        <v>9011</v>
      </c>
      <c r="B2652" s="42" t="s">
        <v>3025</v>
      </c>
      <c r="C2652" s="43" t="s">
        <v>289</v>
      </c>
      <c r="D2652" s="43" t="s">
        <v>327</v>
      </c>
      <c r="E2652" s="43" t="s">
        <v>230</v>
      </c>
    </row>
    <row r="2653" spans="1:5" x14ac:dyDescent="0.25">
      <c r="A2653" s="41">
        <v>9014</v>
      </c>
      <c r="B2653" s="42" t="s">
        <v>3026</v>
      </c>
      <c r="C2653" s="43" t="s">
        <v>289</v>
      </c>
      <c r="D2653" s="43" t="s">
        <v>996</v>
      </c>
      <c r="E2653" s="43" t="s">
        <v>864</v>
      </c>
    </row>
    <row r="2654" spans="1:5" x14ac:dyDescent="0.25">
      <c r="A2654" s="41">
        <v>9027</v>
      </c>
      <c r="B2654" s="42" t="s">
        <v>3027</v>
      </c>
      <c r="C2654" s="43" t="s">
        <v>289</v>
      </c>
      <c r="D2654" s="43" t="s">
        <v>327</v>
      </c>
      <c r="E2654" s="43" t="s">
        <v>230</v>
      </c>
    </row>
    <row r="2655" spans="1:5" x14ac:dyDescent="0.25">
      <c r="A2655" s="41">
        <v>9040</v>
      </c>
      <c r="B2655" s="42" t="s">
        <v>3028</v>
      </c>
      <c r="C2655" s="43" t="s">
        <v>289</v>
      </c>
      <c r="D2655" s="43" t="s">
        <v>316</v>
      </c>
      <c r="E2655" s="43" t="s">
        <v>230</v>
      </c>
    </row>
    <row r="2656" spans="1:5" x14ac:dyDescent="0.25">
      <c r="A2656" s="41">
        <v>9042</v>
      </c>
      <c r="B2656" s="42" t="s">
        <v>3029</v>
      </c>
      <c r="C2656" s="43" t="s">
        <v>289</v>
      </c>
      <c r="D2656" s="43" t="s">
        <v>509</v>
      </c>
      <c r="E2656" s="43" t="s">
        <v>230</v>
      </c>
    </row>
    <row r="2657" spans="1:5" x14ac:dyDescent="0.25">
      <c r="A2657" s="41">
        <v>9045</v>
      </c>
      <c r="B2657" s="42" t="s">
        <v>3030</v>
      </c>
      <c r="C2657" s="43" t="s">
        <v>289</v>
      </c>
      <c r="D2657" s="43" t="s">
        <v>523</v>
      </c>
      <c r="E2657" s="43" t="s">
        <v>230</v>
      </c>
    </row>
    <row r="2658" spans="1:5" x14ac:dyDescent="0.25">
      <c r="A2658" s="41">
        <v>9055</v>
      </c>
      <c r="B2658" s="42" t="s">
        <v>3031</v>
      </c>
      <c r="C2658" s="43" t="s">
        <v>289</v>
      </c>
      <c r="D2658" s="43" t="s">
        <v>327</v>
      </c>
      <c r="E2658" s="43" t="s">
        <v>1093</v>
      </c>
    </row>
    <row r="2659" spans="1:5" x14ac:dyDescent="0.25">
      <c r="A2659" s="41">
        <v>9056</v>
      </c>
      <c r="B2659" s="42" t="s">
        <v>3032</v>
      </c>
      <c r="C2659" s="43" t="s">
        <v>289</v>
      </c>
      <c r="D2659" s="43" t="s">
        <v>327</v>
      </c>
      <c r="E2659" s="43" t="s">
        <v>336</v>
      </c>
    </row>
    <row r="2660" spans="1:5" x14ac:dyDescent="0.25">
      <c r="A2660" s="41">
        <v>9057</v>
      </c>
      <c r="B2660" s="42" t="s">
        <v>3033</v>
      </c>
      <c r="C2660" s="43" t="s">
        <v>289</v>
      </c>
      <c r="D2660" s="43" t="s">
        <v>327</v>
      </c>
      <c r="E2660" s="43" t="s">
        <v>336</v>
      </c>
    </row>
    <row r="2661" spans="1:5" x14ac:dyDescent="0.25">
      <c r="A2661" s="41">
        <v>9065</v>
      </c>
      <c r="B2661" s="42" t="s">
        <v>3034</v>
      </c>
      <c r="C2661" s="43" t="s">
        <v>289</v>
      </c>
      <c r="D2661" s="43" t="s">
        <v>327</v>
      </c>
      <c r="E2661" s="43" t="s">
        <v>230</v>
      </c>
    </row>
    <row r="2662" spans="1:5" x14ac:dyDescent="0.25">
      <c r="A2662" s="41">
        <v>9066</v>
      </c>
      <c r="B2662" s="42" t="s">
        <v>3035</v>
      </c>
      <c r="C2662" s="43" t="s">
        <v>289</v>
      </c>
      <c r="D2662" s="43" t="s">
        <v>327</v>
      </c>
      <c r="E2662" s="43" t="s">
        <v>217</v>
      </c>
    </row>
    <row r="2663" spans="1:5" x14ac:dyDescent="0.25">
      <c r="A2663" s="41">
        <v>9067</v>
      </c>
      <c r="B2663" s="42" t="s">
        <v>3036</v>
      </c>
      <c r="C2663" s="43" t="s">
        <v>289</v>
      </c>
      <c r="D2663" s="43" t="s">
        <v>327</v>
      </c>
      <c r="E2663" s="43" t="s">
        <v>217</v>
      </c>
    </row>
    <row r="2664" spans="1:5" x14ac:dyDescent="0.25">
      <c r="A2664" s="41">
        <v>9071</v>
      </c>
      <c r="B2664" s="42" t="s">
        <v>3037</v>
      </c>
      <c r="C2664" s="43" t="s">
        <v>289</v>
      </c>
      <c r="D2664" s="43" t="s">
        <v>327</v>
      </c>
      <c r="E2664" s="43" t="s">
        <v>230</v>
      </c>
    </row>
    <row r="2665" spans="1:5" x14ac:dyDescent="0.25">
      <c r="A2665" s="41">
        <v>9072</v>
      </c>
      <c r="B2665" s="42" t="s">
        <v>3038</v>
      </c>
      <c r="C2665" s="43" t="s">
        <v>289</v>
      </c>
      <c r="D2665" s="43" t="s">
        <v>327</v>
      </c>
      <c r="E2665" s="43" t="s">
        <v>230</v>
      </c>
    </row>
    <row r="2666" spans="1:5" x14ac:dyDescent="0.25">
      <c r="A2666" s="41">
        <v>9073</v>
      </c>
      <c r="B2666" s="42" t="s">
        <v>3039</v>
      </c>
      <c r="C2666" s="43" t="s">
        <v>289</v>
      </c>
      <c r="D2666" s="43" t="s">
        <v>996</v>
      </c>
      <c r="E2666" s="43" t="s">
        <v>404</v>
      </c>
    </row>
    <row r="2667" spans="1:5" x14ac:dyDescent="0.25">
      <c r="A2667" s="41">
        <v>9096</v>
      </c>
      <c r="B2667" s="42" t="s">
        <v>3040</v>
      </c>
      <c r="C2667" s="43" t="s">
        <v>289</v>
      </c>
      <c r="D2667" s="43" t="s">
        <v>316</v>
      </c>
      <c r="E2667" s="43" t="s">
        <v>864</v>
      </c>
    </row>
    <row r="2668" spans="1:5" x14ac:dyDescent="0.25">
      <c r="A2668" s="41">
        <v>9099</v>
      </c>
      <c r="B2668" s="42" t="s">
        <v>3041</v>
      </c>
      <c r="C2668" s="43" t="s">
        <v>289</v>
      </c>
      <c r="D2668" s="43" t="s">
        <v>327</v>
      </c>
      <c r="E2668" s="43" t="s">
        <v>230</v>
      </c>
    </row>
    <row r="2669" spans="1:5" x14ac:dyDescent="0.25">
      <c r="A2669" s="41">
        <v>9104</v>
      </c>
      <c r="B2669" s="42" t="s">
        <v>3042</v>
      </c>
      <c r="C2669" s="43" t="s">
        <v>289</v>
      </c>
      <c r="D2669" s="43" t="s">
        <v>482</v>
      </c>
      <c r="E2669" s="43" t="s">
        <v>472</v>
      </c>
    </row>
    <row r="2670" spans="1:5" x14ac:dyDescent="0.25">
      <c r="A2670" s="41">
        <v>9105</v>
      </c>
      <c r="B2670" s="42" t="s">
        <v>3043</v>
      </c>
      <c r="C2670" s="43" t="s">
        <v>289</v>
      </c>
      <c r="D2670" s="43" t="s">
        <v>327</v>
      </c>
      <c r="E2670" s="43" t="s">
        <v>464</v>
      </c>
    </row>
    <row r="2671" spans="1:5" x14ac:dyDescent="0.25">
      <c r="A2671" s="41">
        <v>9111</v>
      </c>
      <c r="B2671" s="42" t="s">
        <v>3044</v>
      </c>
      <c r="C2671" s="43" t="s">
        <v>289</v>
      </c>
      <c r="D2671" s="43" t="s">
        <v>996</v>
      </c>
      <c r="E2671" s="43" t="s">
        <v>230</v>
      </c>
    </row>
    <row r="2672" spans="1:5" x14ac:dyDescent="0.25">
      <c r="A2672" s="41">
        <v>9119</v>
      </c>
      <c r="B2672" s="42" t="s">
        <v>3045</v>
      </c>
      <c r="C2672" s="43" t="s">
        <v>289</v>
      </c>
      <c r="D2672" s="43" t="s">
        <v>314</v>
      </c>
      <c r="E2672" s="43" t="s">
        <v>230</v>
      </c>
    </row>
    <row r="2673" spans="1:5" x14ac:dyDescent="0.25">
      <c r="A2673" s="41">
        <v>9120</v>
      </c>
      <c r="B2673" s="42" t="s">
        <v>3046</v>
      </c>
      <c r="C2673" s="43" t="s">
        <v>289</v>
      </c>
      <c r="D2673" s="43" t="s">
        <v>314</v>
      </c>
      <c r="E2673" s="43" t="s">
        <v>230</v>
      </c>
    </row>
    <row r="2674" spans="1:5" x14ac:dyDescent="0.25">
      <c r="A2674" s="41">
        <v>9132</v>
      </c>
      <c r="B2674" s="42" t="s">
        <v>3047</v>
      </c>
      <c r="C2674" s="43" t="s">
        <v>289</v>
      </c>
      <c r="D2674" s="43" t="s">
        <v>1100</v>
      </c>
      <c r="E2674" s="43" t="s">
        <v>373</v>
      </c>
    </row>
    <row r="2675" spans="1:5" x14ac:dyDescent="0.25">
      <c r="A2675" s="41">
        <v>9133</v>
      </c>
      <c r="B2675" s="42" t="s">
        <v>3048</v>
      </c>
      <c r="C2675" s="43" t="s">
        <v>289</v>
      </c>
      <c r="D2675" s="43" t="s">
        <v>474</v>
      </c>
      <c r="E2675" s="43" t="s">
        <v>230</v>
      </c>
    </row>
    <row r="2676" spans="1:5" x14ac:dyDescent="0.25">
      <c r="A2676" s="41">
        <v>9137</v>
      </c>
      <c r="B2676" s="42" t="s">
        <v>3049</v>
      </c>
      <c r="C2676" s="43" t="s">
        <v>289</v>
      </c>
      <c r="D2676" s="43" t="s">
        <v>327</v>
      </c>
      <c r="E2676" s="43" t="s">
        <v>464</v>
      </c>
    </row>
    <row r="2677" spans="1:5" x14ac:dyDescent="0.25">
      <c r="A2677" s="41">
        <v>9138</v>
      </c>
      <c r="B2677" s="42" t="s">
        <v>3050</v>
      </c>
      <c r="C2677" s="43" t="s">
        <v>289</v>
      </c>
      <c r="D2677" s="43" t="s">
        <v>327</v>
      </c>
      <c r="E2677" s="43" t="s">
        <v>464</v>
      </c>
    </row>
    <row r="2678" spans="1:5" x14ac:dyDescent="0.25">
      <c r="A2678" s="41">
        <v>9139</v>
      </c>
      <c r="B2678" s="42" t="s">
        <v>3051</v>
      </c>
      <c r="C2678" s="43" t="s">
        <v>289</v>
      </c>
      <c r="D2678" s="43" t="s">
        <v>327</v>
      </c>
      <c r="E2678" s="43" t="s">
        <v>464</v>
      </c>
    </row>
    <row r="2679" spans="1:5" x14ac:dyDescent="0.25">
      <c r="A2679" s="41">
        <v>9141</v>
      </c>
      <c r="B2679" s="42" t="s">
        <v>3052</v>
      </c>
      <c r="C2679" s="43" t="s">
        <v>289</v>
      </c>
      <c r="D2679" s="43" t="s">
        <v>327</v>
      </c>
      <c r="E2679" s="43" t="s">
        <v>354</v>
      </c>
    </row>
    <row r="2680" spans="1:5" x14ac:dyDescent="0.25">
      <c r="A2680" s="41">
        <v>9142</v>
      </c>
      <c r="B2680" s="42" t="s">
        <v>3053</v>
      </c>
      <c r="C2680" s="43" t="s">
        <v>289</v>
      </c>
      <c r="D2680" s="43" t="s">
        <v>327</v>
      </c>
      <c r="E2680" s="43" t="s">
        <v>230</v>
      </c>
    </row>
    <row r="2681" spans="1:5" x14ac:dyDescent="0.25">
      <c r="A2681" s="41">
        <v>9147</v>
      </c>
      <c r="B2681" s="42" t="s">
        <v>3054</v>
      </c>
      <c r="C2681" s="43" t="s">
        <v>289</v>
      </c>
      <c r="D2681" s="43" t="s">
        <v>474</v>
      </c>
      <c r="E2681" s="43" t="s">
        <v>230</v>
      </c>
    </row>
    <row r="2682" spans="1:5" x14ac:dyDescent="0.25">
      <c r="A2682" s="41">
        <v>9165</v>
      </c>
      <c r="B2682" s="42" t="s">
        <v>3055</v>
      </c>
      <c r="C2682" s="43" t="s">
        <v>289</v>
      </c>
      <c r="D2682" s="43" t="s">
        <v>996</v>
      </c>
      <c r="E2682" s="43" t="s">
        <v>354</v>
      </c>
    </row>
    <row r="2683" spans="1:5" x14ac:dyDescent="0.25">
      <c r="A2683" s="41">
        <v>9166</v>
      </c>
      <c r="B2683" s="42" t="s">
        <v>3056</v>
      </c>
      <c r="C2683" s="43" t="s">
        <v>289</v>
      </c>
      <c r="D2683" s="43" t="s">
        <v>996</v>
      </c>
      <c r="E2683" s="43" t="s">
        <v>464</v>
      </c>
    </row>
    <row r="2684" spans="1:5" x14ac:dyDescent="0.25">
      <c r="A2684" s="41">
        <v>9168</v>
      </c>
      <c r="B2684" s="42" t="s">
        <v>3057</v>
      </c>
      <c r="C2684" s="43" t="s">
        <v>289</v>
      </c>
      <c r="D2684" s="43" t="s">
        <v>996</v>
      </c>
      <c r="E2684" s="43" t="s">
        <v>464</v>
      </c>
    </row>
    <row r="2685" spans="1:5" x14ac:dyDescent="0.25">
      <c r="A2685" s="41">
        <v>9170</v>
      </c>
      <c r="B2685" s="42" t="s">
        <v>3058</v>
      </c>
      <c r="C2685" s="43" t="s">
        <v>289</v>
      </c>
      <c r="D2685" s="43" t="s">
        <v>333</v>
      </c>
      <c r="E2685" s="43" t="s">
        <v>464</v>
      </c>
    </row>
    <row r="2686" spans="1:5" x14ac:dyDescent="0.25">
      <c r="A2686" s="41">
        <v>9172</v>
      </c>
      <c r="B2686" s="42" t="s">
        <v>3059</v>
      </c>
      <c r="C2686" s="43" t="s">
        <v>289</v>
      </c>
      <c r="D2686" s="43" t="s">
        <v>314</v>
      </c>
      <c r="E2686" s="43" t="s">
        <v>336</v>
      </c>
    </row>
    <row r="2687" spans="1:5" x14ac:dyDescent="0.25">
      <c r="A2687" s="41">
        <v>9181</v>
      </c>
      <c r="B2687" s="42" t="s">
        <v>3060</v>
      </c>
      <c r="C2687" s="43" t="s">
        <v>289</v>
      </c>
      <c r="D2687" s="43" t="s">
        <v>1041</v>
      </c>
      <c r="E2687" s="43" t="s">
        <v>464</v>
      </c>
    </row>
    <row r="2688" spans="1:5" x14ac:dyDescent="0.25">
      <c r="A2688" s="41">
        <v>9185</v>
      </c>
      <c r="B2688" s="42" t="s">
        <v>3061</v>
      </c>
      <c r="C2688" s="43" t="s">
        <v>289</v>
      </c>
      <c r="D2688" s="43" t="s">
        <v>468</v>
      </c>
      <c r="E2688" s="43" t="s">
        <v>230</v>
      </c>
    </row>
    <row r="2689" spans="1:5" x14ac:dyDescent="0.25">
      <c r="A2689" s="41">
        <v>9196</v>
      </c>
      <c r="B2689" s="42" t="s">
        <v>3062</v>
      </c>
      <c r="C2689" s="43" t="s">
        <v>289</v>
      </c>
      <c r="D2689" s="43" t="s">
        <v>523</v>
      </c>
      <c r="E2689" s="43" t="s">
        <v>230</v>
      </c>
    </row>
    <row r="2690" spans="1:5" x14ac:dyDescent="0.25">
      <c r="A2690" s="41">
        <v>9204</v>
      </c>
      <c r="B2690" s="42" t="s">
        <v>3063</v>
      </c>
      <c r="C2690" s="43" t="s">
        <v>289</v>
      </c>
      <c r="D2690" s="43" t="s">
        <v>468</v>
      </c>
      <c r="E2690" s="43" t="s">
        <v>230</v>
      </c>
    </row>
    <row r="2691" spans="1:5" x14ac:dyDescent="0.25">
      <c r="A2691" s="41">
        <v>9211</v>
      </c>
      <c r="B2691" s="42" t="s">
        <v>3064</v>
      </c>
      <c r="C2691" s="43" t="s">
        <v>289</v>
      </c>
      <c r="D2691" s="43" t="s">
        <v>468</v>
      </c>
      <c r="E2691" s="43" t="s">
        <v>230</v>
      </c>
    </row>
    <row r="2692" spans="1:5" x14ac:dyDescent="0.25">
      <c r="A2692" s="41">
        <v>9216</v>
      </c>
      <c r="B2692" s="42" t="s">
        <v>3065</v>
      </c>
      <c r="C2692" s="43" t="s">
        <v>289</v>
      </c>
      <c r="D2692" s="43" t="s">
        <v>316</v>
      </c>
      <c r="E2692" s="43" t="s">
        <v>373</v>
      </c>
    </row>
    <row r="2693" spans="1:5" x14ac:dyDescent="0.25">
      <c r="A2693" s="41">
        <v>9218</v>
      </c>
      <c r="B2693" s="42" t="s">
        <v>3066</v>
      </c>
      <c r="C2693" s="43" t="s">
        <v>289</v>
      </c>
      <c r="D2693" s="43" t="s">
        <v>1112</v>
      </c>
      <c r="E2693" s="43" t="s">
        <v>230</v>
      </c>
    </row>
    <row r="2694" spans="1:5" x14ac:dyDescent="0.25">
      <c r="A2694" s="41">
        <v>9220</v>
      </c>
      <c r="B2694" s="42" t="s">
        <v>3067</v>
      </c>
      <c r="C2694" s="43" t="s">
        <v>289</v>
      </c>
      <c r="D2694" s="43" t="s">
        <v>1112</v>
      </c>
      <c r="E2694" s="43" t="s">
        <v>230</v>
      </c>
    </row>
    <row r="2695" spans="1:5" x14ac:dyDescent="0.25">
      <c r="A2695" s="41">
        <v>9222</v>
      </c>
      <c r="B2695" s="42" t="s">
        <v>3068</v>
      </c>
      <c r="C2695" s="43" t="s">
        <v>289</v>
      </c>
      <c r="D2695" s="43" t="s">
        <v>996</v>
      </c>
      <c r="E2695" s="43" t="s">
        <v>373</v>
      </c>
    </row>
    <row r="2696" spans="1:5" x14ac:dyDescent="0.25">
      <c r="A2696" s="41">
        <v>9224</v>
      </c>
      <c r="B2696" s="42" t="s">
        <v>3069</v>
      </c>
      <c r="C2696" s="43" t="s">
        <v>289</v>
      </c>
      <c r="D2696" s="43" t="s">
        <v>811</v>
      </c>
      <c r="E2696" s="43" t="s">
        <v>436</v>
      </c>
    </row>
    <row r="2697" spans="1:5" x14ac:dyDescent="0.25">
      <c r="A2697" s="41">
        <v>9225</v>
      </c>
      <c r="B2697" s="42" t="s">
        <v>3070</v>
      </c>
      <c r="C2697" s="43" t="s">
        <v>289</v>
      </c>
      <c r="D2697" s="43" t="s">
        <v>327</v>
      </c>
      <c r="E2697" s="43" t="s">
        <v>230</v>
      </c>
    </row>
    <row r="2698" spans="1:5" x14ac:dyDescent="0.25">
      <c r="A2698" s="41">
        <v>9226</v>
      </c>
      <c r="B2698" s="42" t="s">
        <v>3071</v>
      </c>
      <c r="C2698" s="43" t="s">
        <v>289</v>
      </c>
      <c r="D2698" s="43" t="s">
        <v>327</v>
      </c>
      <c r="E2698" s="43" t="s">
        <v>230</v>
      </c>
    </row>
    <row r="2699" spans="1:5" x14ac:dyDescent="0.25">
      <c r="A2699" s="41">
        <v>9228</v>
      </c>
      <c r="B2699" s="42" t="s">
        <v>3072</v>
      </c>
      <c r="C2699" s="43" t="s">
        <v>289</v>
      </c>
      <c r="D2699" s="43" t="s">
        <v>438</v>
      </c>
      <c r="E2699" s="43" t="s">
        <v>230</v>
      </c>
    </row>
    <row r="2700" spans="1:5" x14ac:dyDescent="0.25">
      <c r="A2700" s="41">
        <v>9231</v>
      </c>
      <c r="B2700" s="42" t="s">
        <v>3073</v>
      </c>
      <c r="C2700" s="43" t="s">
        <v>289</v>
      </c>
      <c r="D2700" s="43" t="s">
        <v>453</v>
      </c>
      <c r="E2700" s="43" t="s">
        <v>454</v>
      </c>
    </row>
    <row r="2701" spans="1:5" x14ac:dyDescent="0.25">
      <c r="A2701" s="41">
        <v>9232</v>
      </c>
      <c r="B2701" s="42" t="s">
        <v>3074</v>
      </c>
      <c r="C2701" s="43" t="s">
        <v>289</v>
      </c>
      <c r="D2701" s="43" t="s">
        <v>316</v>
      </c>
      <c r="E2701" s="43" t="s">
        <v>454</v>
      </c>
    </row>
    <row r="2702" spans="1:5" x14ac:dyDescent="0.25">
      <c r="A2702" s="41">
        <v>9239</v>
      </c>
      <c r="B2702" s="42" t="s">
        <v>3075</v>
      </c>
      <c r="C2702" s="43" t="s">
        <v>289</v>
      </c>
      <c r="D2702" s="43" t="s">
        <v>468</v>
      </c>
      <c r="E2702" s="43" t="s">
        <v>230</v>
      </c>
    </row>
    <row r="2703" spans="1:5" x14ac:dyDescent="0.25">
      <c r="A2703" s="41">
        <v>9240</v>
      </c>
      <c r="B2703" s="42" t="s">
        <v>3076</v>
      </c>
      <c r="C2703" s="43" t="s">
        <v>289</v>
      </c>
      <c r="D2703" s="43" t="s">
        <v>327</v>
      </c>
      <c r="E2703" s="43" t="s">
        <v>354</v>
      </c>
    </row>
    <row r="2704" spans="1:5" x14ac:dyDescent="0.25">
      <c r="A2704" s="41">
        <v>9242</v>
      </c>
      <c r="B2704" s="42" t="s">
        <v>3077</v>
      </c>
      <c r="C2704" s="43" t="s">
        <v>289</v>
      </c>
      <c r="D2704" s="43" t="s">
        <v>474</v>
      </c>
      <c r="E2704" s="43" t="s">
        <v>230</v>
      </c>
    </row>
    <row r="2705" spans="1:5" x14ac:dyDescent="0.25">
      <c r="A2705" s="41">
        <v>9249</v>
      </c>
      <c r="B2705" s="42" t="s">
        <v>3078</v>
      </c>
      <c r="C2705" s="43" t="s">
        <v>289</v>
      </c>
      <c r="D2705" s="43" t="s">
        <v>996</v>
      </c>
      <c r="E2705" s="43" t="s">
        <v>230</v>
      </c>
    </row>
    <row r="2706" spans="1:5" x14ac:dyDescent="0.25">
      <c r="A2706" s="41">
        <v>9259</v>
      </c>
      <c r="B2706" s="42" t="s">
        <v>3079</v>
      </c>
      <c r="C2706" s="43" t="s">
        <v>289</v>
      </c>
      <c r="D2706" s="43" t="s">
        <v>327</v>
      </c>
      <c r="E2706" s="43" t="s">
        <v>336</v>
      </c>
    </row>
    <row r="2707" spans="1:5" x14ac:dyDescent="0.25">
      <c r="A2707" s="41">
        <v>9260</v>
      </c>
      <c r="B2707" s="42" t="s">
        <v>3080</v>
      </c>
      <c r="C2707" s="43" t="s">
        <v>289</v>
      </c>
      <c r="D2707" s="43" t="s">
        <v>435</v>
      </c>
      <c r="E2707" s="43" t="s">
        <v>230</v>
      </c>
    </row>
    <row r="2708" spans="1:5" x14ac:dyDescent="0.25">
      <c r="A2708" s="41">
        <v>9264</v>
      </c>
      <c r="B2708" s="42" t="s">
        <v>3081</v>
      </c>
      <c r="C2708" s="43" t="s">
        <v>289</v>
      </c>
      <c r="D2708" s="43" t="s">
        <v>996</v>
      </c>
      <c r="E2708" s="43" t="s">
        <v>864</v>
      </c>
    </row>
    <row r="2709" spans="1:5" x14ac:dyDescent="0.25">
      <c r="A2709" s="41">
        <v>9266</v>
      </c>
      <c r="B2709" s="42" t="s">
        <v>3082</v>
      </c>
      <c r="C2709" s="43" t="s">
        <v>289</v>
      </c>
      <c r="D2709" s="43" t="s">
        <v>996</v>
      </c>
      <c r="E2709" s="43" t="s">
        <v>864</v>
      </c>
    </row>
    <row r="2710" spans="1:5" x14ac:dyDescent="0.25">
      <c r="A2710" s="41">
        <v>9271</v>
      </c>
      <c r="B2710" s="42" t="s">
        <v>3083</v>
      </c>
      <c r="C2710" s="43" t="s">
        <v>289</v>
      </c>
      <c r="D2710" s="43" t="s">
        <v>996</v>
      </c>
      <c r="E2710" s="43" t="s">
        <v>864</v>
      </c>
    </row>
    <row r="2711" spans="1:5" x14ac:dyDescent="0.25">
      <c r="A2711" s="41">
        <v>9272</v>
      </c>
      <c r="B2711" s="42" t="s">
        <v>3084</v>
      </c>
      <c r="C2711" s="43" t="s">
        <v>289</v>
      </c>
      <c r="D2711" s="43" t="s">
        <v>996</v>
      </c>
      <c r="E2711" s="43" t="s">
        <v>864</v>
      </c>
    </row>
    <row r="2712" spans="1:5" x14ac:dyDescent="0.25">
      <c r="A2712" s="41">
        <v>9276</v>
      </c>
      <c r="B2712" s="42" t="s">
        <v>3085</v>
      </c>
      <c r="C2712" s="43" t="s">
        <v>289</v>
      </c>
      <c r="D2712" s="43" t="s">
        <v>996</v>
      </c>
      <c r="E2712" s="43" t="s">
        <v>230</v>
      </c>
    </row>
    <row r="2713" spans="1:5" x14ac:dyDescent="0.25">
      <c r="A2713" s="41">
        <v>9284</v>
      </c>
      <c r="B2713" s="42" t="s">
        <v>3086</v>
      </c>
      <c r="C2713" s="43" t="s">
        <v>289</v>
      </c>
      <c r="D2713" s="43" t="s">
        <v>996</v>
      </c>
      <c r="E2713" s="43" t="s">
        <v>531</v>
      </c>
    </row>
    <row r="2714" spans="1:5" x14ac:dyDescent="0.25">
      <c r="A2714" s="41">
        <v>9285</v>
      </c>
      <c r="B2714" s="42" t="s">
        <v>3087</v>
      </c>
      <c r="C2714" s="43" t="s">
        <v>289</v>
      </c>
      <c r="D2714" s="43" t="s">
        <v>996</v>
      </c>
      <c r="E2714" s="43" t="s">
        <v>531</v>
      </c>
    </row>
    <row r="2715" spans="1:5" x14ac:dyDescent="0.25">
      <c r="A2715" s="41">
        <v>9296</v>
      </c>
      <c r="B2715" s="42" t="s">
        <v>3088</v>
      </c>
      <c r="C2715" s="43" t="s">
        <v>289</v>
      </c>
      <c r="D2715" s="43" t="s">
        <v>327</v>
      </c>
      <c r="E2715" s="43" t="s">
        <v>464</v>
      </c>
    </row>
    <row r="2716" spans="1:5" x14ac:dyDescent="0.25">
      <c r="A2716" s="41">
        <v>9298</v>
      </c>
      <c r="B2716" s="42" t="s">
        <v>3089</v>
      </c>
      <c r="C2716" s="43" t="s">
        <v>289</v>
      </c>
      <c r="D2716" s="43" t="s">
        <v>474</v>
      </c>
      <c r="E2716" s="43" t="s">
        <v>230</v>
      </c>
    </row>
    <row r="2717" spans="1:5" x14ac:dyDescent="0.25">
      <c r="A2717" s="41">
        <v>9301</v>
      </c>
      <c r="B2717" s="42" t="s">
        <v>3090</v>
      </c>
      <c r="C2717" s="43" t="s">
        <v>289</v>
      </c>
      <c r="D2717" s="43" t="s">
        <v>327</v>
      </c>
      <c r="E2717" s="43" t="s">
        <v>354</v>
      </c>
    </row>
    <row r="2718" spans="1:5" x14ac:dyDescent="0.25">
      <c r="A2718" s="41">
        <v>9311</v>
      </c>
      <c r="B2718" s="42" t="s">
        <v>3091</v>
      </c>
      <c r="C2718" s="43" t="s">
        <v>289</v>
      </c>
      <c r="D2718" s="43" t="s">
        <v>333</v>
      </c>
      <c r="E2718" s="43" t="s">
        <v>464</v>
      </c>
    </row>
    <row r="2719" spans="1:5" x14ac:dyDescent="0.25">
      <c r="A2719" s="41">
        <v>9312</v>
      </c>
      <c r="B2719" s="42" t="s">
        <v>3092</v>
      </c>
      <c r="C2719" s="43" t="s">
        <v>289</v>
      </c>
      <c r="D2719" s="43" t="s">
        <v>468</v>
      </c>
      <c r="E2719" s="43" t="s">
        <v>464</v>
      </c>
    </row>
    <row r="2720" spans="1:5" x14ac:dyDescent="0.25">
      <c r="A2720" s="41">
        <v>9320</v>
      </c>
      <c r="B2720" s="42" t="s">
        <v>3093</v>
      </c>
      <c r="C2720" s="43" t="s">
        <v>289</v>
      </c>
      <c r="D2720" s="43" t="s">
        <v>327</v>
      </c>
      <c r="E2720" s="43" t="s">
        <v>230</v>
      </c>
    </row>
    <row r="2721" spans="1:5" x14ac:dyDescent="0.25">
      <c r="A2721" s="41">
        <v>9334</v>
      </c>
      <c r="B2721" s="42" t="s">
        <v>3094</v>
      </c>
      <c r="C2721" s="43" t="s">
        <v>289</v>
      </c>
      <c r="D2721" s="43" t="s">
        <v>1290</v>
      </c>
      <c r="E2721" s="43" t="s">
        <v>454</v>
      </c>
    </row>
    <row r="2722" spans="1:5" x14ac:dyDescent="0.25">
      <c r="A2722" s="41">
        <v>9340</v>
      </c>
      <c r="B2722" s="42" t="s">
        <v>3095</v>
      </c>
      <c r="C2722" s="43" t="s">
        <v>289</v>
      </c>
      <c r="D2722" s="43" t="s">
        <v>314</v>
      </c>
      <c r="E2722" s="43" t="s">
        <v>464</v>
      </c>
    </row>
    <row r="2723" spans="1:5" x14ac:dyDescent="0.25">
      <c r="A2723" s="41">
        <v>9348</v>
      </c>
      <c r="B2723" s="42" t="s">
        <v>3096</v>
      </c>
      <c r="C2723" s="43" t="s">
        <v>289</v>
      </c>
      <c r="D2723" s="43" t="s">
        <v>327</v>
      </c>
      <c r="E2723" s="43" t="s">
        <v>217</v>
      </c>
    </row>
    <row r="2724" spans="1:5" x14ac:dyDescent="0.25">
      <c r="A2724" s="41">
        <v>9354</v>
      </c>
      <c r="B2724" s="42" t="s">
        <v>3097</v>
      </c>
      <c r="C2724" s="43" t="s">
        <v>289</v>
      </c>
      <c r="D2724" s="43" t="s">
        <v>438</v>
      </c>
      <c r="E2724" s="43" t="s">
        <v>230</v>
      </c>
    </row>
    <row r="2725" spans="1:5" x14ac:dyDescent="0.25">
      <c r="A2725" s="41">
        <v>9360</v>
      </c>
      <c r="B2725" s="42" t="s">
        <v>3098</v>
      </c>
      <c r="C2725" s="43" t="s">
        <v>289</v>
      </c>
      <c r="D2725" s="43" t="s">
        <v>845</v>
      </c>
      <c r="E2725" s="43" t="s">
        <v>464</v>
      </c>
    </row>
    <row r="2726" spans="1:5" x14ac:dyDescent="0.25">
      <c r="A2726" s="41">
        <v>9362</v>
      </c>
      <c r="B2726" s="42" t="s">
        <v>3099</v>
      </c>
      <c r="C2726" s="43" t="s">
        <v>289</v>
      </c>
      <c r="D2726" s="43" t="s">
        <v>327</v>
      </c>
      <c r="E2726" s="43" t="s">
        <v>464</v>
      </c>
    </row>
    <row r="2727" spans="1:5" x14ac:dyDescent="0.25">
      <c r="A2727" s="41">
        <v>9367</v>
      </c>
      <c r="B2727" s="42" t="s">
        <v>3100</v>
      </c>
      <c r="C2727" s="43" t="s">
        <v>289</v>
      </c>
      <c r="D2727" s="43" t="s">
        <v>327</v>
      </c>
      <c r="E2727" s="43" t="s">
        <v>230</v>
      </c>
    </row>
    <row r="2728" spans="1:5" x14ac:dyDescent="0.25">
      <c r="A2728" s="41">
        <v>9370</v>
      </c>
      <c r="B2728" s="42" t="s">
        <v>3101</v>
      </c>
      <c r="C2728" s="43" t="s">
        <v>289</v>
      </c>
      <c r="D2728" s="43" t="s">
        <v>327</v>
      </c>
      <c r="E2728" s="43" t="s">
        <v>1244</v>
      </c>
    </row>
    <row r="2729" spans="1:5" x14ac:dyDescent="0.25">
      <c r="A2729" s="41">
        <v>9373</v>
      </c>
      <c r="B2729" s="42" t="s">
        <v>3102</v>
      </c>
      <c r="C2729" s="43" t="s">
        <v>289</v>
      </c>
      <c r="D2729" s="43" t="s">
        <v>466</v>
      </c>
      <c r="E2729" s="43" t="s">
        <v>769</v>
      </c>
    </row>
    <row r="2730" spans="1:5" x14ac:dyDescent="0.25">
      <c r="A2730" s="41">
        <v>9374</v>
      </c>
      <c r="B2730" s="42" t="s">
        <v>3103</v>
      </c>
      <c r="C2730" s="43" t="s">
        <v>289</v>
      </c>
      <c r="D2730" s="43" t="s">
        <v>435</v>
      </c>
      <c r="E2730" s="43" t="s">
        <v>170</v>
      </c>
    </row>
    <row r="2731" spans="1:5" x14ac:dyDescent="0.25">
      <c r="A2731" s="41">
        <v>9375</v>
      </c>
      <c r="B2731" s="42" t="s">
        <v>3104</v>
      </c>
      <c r="C2731" s="43" t="s">
        <v>289</v>
      </c>
      <c r="D2731" s="43" t="s">
        <v>435</v>
      </c>
      <c r="E2731" s="43" t="s">
        <v>170</v>
      </c>
    </row>
    <row r="2732" spans="1:5" x14ac:dyDescent="0.25">
      <c r="A2732" s="41">
        <v>9383</v>
      </c>
      <c r="B2732" s="42" t="s">
        <v>3105</v>
      </c>
      <c r="C2732" s="43" t="s">
        <v>289</v>
      </c>
      <c r="D2732" s="43" t="s">
        <v>327</v>
      </c>
      <c r="E2732" s="43" t="s">
        <v>230</v>
      </c>
    </row>
    <row r="2733" spans="1:5" x14ac:dyDescent="0.25">
      <c r="A2733" s="41">
        <v>9384</v>
      </c>
      <c r="B2733" s="42" t="s">
        <v>3106</v>
      </c>
      <c r="C2733" s="43" t="s">
        <v>289</v>
      </c>
      <c r="D2733" s="43" t="s">
        <v>327</v>
      </c>
      <c r="E2733" s="43" t="s">
        <v>230</v>
      </c>
    </row>
    <row r="2734" spans="1:5" x14ac:dyDescent="0.25">
      <c r="A2734" s="41">
        <v>9386</v>
      </c>
      <c r="B2734" s="42" t="s">
        <v>3107</v>
      </c>
      <c r="C2734" s="43" t="s">
        <v>289</v>
      </c>
      <c r="D2734" s="43" t="s">
        <v>327</v>
      </c>
      <c r="E2734" s="43" t="s">
        <v>230</v>
      </c>
    </row>
    <row r="2735" spans="1:5" x14ac:dyDescent="0.25">
      <c r="A2735" s="41">
        <v>9387</v>
      </c>
      <c r="B2735" s="42" t="s">
        <v>3108</v>
      </c>
      <c r="C2735" s="43" t="s">
        <v>289</v>
      </c>
      <c r="D2735" s="43" t="s">
        <v>438</v>
      </c>
      <c r="E2735" s="43" t="s">
        <v>230</v>
      </c>
    </row>
    <row r="2736" spans="1:5" x14ac:dyDescent="0.25">
      <c r="A2736" s="41">
        <v>9401</v>
      </c>
      <c r="B2736" s="42" t="s">
        <v>3109</v>
      </c>
      <c r="C2736" s="43" t="s">
        <v>289</v>
      </c>
      <c r="D2736" s="43" t="s">
        <v>633</v>
      </c>
      <c r="E2736" s="43" t="s">
        <v>464</v>
      </c>
    </row>
    <row r="2737" spans="1:5" x14ac:dyDescent="0.25">
      <c r="A2737" s="41">
        <v>9408</v>
      </c>
      <c r="B2737" s="42" t="s">
        <v>3110</v>
      </c>
      <c r="C2737" s="43" t="s">
        <v>289</v>
      </c>
      <c r="D2737" s="43" t="s">
        <v>327</v>
      </c>
      <c r="E2737" s="43" t="s">
        <v>864</v>
      </c>
    </row>
    <row r="2738" spans="1:5" x14ac:dyDescent="0.25">
      <c r="A2738" s="41">
        <v>9412</v>
      </c>
      <c r="B2738" s="42" t="s">
        <v>3111</v>
      </c>
      <c r="C2738" s="43" t="s">
        <v>289</v>
      </c>
      <c r="D2738" s="43" t="s">
        <v>327</v>
      </c>
      <c r="E2738" s="43" t="s">
        <v>230</v>
      </c>
    </row>
    <row r="2739" spans="1:5" x14ac:dyDescent="0.25">
      <c r="A2739" s="41">
        <v>9413</v>
      </c>
      <c r="B2739" s="42" t="s">
        <v>3112</v>
      </c>
      <c r="C2739" s="43" t="s">
        <v>289</v>
      </c>
      <c r="D2739" s="43" t="s">
        <v>316</v>
      </c>
      <c r="E2739" s="43" t="s">
        <v>464</v>
      </c>
    </row>
    <row r="2740" spans="1:5" x14ac:dyDescent="0.25">
      <c r="A2740" s="41">
        <v>9415</v>
      </c>
      <c r="B2740" s="42" t="s">
        <v>3113</v>
      </c>
      <c r="C2740" s="43" t="s">
        <v>289</v>
      </c>
      <c r="D2740" s="43" t="s">
        <v>1734</v>
      </c>
      <c r="E2740" s="43" t="s">
        <v>170</v>
      </c>
    </row>
    <row r="2741" spans="1:5" x14ac:dyDescent="0.25">
      <c r="A2741" s="41">
        <v>9416</v>
      </c>
      <c r="B2741" s="42" t="s">
        <v>3114</v>
      </c>
      <c r="C2741" s="43" t="s">
        <v>289</v>
      </c>
      <c r="D2741" s="43" t="s">
        <v>435</v>
      </c>
      <c r="E2741" s="43" t="s">
        <v>230</v>
      </c>
    </row>
    <row r="2742" spans="1:5" x14ac:dyDescent="0.25">
      <c r="A2742" s="41">
        <v>9417</v>
      </c>
      <c r="B2742" s="42" t="s">
        <v>3115</v>
      </c>
      <c r="C2742" s="43" t="s">
        <v>289</v>
      </c>
      <c r="D2742" s="43" t="s">
        <v>333</v>
      </c>
      <c r="E2742" s="43" t="s">
        <v>230</v>
      </c>
    </row>
    <row r="2743" spans="1:5" x14ac:dyDescent="0.25">
      <c r="A2743" s="41">
        <v>9418</v>
      </c>
      <c r="B2743" s="42" t="s">
        <v>3116</v>
      </c>
      <c r="C2743" s="43" t="s">
        <v>289</v>
      </c>
      <c r="D2743" s="43" t="s">
        <v>435</v>
      </c>
      <c r="E2743" s="43" t="s">
        <v>373</v>
      </c>
    </row>
    <row r="2744" spans="1:5" x14ac:dyDescent="0.25">
      <c r="A2744" s="41">
        <v>9420</v>
      </c>
      <c r="B2744" s="42" t="s">
        <v>3117</v>
      </c>
      <c r="C2744" s="43" t="s">
        <v>289</v>
      </c>
      <c r="D2744" s="43" t="s">
        <v>435</v>
      </c>
      <c r="E2744" s="43" t="s">
        <v>230</v>
      </c>
    </row>
    <row r="2745" spans="1:5" x14ac:dyDescent="0.25">
      <c r="A2745" s="41">
        <v>9427</v>
      </c>
      <c r="B2745" s="42" t="s">
        <v>3118</v>
      </c>
      <c r="C2745" s="43" t="s">
        <v>289</v>
      </c>
      <c r="D2745" s="43" t="s">
        <v>474</v>
      </c>
      <c r="E2745" s="43" t="s">
        <v>373</v>
      </c>
    </row>
    <row r="2746" spans="1:5" x14ac:dyDescent="0.25">
      <c r="A2746" s="41">
        <v>9440</v>
      </c>
      <c r="B2746" s="42" t="s">
        <v>3119</v>
      </c>
      <c r="C2746" s="43" t="s">
        <v>289</v>
      </c>
      <c r="D2746" s="43" t="s">
        <v>410</v>
      </c>
      <c r="E2746" s="43" t="s">
        <v>230</v>
      </c>
    </row>
    <row r="2747" spans="1:5" x14ac:dyDescent="0.25">
      <c r="A2747" s="41">
        <v>9444</v>
      </c>
      <c r="B2747" s="42" t="s">
        <v>3120</v>
      </c>
      <c r="C2747" s="43" t="s">
        <v>289</v>
      </c>
      <c r="D2747" s="43" t="s">
        <v>435</v>
      </c>
      <c r="E2747" s="43" t="s">
        <v>230</v>
      </c>
    </row>
    <row r="2748" spans="1:5" x14ac:dyDescent="0.25">
      <c r="A2748" s="41">
        <v>9446</v>
      </c>
      <c r="B2748" s="42" t="s">
        <v>3121</v>
      </c>
      <c r="C2748" s="43" t="s">
        <v>289</v>
      </c>
      <c r="D2748" s="43" t="s">
        <v>482</v>
      </c>
      <c r="E2748" s="43" t="s">
        <v>170</v>
      </c>
    </row>
    <row r="2749" spans="1:5" x14ac:dyDescent="0.25">
      <c r="A2749" s="41">
        <v>9449</v>
      </c>
      <c r="B2749" s="42" t="s">
        <v>3122</v>
      </c>
      <c r="C2749" s="43" t="s">
        <v>289</v>
      </c>
      <c r="D2749" s="43" t="s">
        <v>316</v>
      </c>
      <c r="E2749" s="43" t="s">
        <v>230</v>
      </c>
    </row>
    <row r="2750" spans="1:5" x14ac:dyDescent="0.25">
      <c r="A2750" s="41">
        <v>9450</v>
      </c>
      <c r="B2750" s="42" t="s">
        <v>3123</v>
      </c>
      <c r="C2750" s="43" t="s">
        <v>289</v>
      </c>
      <c r="D2750" s="43" t="s">
        <v>327</v>
      </c>
      <c r="E2750" s="43" t="s">
        <v>230</v>
      </c>
    </row>
    <row r="2751" spans="1:5" x14ac:dyDescent="0.25">
      <c r="A2751" s="41">
        <v>9452</v>
      </c>
      <c r="B2751" s="42" t="s">
        <v>3124</v>
      </c>
      <c r="C2751" s="43" t="s">
        <v>289</v>
      </c>
      <c r="D2751" s="43" t="s">
        <v>327</v>
      </c>
      <c r="E2751" s="43" t="s">
        <v>230</v>
      </c>
    </row>
    <row r="2752" spans="1:5" x14ac:dyDescent="0.25">
      <c r="A2752" s="41">
        <v>9455</v>
      </c>
      <c r="B2752" s="42" t="s">
        <v>3125</v>
      </c>
      <c r="C2752" s="43" t="s">
        <v>289</v>
      </c>
      <c r="D2752" s="43" t="s">
        <v>327</v>
      </c>
      <c r="E2752" s="43" t="s">
        <v>230</v>
      </c>
    </row>
    <row r="2753" spans="1:5" x14ac:dyDescent="0.25">
      <c r="A2753" s="41">
        <v>9457</v>
      </c>
      <c r="B2753" s="42" t="s">
        <v>3126</v>
      </c>
      <c r="C2753" s="43" t="s">
        <v>289</v>
      </c>
      <c r="D2753" s="43" t="s">
        <v>327</v>
      </c>
      <c r="E2753" s="43" t="s">
        <v>230</v>
      </c>
    </row>
    <row r="2754" spans="1:5" x14ac:dyDescent="0.25">
      <c r="A2754" s="41">
        <v>9458</v>
      </c>
      <c r="B2754" s="42" t="s">
        <v>3127</v>
      </c>
      <c r="C2754" s="43" t="s">
        <v>289</v>
      </c>
      <c r="D2754" s="43" t="s">
        <v>327</v>
      </c>
      <c r="E2754" s="43" t="s">
        <v>230</v>
      </c>
    </row>
    <row r="2755" spans="1:5" x14ac:dyDescent="0.25">
      <c r="A2755" s="41">
        <v>9464</v>
      </c>
      <c r="B2755" s="42" t="s">
        <v>3128</v>
      </c>
      <c r="C2755" s="43" t="s">
        <v>289</v>
      </c>
      <c r="D2755" s="43" t="s">
        <v>996</v>
      </c>
      <c r="E2755" s="43" t="s">
        <v>230</v>
      </c>
    </row>
    <row r="2756" spans="1:5" x14ac:dyDescent="0.25">
      <c r="A2756" s="41">
        <v>9465</v>
      </c>
      <c r="B2756" s="42" t="s">
        <v>3129</v>
      </c>
      <c r="C2756" s="43" t="s">
        <v>289</v>
      </c>
      <c r="D2756" s="43" t="s">
        <v>996</v>
      </c>
      <c r="E2756" s="43" t="s">
        <v>230</v>
      </c>
    </row>
    <row r="2757" spans="1:5" x14ac:dyDescent="0.25">
      <c r="A2757" s="41">
        <v>9466</v>
      </c>
      <c r="B2757" s="42" t="s">
        <v>3130</v>
      </c>
      <c r="C2757" s="43" t="s">
        <v>289</v>
      </c>
      <c r="D2757" s="43" t="s">
        <v>327</v>
      </c>
      <c r="E2757" s="43" t="s">
        <v>230</v>
      </c>
    </row>
    <row r="2758" spans="1:5" x14ac:dyDescent="0.25">
      <c r="A2758" s="41">
        <v>9470</v>
      </c>
      <c r="B2758" s="42" t="s">
        <v>3131</v>
      </c>
      <c r="C2758" s="43" t="s">
        <v>289</v>
      </c>
      <c r="D2758" s="43" t="s">
        <v>941</v>
      </c>
      <c r="E2758" s="43" t="s">
        <v>230</v>
      </c>
    </row>
    <row r="2759" spans="1:5" x14ac:dyDescent="0.25">
      <c r="A2759" s="41">
        <v>9472</v>
      </c>
      <c r="B2759" s="42" t="s">
        <v>3132</v>
      </c>
      <c r="C2759" s="43" t="s">
        <v>289</v>
      </c>
      <c r="D2759" s="43" t="s">
        <v>327</v>
      </c>
      <c r="E2759" s="43" t="s">
        <v>230</v>
      </c>
    </row>
    <row r="2760" spans="1:5" x14ac:dyDescent="0.25">
      <c r="A2760" s="41">
        <v>9473</v>
      </c>
      <c r="B2760" s="42" t="s">
        <v>3133</v>
      </c>
      <c r="C2760" s="43" t="s">
        <v>289</v>
      </c>
      <c r="D2760" s="43" t="s">
        <v>327</v>
      </c>
      <c r="E2760" s="43" t="s">
        <v>1244</v>
      </c>
    </row>
    <row r="2761" spans="1:5" x14ac:dyDescent="0.25">
      <c r="A2761" s="41">
        <v>9474</v>
      </c>
      <c r="B2761" s="42" t="s">
        <v>3134</v>
      </c>
      <c r="C2761" s="43" t="s">
        <v>289</v>
      </c>
      <c r="D2761" s="43" t="s">
        <v>327</v>
      </c>
      <c r="E2761" s="43" t="s">
        <v>1514</v>
      </c>
    </row>
    <row r="2762" spans="1:5" x14ac:dyDescent="0.25">
      <c r="A2762" s="41">
        <v>9476</v>
      </c>
      <c r="B2762" s="42" t="s">
        <v>3135</v>
      </c>
      <c r="C2762" s="43" t="s">
        <v>289</v>
      </c>
      <c r="D2762" s="43" t="s">
        <v>327</v>
      </c>
      <c r="E2762" s="43" t="s">
        <v>230</v>
      </c>
    </row>
    <row r="2763" spans="1:5" x14ac:dyDescent="0.25">
      <c r="A2763" s="41">
        <v>9478</v>
      </c>
      <c r="B2763" s="42" t="s">
        <v>3136</v>
      </c>
      <c r="C2763" s="43" t="s">
        <v>289</v>
      </c>
      <c r="D2763" s="43" t="s">
        <v>327</v>
      </c>
      <c r="E2763" s="43" t="s">
        <v>230</v>
      </c>
    </row>
    <row r="2764" spans="1:5" x14ac:dyDescent="0.25">
      <c r="A2764" s="41">
        <v>9484</v>
      </c>
      <c r="B2764" s="42" t="s">
        <v>3137</v>
      </c>
      <c r="C2764" s="43" t="s">
        <v>289</v>
      </c>
      <c r="D2764" s="43" t="s">
        <v>327</v>
      </c>
      <c r="E2764" s="43" t="s">
        <v>230</v>
      </c>
    </row>
    <row r="2765" spans="1:5" x14ac:dyDescent="0.25">
      <c r="A2765" s="41">
        <v>9485</v>
      </c>
      <c r="B2765" s="42" t="s">
        <v>3138</v>
      </c>
      <c r="C2765" s="43" t="s">
        <v>289</v>
      </c>
      <c r="D2765" s="43" t="s">
        <v>996</v>
      </c>
      <c r="E2765" s="43" t="s">
        <v>230</v>
      </c>
    </row>
    <row r="2766" spans="1:5" x14ac:dyDescent="0.25">
      <c r="A2766" s="41">
        <v>9486</v>
      </c>
      <c r="B2766" s="42" t="s">
        <v>3139</v>
      </c>
      <c r="C2766" s="43" t="s">
        <v>289</v>
      </c>
      <c r="D2766" s="43" t="s">
        <v>996</v>
      </c>
      <c r="E2766" s="43" t="s">
        <v>230</v>
      </c>
    </row>
    <row r="2767" spans="1:5" x14ac:dyDescent="0.25">
      <c r="A2767" s="41">
        <v>9488</v>
      </c>
      <c r="B2767" s="42" t="s">
        <v>3140</v>
      </c>
      <c r="C2767" s="43" t="s">
        <v>289</v>
      </c>
      <c r="D2767" s="43" t="s">
        <v>996</v>
      </c>
      <c r="E2767" s="43" t="s">
        <v>230</v>
      </c>
    </row>
    <row r="2768" spans="1:5" x14ac:dyDescent="0.25">
      <c r="A2768" s="41">
        <v>9489</v>
      </c>
      <c r="B2768" s="42" t="s">
        <v>3141</v>
      </c>
      <c r="C2768" s="43" t="s">
        <v>289</v>
      </c>
      <c r="D2768" s="43" t="s">
        <v>996</v>
      </c>
      <c r="E2768" s="43" t="s">
        <v>230</v>
      </c>
    </row>
    <row r="2769" spans="1:5" x14ac:dyDescent="0.25">
      <c r="A2769" s="41">
        <v>9490</v>
      </c>
      <c r="B2769" s="42" t="s">
        <v>3142</v>
      </c>
      <c r="C2769" s="43" t="s">
        <v>289</v>
      </c>
      <c r="D2769" s="43" t="s">
        <v>996</v>
      </c>
      <c r="E2769" s="43" t="s">
        <v>230</v>
      </c>
    </row>
    <row r="2770" spans="1:5" x14ac:dyDescent="0.25">
      <c r="A2770" s="41">
        <v>9493</v>
      </c>
      <c r="B2770" s="42" t="s">
        <v>3143</v>
      </c>
      <c r="C2770" s="43" t="s">
        <v>289</v>
      </c>
      <c r="D2770" s="43" t="s">
        <v>1227</v>
      </c>
      <c r="E2770" s="43" t="s">
        <v>230</v>
      </c>
    </row>
    <row r="2771" spans="1:5" x14ac:dyDescent="0.25">
      <c r="A2771" s="41">
        <v>9494</v>
      </c>
      <c r="B2771" s="42" t="s">
        <v>3144</v>
      </c>
      <c r="C2771" s="43" t="s">
        <v>289</v>
      </c>
      <c r="D2771" s="43" t="s">
        <v>996</v>
      </c>
      <c r="E2771" s="43" t="s">
        <v>230</v>
      </c>
    </row>
    <row r="2772" spans="1:5" x14ac:dyDescent="0.25">
      <c r="A2772" s="41">
        <v>9495</v>
      </c>
      <c r="B2772" s="42" t="s">
        <v>3145</v>
      </c>
      <c r="C2772" s="43" t="s">
        <v>289</v>
      </c>
      <c r="D2772" s="43" t="s">
        <v>316</v>
      </c>
      <c r="E2772" s="43" t="s">
        <v>230</v>
      </c>
    </row>
    <row r="2773" spans="1:5" x14ac:dyDescent="0.25">
      <c r="A2773" s="41">
        <v>9496</v>
      </c>
      <c r="B2773" s="42" t="s">
        <v>3146</v>
      </c>
      <c r="C2773" s="43" t="s">
        <v>289</v>
      </c>
      <c r="D2773" s="43" t="s">
        <v>316</v>
      </c>
      <c r="E2773" s="43" t="s">
        <v>230</v>
      </c>
    </row>
    <row r="2774" spans="1:5" x14ac:dyDescent="0.25">
      <c r="A2774" s="41">
        <v>9497</v>
      </c>
      <c r="B2774" s="42" t="s">
        <v>3147</v>
      </c>
      <c r="C2774" s="43" t="s">
        <v>289</v>
      </c>
      <c r="D2774" s="43" t="s">
        <v>316</v>
      </c>
      <c r="E2774" s="43" t="s">
        <v>230</v>
      </c>
    </row>
    <row r="2775" spans="1:5" x14ac:dyDescent="0.25">
      <c r="A2775" s="41">
        <v>9498</v>
      </c>
      <c r="B2775" s="42" t="s">
        <v>3148</v>
      </c>
      <c r="C2775" s="43" t="s">
        <v>289</v>
      </c>
      <c r="D2775" s="43" t="s">
        <v>316</v>
      </c>
      <c r="E2775" s="43" t="s">
        <v>230</v>
      </c>
    </row>
    <row r="2776" spans="1:5" x14ac:dyDescent="0.25">
      <c r="A2776" s="41">
        <v>9499</v>
      </c>
      <c r="B2776" s="42" t="s">
        <v>3149</v>
      </c>
      <c r="C2776" s="43" t="s">
        <v>289</v>
      </c>
      <c r="D2776" s="43" t="s">
        <v>316</v>
      </c>
      <c r="E2776" s="43" t="s">
        <v>230</v>
      </c>
    </row>
    <row r="2777" spans="1:5" x14ac:dyDescent="0.25">
      <c r="A2777" s="41">
        <v>9500</v>
      </c>
      <c r="B2777" s="42" t="s">
        <v>3150</v>
      </c>
      <c r="C2777" s="43" t="s">
        <v>289</v>
      </c>
      <c r="D2777" s="43" t="s">
        <v>316</v>
      </c>
      <c r="E2777" s="43" t="s">
        <v>230</v>
      </c>
    </row>
    <row r="2778" spans="1:5" x14ac:dyDescent="0.25">
      <c r="A2778" s="41">
        <v>9501</v>
      </c>
      <c r="B2778" s="42" t="s">
        <v>3151</v>
      </c>
      <c r="C2778" s="43" t="s">
        <v>289</v>
      </c>
      <c r="D2778" s="43" t="s">
        <v>316</v>
      </c>
      <c r="E2778" s="43" t="s">
        <v>230</v>
      </c>
    </row>
    <row r="2779" spans="1:5" x14ac:dyDescent="0.25">
      <c r="A2779" s="41">
        <v>9502</v>
      </c>
      <c r="B2779" s="42" t="s">
        <v>3152</v>
      </c>
      <c r="C2779" s="43" t="s">
        <v>289</v>
      </c>
      <c r="D2779" s="43" t="s">
        <v>316</v>
      </c>
      <c r="E2779" s="43" t="s">
        <v>230</v>
      </c>
    </row>
    <row r="2780" spans="1:5" x14ac:dyDescent="0.25">
      <c r="A2780" s="41">
        <v>9503</v>
      </c>
      <c r="B2780" s="42" t="s">
        <v>3153</v>
      </c>
      <c r="C2780" s="43" t="s">
        <v>289</v>
      </c>
      <c r="D2780" s="43" t="s">
        <v>316</v>
      </c>
      <c r="E2780" s="43" t="s">
        <v>230</v>
      </c>
    </row>
    <row r="2781" spans="1:5" x14ac:dyDescent="0.25">
      <c r="A2781" s="41">
        <v>9504</v>
      </c>
      <c r="B2781" s="42" t="s">
        <v>3154</v>
      </c>
      <c r="C2781" s="43" t="s">
        <v>289</v>
      </c>
      <c r="D2781" s="43" t="s">
        <v>316</v>
      </c>
      <c r="E2781" s="43" t="s">
        <v>230</v>
      </c>
    </row>
    <row r="2782" spans="1:5" x14ac:dyDescent="0.25">
      <c r="A2782" s="41">
        <v>9505</v>
      </c>
      <c r="B2782" s="42" t="s">
        <v>3155</v>
      </c>
      <c r="C2782" s="43" t="s">
        <v>289</v>
      </c>
      <c r="D2782" s="43" t="s">
        <v>316</v>
      </c>
      <c r="E2782" s="43" t="s">
        <v>230</v>
      </c>
    </row>
    <row r="2783" spans="1:5" x14ac:dyDescent="0.25">
      <c r="A2783" s="41">
        <v>9506</v>
      </c>
      <c r="B2783" s="42" t="s">
        <v>3156</v>
      </c>
      <c r="C2783" s="43" t="s">
        <v>289</v>
      </c>
      <c r="D2783" s="43" t="s">
        <v>316</v>
      </c>
      <c r="E2783" s="43" t="s">
        <v>230</v>
      </c>
    </row>
    <row r="2784" spans="1:5" x14ac:dyDescent="0.25">
      <c r="A2784" s="41">
        <v>9507</v>
      </c>
      <c r="B2784" s="42" t="s">
        <v>3157</v>
      </c>
      <c r="C2784" s="43" t="s">
        <v>289</v>
      </c>
      <c r="D2784" s="43" t="s">
        <v>316</v>
      </c>
      <c r="E2784" s="43" t="s">
        <v>230</v>
      </c>
    </row>
    <row r="2785" spans="1:5" x14ac:dyDescent="0.25">
      <c r="A2785" s="41">
        <v>9512</v>
      </c>
      <c r="B2785" s="42" t="s">
        <v>3158</v>
      </c>
      <c r="C2785" s="43" t="s">
        <v>289</v>
      </c>
      <c r="D2785" s="43" t="s">
        <v>316</v>
      </c>
      <c r="E2785" s="43" t="s">
        <v>230</v>
      </c>
    </row>
    <row r="2786" spans="1:5" x14ac:dyDescent="0.25">
      <c r="A2786" s="41">
        <v>9513</v>
      </c>
      <c r="B2786" s="42" t="s">
        <v>3159</v>
      </c>
      <c r="C2786" s="43" t="s">
        <v>289</v>
      </c>
      <c r="D2786" s="43" t="s">
        <v>316</v>
      </c>
      <c r="E2786" s="43" t="s">
        <v>230</v>
      </c>
    </row>
    <row r="2787" spans="1:5" x14ac:dyDescent="0.25">
      <c r="A2787" s="41">
        <v>9514</v>
      </c>
      <c r="B2787" s="42" t="s">
        <v>3160</v>
      </c>
      <c r="C2787" s="43" t="s">
        <v>289</v>
      </c>
      <c r="D2787" s="43" t="s">
        <v>316</v>
      </c>
      <c r="E2787" s="43" t="s">
        <v>230</v>
      </c>
    </row>
    <row r="2788" spans="1:5" x14ac:dyDescent="0.25">
      <c r="A2788" s="41">
        <v>9516</v>
      </c>
      <c r="B2788" s="42" t="s">
        <v>3161</v>
      </c>
      <c r="C2788" s="43" t="s">
        <v>289</v>
      </c>
      <c r="D2788" s="43" t="s">
        <v>316</v>
      </c>
      <c r="E2788" s="43" t="s">
        <v>230</v>
      </c>
    </row>
    <row r="2789" spans="1:5" x14ac:dyDescent="0.25">
      <c r="A2789" s="41">
        <v>9517</v>
      </c>
      <c r="B2789" s="42" t="s">
        <v>3162</v>
      </c>
      <c r="C2789" s="43" t="s">
        <v>289</v>
      </c>
      <c r="D2789" s="43" t="s">
        <v>327</v>
      </c>
      <c r="E2789" s="43" t="s">
        <v>336</v>
      </c>
    </row>
    <row r="2790" spans="1:5" x14ac:dyDescent="0.25">
      <c r="A2790" s="41">
        <v>9519</v>
      </c>
      <c r="B2790" s="42" t="s">
        <v>3163</v>
      </c>
      <c r="C2790" s="43" t="s">
        <v>289</v>
      </c>
      <c r="D2790" s="43" t="s">
        <v>327</v>
      </c>
      <c r="E2790" s="43" t="s">
        <v>230</v>
      </c>
    </row>
    <row r="2791" spans="1:5" x14ac:dyDescent="0.25">
      <c r="A2791" s="41">
        <v>9520</v>
      </c>
      <c r="B2791" s="42" t="s">
        <v>3164</v>
      </c>
      <c r="C2791" s="43" t="s">
        <v>289</v>
      </c>
      <c r="D2791" s="43" t="s">
        <v>327</v>
      </c>
      <c r="E2791" s="43" t="s">
        <v>230</v>
      </c>
    </row>
    <row r="2792" spans="1:5" x14ac:dyDescent="0.25">
      <c r="A2792" s="41">
        <v>9534</v>
      </c>
      <c r="B2792" s="42" t="s">
        <v>3165</v>
      </c>
      <c r="C2792" s="43" t="s">
        <v>289</v>
      </c>
      <c r="D2792" s="43" t="s">
        <v>327</v>
      </c>
      <c r="E2792" s="43" t="s">
        <v>230</v>
      </c>
    </row>
    <row r="2793" spans="1:5" x14ac:dyDescent="0.25">
      <c r="A2793" s="41">
        <v>9546</v>
      </c>
      <c r="B2793" s="42" t="s">
        <v>3166</v>
      </c>
      <c r="C2793" s="43" t="s">
        <v>289</v>
      </c>
      <c r="D2793" s="43" t="s">
        <v>474</v>
      </c>
      <c r="E2793" s="43" t="s">
        <v>454</v>
      </c>
    </row>
    <row r="2794" spans="1:5" x14ac:dyDescent="0.25">
      <c r="A2794" s="41">
        <v>9550</v>
      </c>
      <c r="B2794" s="42" t="s">
        <v>3167</v>
      </c>
      <c r="C2794" s="43" t="s">
        <v>289</v>
      </c>
      <c r="D2794" s="43" t="s">
        <v>327</v>
      </c>
      <c r="E2794" s="43" t="s">
        <v>230</v>
      </c>
    </row>
    <row r="2795" spans="1:5" x14ac:dyDescent="0.25">
      <c r="A2795" s="41">
        <v>9552</v>
      </c>
      <c r="B2795" s="42" t="s">
        <v>3168</v>
      </c>
      <c r="C2795" s="43" t="s">
        <v>289</v>
      </c>
      <c r="D2795" s="43" t="s">
        <v>1100</v>
      </c>
      <c r="E2795" s="43" t="s">
        <v>230</v>
      </c>
    </row>
    <row r="2796" spans="1:5" x14ac:dyDescent="0.25">
      <c r="A2796" s="41">
        <v>9554</v>
      </c>
      <c r="B2796" s="42" t="s">
        <v>3169</v>
      </c>
      <c r="C2796" s="43" t="s">
        <v>289</v>
      </c>
      <c r="D2796" s="43" t="s">
        <v>438</v>
      </c>
      <c r="E2796" s="43" t="s">
        <v>230</v>
      </c>
    </row>
    <row r="2797" spans="1:5" x14ac:dyDescent="0.25">
      <c r="A2797" s="41">
        <v>9555</v>
      </c>
      <c r="B2797" s="42" t="s">
        <v>3170</v>
      </c>
      <c r="C2797" s="43" t="s">
        <v>289</v>
      </c>
      <c r="D2797" s="43" t="s">
        <v>433</v>
      </c>
      <c r="E2797" s="43" t="s">
        <v>230</v>
      </c>
    </row>
    <row r="2798" spans="1:5" x14ac:dyDescent="0.25">
      <c r="A2798" s="41">
        <v>9564</v>
      </c>
      <c r="B2798" s="42" t="s">
        <v>3171</v>
      </c>
      <c r="C2798" s="43" t="s">
        <v>289</v>
      </c>
      <c r="D2798" s="43" t="s">
        <v>1100</v>
      </c>
      <c r="E2798" s="43" t="s">
        <v>230</v>
      </c>
    </row>
    <row r="2799" spans="1:5" x14ac:dyDescent="0.25">
      <c r="A2799" s="41">
        <v>9565</v>
      </c>
      <c r="B2799" s="42" t="s">
        <v>3172</v>
      </c>
      <c r="C2799" s="43" t="s">
        <v>289</v>
      </c>
      <c r="D2799" s="43" t="s">
        <v>1100</v>
      </c>
      <c r="E2799" s="43" t="s">
        <v>230</v>
      </c>
    </row>
    <row r="2800" spans="1:5" x14ac:dyDescent="0.25">
      <c r="A2800" s="41">
        <v>9566</v>
      </c>
      <c r="B2800" s="42" t="s">
        <v>3173</v>
      </c>
      <c r="C2800" s="43" t="s">
        <v>289</v>
      </c>
      <c r="D2800" s="43" t="s">
        <v>333</v>
      </c>
      <c r="E2800" s="43" t="s">
        <v>531</v>
      </c>
    </row>
    <row r="2801" spans="1:5" x14ac:dyDescent="0.25">
      <c r="A2801" s="41">
        <v>9572</v>
      </c>
      <c r="B2801" s="42" t="s">
        <v>3174</v>
      </c>
      <c r="C2801" s="43" t="s">
        <v>289</v>
      </c>
      <c r="D2801" s="43" t="s">
        <v>327</v>
      </c>
      <c r="E2801" s="43" t="s">
        <v>170</v>
      </c>
    </row>
    <row r="2802" spans="1:5" x14ac:dyDescent="0.25">
      <c r="A2802" s="41">
        <v>9576</v>
      </c>
      <c r="B2802" s="42" t="s">
        <v>3175</v>
      </c>
      <c r="C2802" s="43" t="s">
        <v>289</v>
      </c>
      <c r="D2802" s="43" t="s">
        <v>375</v>
      </c>
      <c r="E2802" s="43" t="s">
        <v>230</v>
      </c>
    </row>
    <row r="2803" spans="1:5" x14ac:dyDescent="0.25">
      <c r="A2803" s="41">
        <v>9591</v>
      </c>
      <c r="B2803" s="42" t="s">
        <v>3176</v>
      </c>
      <c r="C2803" s="43" t="s">
        <v>289</v>
      </c>
      <c r="D2803" s="43" t="s">
        <v>290</v>
      </c>
      <c r="E2803" s="43" t="s">
        <v>230</v>
      </c>
    </row>
    <row r="2804" spans="1:5" x14ac:dyDescent="0.25">
      <c r="A2804" s="41">
        <v>9592</v>
      </c>
      <c r="B2804" s="42" t="s">
        <v>3177</v>
      </c>
      <c r="C2804" s="43" t="s">
        <v>289</v>
      </c>
      <c r="D2804" s="43" t="s">
        <v>694</v>
      </c>
      <c r="E2804" s="43" t="s">
        <v>230</v>
      </c>
    </row>
    <row r="2805" spans="1:5" x14ac:dyDescent="0.25">
      <c r="A2805" s="41">
        <v>9593</v>
      </c>
      <c r="B2805" s="42" t="s">
        <v>3178</v>
      </c>
      <c r="C2805" s="43" t="s">
        <v>289</v>
      </c>
      <c r="D2805" s="43" t="s">
        <v>795</v>
      </c>
      <c r="E2805" s="43" t="s">
        <v>230</v>
      </c>
    </row>
    <row r="2806" spans="1:5" x14ac:dyDescent="0.25">
      <c r="A2806" s="41">
        <v>9601</v>
      </c>
      <c r="B2806" s="42" t="s">
        <v>3179</v>
      </c>
      <c r="C2806" s="43" t="s">
        <v>289</v>
      </c>
      <c r="D2806" s="43" t="s">
        <v>996</v>
      </c>
      <c r="E2806" s="43" t="s">
        <v>230</v>
      </c>
    </row>
    <row r="2807" spans="1:5" x14ac:dyDescent="0.25">
      <c r="A2807" s="41">
        <v>9602</v>
      </c>
      <c r="B2807" s="42" t="s">
        <v>3180</v>
      </c>
      <c r="C2807" s="43" t="s">
        <v>289</v>
      </c>
      <c r="D2807" s="43" t="s">
        <v>845</v>
      </c>
      <c r="E2807" s="43" t="s">
        <v>170</v>
      </c>
    </row>
    <row r="2808" spans="1:5" x14ac:dyDescent="0.25">
      <c r="A2808" s="41">
        <v>9603</v>
      </c>
      <c r="B2808" s="42" t="s">
        <v>3181</v>
      </c>
      <c r="C2808" s="43" t="s">
        <v>289</v>
      </c>
      <c r="D2808" s="43" t="s">
        <v>327</v>
      </c>
      <c r="E2808" s="43" t="s">
        <v>766</v>
      </c>
    </row>
    <row r="2809" spans="1:5" x14ac:dyDescent="0.25">
      <c r="A2809" s="41">
        <v>9605</v>
      </c>
      <c r="B2809" s="42" t="s">
        <v>3182</v>
      </c>
      <c r="C2809" s="43" t="s">
        <v>289</v>
      </c>
      <c r="D2809" s="43" t="s">
        <v>468</v>
      </c>
      <c r="E2809" s="43" t="s">
        <v>230</v>
      </c>
    </row>
    <row r="2810" spans="1:5" x14ac:dyDescent="0.25">
      <c r="A2810" s="41">
        <v>9610</v>
      </c>
      <c r="B2810" s="42" t="s">
        <v>3183</v>
      </c>
      <c r="C2810" s="43" t="s">
        <v>289</v>
      </c>
      <c r="D2810" s="43" t="s">
        <v>468</v>
      </c>
      <c r="E2810" s="43" t="s">
        <v>230</v>
      </c>
    </row>
    <row r="2811" spans="1:5" x14ac:dyDescent="0.25">
      <c r="A2811" s="41">
        <v>9619</v>
      </c>
      <c r="B2811" s="42" t="s">
        <v>3184</v>
      </c>
      <c r="C2811" s="43" t="s">
        <v>289</v>
      </c>
      <c r="D2811" s="43" t="s">
        <v>438</v>
      </c>
      <c r="E2811" s="43" t="s">
        <v>230</v>
      </c>
    </row>
    <row r="2812" spans="1:5" x14ac:dyDescent="0.25">
      <c r="A2812" s="41">
        <v>9633</v>
      </c>
      <c r="B2812" s="42" t="s">
        <v>3185</v>
      </c>
      <c r="C2812" s="43" t="s">
        <v>289</v>
      </c>
      <c r="D2812" s="43" t="s">
        <v>453</v>
      </c>
      <c r="E2812" s="43" t="s">
        <v>230</v>
      </c>
    </row>
    <row r="2813" spans="1:5" x14ac:dyDescent="0.25">
      <c r="A2813" s="41">
        <v>9635</v>
      </c>
      <c r="B2813" s="42" t="s">
        <v>3186</v>
      </c>
      <c r="C2813" s="43" t="s">
        <v>289</v>
      </c>
      <c r="D2813" s="43" t="s">
        <v>327</v>
      </c>
      <c r="E2813" s="43" t="s">
        <v>531</v>
      </c>
    </row>
    <row r="2814" spans="1:5" x14ac:dyDescent="0.25">
      <c r="A2814" s="41">
        <v>9647</v>
      </c>
      <c r="B2814" s="42" t="s">
        <v>3187</v>
      </c>
      <c r="C2814" s="43" t="s">
        <v>289</v>
      </c>
      <c r="D2814" s="43" t="s">
        <v>327</v>
      </c>
      <c r="E2814" s="43" t="s">
        <v>230</v>
      </c>
    </row>
    <row r="2815" spans="1:5" x14ac:dyDescent="0.25">
      <c r="A2815" s="41">
        <v>9648</v>
      </c>
      <c r="B2815" s="42" t="s">
        <v>3188</v>
      </c>
      <c r="C2815" s="43" t="s">
        <v>289</v>
      </c>
      <c r="D2815" s="43" t="s">
        <v>327</v>
      </c>
      <c r="E2815" s="43" t="s">
        <v>864</v>
      </c>
    </row>
    <row r="2816" spans="1:5" x14ac:dyDescent="0.25">
      <c r="A2816" s="41">
        <v>9649</v>
      </c>
      <c r="B2816" s="42" t="s">
        <v>3189</v>
      </c>
      <c r="C2816" s="43" t="s">
        <v>289</v>
      </c>
      <c r="D2816" s="43" t="s">
        <v>435</v>
      </c>
      <c r="E2816" s="43" t="s">
        <v>230</v>
      </c>
    </row>
    <row r="2817" spans="1:5" x14ac:dyDescent="0.25">
      <c r="A2817" s="41">
        <v>9652</v>
      </c>
      <c r="B2817" s="42" t="s">
        <v>3190</v>
      </c>
      <c r="C2817" s="43" t="s">
        <v>289</v>
      </c>
      <c r="D2817" s="43" t="s">
        <v>327</v>
      </c>
      <c r="E2817" s="43" t="s">
        <v>230</v>
      </c>
    </row>
    <row r="2818" spans="1:5" x14ac:dyDescent="0.25">
      <c r="A2818" s="41">
        <v>9658</v>
      </c>
      <c r="B2818" s="42" t="s">
        <v>3191</v>
      </c>
      <c r="C2818" s="43" t="s">
        <v>289</v>
      </c>
      <c r="D2818" s="43" t="s">
        <v>327</v>
      </c>
      <c r="E2818" s="43" t="s">
        <v>230</v>
      </c>
    </row>
    <row r="2819" spans="1:5" x14ac:dyDescent="0.25">
      <c r="A2819" s="41">
        <v>9659</v>
      </c>
      <c r="B2819" s="42" t="s">
        <v>3192</v>
      </c>
      <c r="C2819" s="43" t="s">
        <v>289</v>
      </c>
      <c r="D2819" s="43" t="s">
        <v>327</v>
      </c>
      <c r="E2819" s="43" t="s">
        <v>230</v>
      </c>
    </row>
    <row r="2820" spans="1:5" x14ac:dyDescent="0.25">
      <c r="A2820" s="41">
        <v>9661</v>
      </c>
      <c r="B2820" s="42" t="s">
        <v>3193</v>
      </c>
      <c r="C2820" s="43" t="s">
        <v>289</v>
      </c>
      <c r="D2820" s="43" t="s">
        <v>466</v>
      </c>
      <c r="E2820" s="43" t="s">
        <v>230</v>
      </c>
    </row>
    <row r="2821" spans="1:5" x14ac:dyDescent="0.25">
      <c r="A2821" s="41">
        <v>9662</v>
      </c>
      <c r="B2821" s="42" t="s">
        <v>3194</v>
      </c>
      <c r="C2821" s="43" t="s">
        <v>289</v>
      </c>
      <c r="D2821" s="43" t="s">
        <v>327</v>
      </c>
      <c r="E2821" s="43" t="s">
        <v>217</v>
      </c>
    </row>
    <row r="2822" spans="1:5" x14ac:dyDescent="0.25">
      <c r="A2822" s="41">
        <v>9664</v>
      </c>
      <c r="B2822" s="42" t="s">
        <v>3195</v>
      </c>
      <c r="C2822" s="43" t="s">
        <v>289</v>
      </c>
      <c r="D2822" s="43" t="s">
        <v>333</v>
      </c>
      <c r="E2822" s="43" t="s">
        <v>230</v>
      </c>
    </row>
    <row r="2823" spans="1:5" x14ac:dyDescent="0.25">
      <c r="A2823" s="41">
        <v>9669</v>
      </c>
      <c r="B2823" s="42" t="s">
        <v>3196</v>
      </c>
      <c r="C2823" s="43" t="s">
        <v>289</v>
      </c>
      <c r="D2823" s="43" t="s">
        <v>996</v>
      </c>
      <c r="E2823" s="43" t="s">
        <v>336</v>
      </c>
    </row>
    <row r="2824" spans="1:5" x14ac:dyDescent="0.25">
      <c r="A2824" s="41">
        <v>9677</v>
      </c>
      <c r="B2824" s="42" t="s">
        <v>3197</v>
      </c>
      <c r="C2824" s="43" t="s">
        <v>289</v>
      </c>
      <c r="D2824" s="43" t="s">
        <v>327</v>
      </c>
      <c r="E2824" s="43" t="s">
        <v>230</v>
      </c>
    </row>
    <row r="2825" spans="1:5" x14ac:dyDescent="0.25">
      <c r="A2825" s="41">
        <v>9678</v>
      </c>
      <c r="B2825" s="42" t="s">
        <v>3198</v>
      </c>
      <c r="C2825" s="43" t="s">
        <v>289</v>
      </c>
      <c r="D2825" s="43" t="s">
        <v>327</v>
      </c>
      <c r="E2825" s="43" t="s">
        <v>230</v>
      </c>
    </row>
    <row r="2826" spans="1:5" x14ac:dyDescent="0.25">
      <c r="A2826" s="41">
        <v>9680</v>
      </c>
      <c r="B2826" s="42" t="s">
        <v>3199</v>
      </c>
      <c r="C2826" s="43" t="s">
        <v>289</v>
      </c>
      <c r="D2826" s="43" t="s">
        <v>327</v>
      </c>
      <c r="E2826" s="43" t="s">
        <v>230</v>
      </c>
    </row>
    <row r="2827" spans="1:5" x14ac:dyDescent="0.25">
      <c r="A2827" s="41">
        <v>9685</v>
      </c>
      <c r="B2827" s="42" t="s">
        <v>3200</v>
      </c>
      <c r="C2827" s="43" t="s">
        <v>289</v>
      </c>
      <c r="D2827" s="43" t="s">
        <v>1141</v>
      </c>
      <c r="E2827" s="43" t="s">
        <v>230</v>
      </c>
    </row>
    <row r="2828" spans="1:5" x14ac:dyDescent="0.25">
      <c r="A2828" s="41">
        <v>9686</v>
      </c>
      <c r="B2828" s="42" t="s">
        <v>3201</v>
      </c>
      <c r="C2828" s="43" t="s">
        <v>289</v>
      </c>
      <c r="D2828" s="43" t="s">
        <v>327</v>
      </c>
      <c r="E2828" s="43" t="s">
        <v>230</v>
      </c>
    </row>
    <row r="2829" spans="1:5" x14ac:dyDescent="0.25">
      <c r="A2829" s="41">
        <v>9688</v>
      </c>
      <c r="B2829" s="42" t="s">
        <v>3202</v>
      </c>
      <c r="C2829" s="43" t="s">
        <v>289</v>
      </c>
      <c r="D2829" s="43" t="s">
        <v>333</v>
      </c>
      <c r="E2829" s="43" t="s">
        <v>230</v>
      </c>
    </row>
    <row r="2830" spans="1:5" x14ac:dyDescent="0.25">
      <c r="A2830" s="41">
        <v>9689</v>
      </c>
      <c r="B2830" s="42" t="s">
        <v>3203</v>
      </c>
      <c r="C2830" s="43" t="s">
        <v>289</v>
      </c>
      <c r="D2830" s="43" t="s">
        <v>996</v>
      </c>
      <c r="E2830" s="43" t="s">
        <v>170</v>
      </c>
    </row>
    <row r="2831" spans="1:5" x14ac:dyDescent="0.25">
      <c r="A2831" s="41">
        <v>9690</v>
      </c>
      <c r="B2831" s="42" t="s">
        <v>3204</v>
      </c>
      <c r="C2831" s="43" t="s">
        <v>289</v>
      </c>
      <c r="D2831" s="43" t="s">
        <v>996</v>
      </c>
      <c r="E2831" s="43" t="s">
        <v>170</v>
      </c>
    </row>
    <row r="2832" spans="1:5" x14ac:dyDescent="0.25">
      <c r="A2832" s="41">
        <v>9698</v>
      </c>
      <c r="B2832" s="42" t="s">
        <v>3205</v>
      </c>
      <c r="C2832" s="43" t="s">
        <v>289</v>
      </c>
      <c r="D2832" s="43" t="s">
        <v>996</v>
      </c>
      <c r="E2832" s="43" t="s">
        <v>230</v>
      </c>
    </row>
    <row r="2833" spans="1:5" x14ac:dyDescent="0.25">
      <c r="A2833" s="41">
        <v>9700</v>
      </c>
      <c r="B2833" s="42" t="s">
        <v>3206</v>
      </c>
      <c r="C2833" s="43" t="s">
        <v>289</v>
      </c>
      <c r="D2833" s="43" t="s">
        <v>327</v>
      </c>
      <c r="E2833" s="43" t="s">
        <v>230</v>
      </c>
    </row>
    <row r="2834" spans="1:5" x14ac:dyDescent="0.25">
      <c r="A2834" s="41">
        <v>9701</v>
      </c>
      <c r="B2834" s="42" t="s">
        <v>3207</v>
      </c>
      <c r="C2834" s="43" t="s">
        <v>289</v>
      </c>
      <c r="D2834" s="43" t="s">
        <v>694</v>
      </c>
      <c r="E2834" s="43" t="s">
        <v>464</v>
      </c>
    </row>
    <row r="2835" spans="1:5" x14ac:dyDescent="0.25">
      <c r="A2835" s="41">
        <v>9705</v>
      </c>
      <c r="B2835" s="42" t="s">
        <v>3208</v>
      </c>
      <c r="C2835" s="43" t="s">
        <v>289</v>
      </c>
      <c r="D2835" s="43" t="s">
        <v>327</v>
      </c>
      <c r="E2835" s="43" t="s">
        <v>230</v>
      </c>
    </row>
    <row r="2836" spans="1:5" x14ac:dyDescent="0.25">
      <c r="A2836" s="41">
        <v>9725</v>
      </c>
      <c r="B2836" s="42" t="s">
        <v>3209</v>
      </c>
      <c r="C2836" s="43" t="s">
        <v>289</v>
      </c>
      <c r="D2836" s="43" t="s">
        <v>410</v>
      </c>
      <c r="E2836" s="43" t="s">
        <v>230</v>
      </c>
    </row>
    <row r="2837" spans="1:5" x14ac:dyDescent="0.25">
      <c r="A2837" s="41">
        <v>9726</v>
      </c>
      <c r="B2837" s="42" t="s">
        <v>3210</v>
      </c>
      <c r="C2837" s="43" t="s">
        <v>289</v>
      </c>
      <c r="D2837" s="43" t="s">
        <v>410</v>
      </c>
      <c r="E2837" s="43" t="s">
        <v>230</v>
      </c>
    </row>
    <row r="2838" spans="1:5" x14ac:dyDescent="0.25">
      <c r="A2838" s="41">
        <v>9727</v>
      </c>
      <c r="B2838" s="42" t="s">
        <v>3211</v>
      </c>
      <c r="C2838" s="43" t="s">
        <v>289</v>
      </c>
      <c r="D2838" s="43" t="s">
        <v>410</v>
      </c>
      <c r="E2838" s="43" t="s">
        <v>230</v>
      </c>
    </row>
    <row r="2839" spans="1:5" x14ac:dyDescent="0.25">
      <c r="A2839" s="41">
        <v>9728</v>
      </c>
      <c r="B2839" s="42" t="s">
        <v>3212</v>
      </c>
      <c r="C2839" s="43" t="s">
        <v>289</v>
      </c>
      <c r="D2839" s="43" t="s">
        <v>410</v>
      </c>
      <c r="E2839" s="43" t="s">
        <v>230</v>
      </c>
    </row>
    <row r="2840" spans="1:5" x14ac:dyDescent="0.25">
      <c r="A2840" s="41">
        <v>9730</v>
      </c>
      <c r="B2840" s="42" t="s">
        <v>3213</v>
      </c>
      <c r="C2840" s="43" t="s">
        <v>289</v>
      </c>
      <c r="D2840" s="43" t="s">
        <v>333</v>
      </c>
      <c r="E2840" s="43" t="s">
        <v>230</v>
      </c>
    </row>
    <row r="2841" spans="1:5" x14ac:dyDescent="0.25">
      <c r="A2841" s="41">
        <v>9737</v>
      </c>
      <c r="B2841" s="42" t="s">
        <v>3214</v>
      </c>
      <c r="C2841" s="43" t="s">
        <v>289</v>
      </c>
      <c r="D2841" s="43" t="s">
        <v>327</v>
      </c>
      <c r="E2841" s="43" t="s">
        <v>336</v>
      </c>
    </row>
    <row r="2842" spans="1:5" x14ac:dyDescent="0.25">
      <c r="A2842" s="41">
        <v>9750</v>
      </c>
      <c r="B2842" s="42" t="s">
        <v>3215</v>
      </c>
      <c r="C2842" s="43" t="s">
        <v>289</v>
      </c>
      <c r="D2842" s="43" t="s">
        <v>1112</v>
      </c>
      <c r="E2842" s="43" t="s">
        <v>454</v>
      </c>
    </row>
    <row r="2843" spans="1:5" x14ac:dyDescent="0.25">
      <c r="A2843" s="41">
        <v>9752</v>
      </c>
      <c r="B2843" s="42" t="s">
        <v>3216</v>
      </c>
      <c r="C2843" s="43" t="s">
        <v>289</v>
      </c>
      <c r="D2843" s="43" t="s">
        <v>316</v>
      </c>
      <c r="E2843" s="43" t="s">
        <v>766</v>
      </c>
    </row>
    <row r="2844" spans="1:5" x14ac:dyDescent="0.25">
      <c r="A2844" s="41">
        <v>9770</v>
      </c>
      <c r="B2844" s="42" t="s">
        <v>3217</v>
      </c>
      <c r="C2844" s="43" t="s">
        <v>289</v>
      </c>
      <c r="D2844" s="43" t="s">
        <v>327</v>
      </c>
      <c r="E2844" s="43" t="s">
        <v>230</v>
      </c>
    </row>
    <row r="2845" spans="1:5" x14ac:dyDescent="0.25">
      <c r="A2845" s="41">
        <v>9777</v>
      </c>
      <c r="B2845" s="42" t="s">
        <v>3218</v>
      </c>
      <c r="C2845" s="43" t="s">
        <v>289</v>
      </c>
      <c r="D2845" s="43" t="s">
        <v>438</v>
      </c>
      <c r="E2845" s="43" t="s">
        <v>230</v>
      </c>
    </row>
    <row r="2846" spans="1:5" x14ac:dyDescent="0.25">
      <c r="A2846" s="41">
        <v>9779</v>
      </c>
      <c r="B2846" s="42" t="s">
        <v>3219</v>
      </c>
      <c r="C2846" s="43" t="s">
        <v>289</v>
      </c>
      <c r="D2846" s="43" t="s">
        <v>438</v>
      </c>
      <c r="E2846" s="43" t="s">
        <v>230</v>
      </c>
    </row>
    <row r="2847" spans="1:5" x14ac:dyDescent="0.25">
      <c r="A2847" s="41">
        <v>9788</v>
      </c>
      <c r="B2847" s="42" t="s">
        <v>3220</v>
      </c>
      <c r="C2847" s="43" t="s">
        <v>289</v>
      </c>
      <c r="D2847" s="43" t="s">
        <v>327</v>
      </c>
      <c r="E2847" s="43" t="s">
        <v>170</v>
      </c>
    </row>
    <row r="2848" spans="1:5" x14ac:dyDescent="0.25">
      <c r="A2848" s="41">
        <v>9795</v>
      </c>
      <c r="B2848" s="42" t="s">
        <v>3221</v>
      </c>
      <c r="C2848" s="43" t="s">
        <v>289</v>
      </c>
      <c r="D2848" s="43" t="s">
        <v>327</v>
      </c>
      <c r="E2848" s="43" t="s">
        <v>170</v>
      </c>
    </row>
    <row r="2849" spans="1:5" x14ac:dyDescent="0.25">
      <c r="A2849" s="41">
        <v>9796</v>
      </c>
      <c r="B2849" s="42" t="s">
        <v>3222</v>
      </c>
      <c r="C2849" s="43" t="s">
        <v>289</v>
      </c>
      <c r="D2849" s="43" t="s">
        <v>327</v>
      </c>
      <c r="E2849" s="43" t="s">
        <v>170</v>
      </c>
    </row>
    <row r="2850" spans="1:5" x14ac:dyDescent="0.25">
      <c r="A2850" s="41">
        <v>9798</v>
      </c>
      <c r="B2850" s="42" t="s">
        <v>3223</v>
      </c>
      <c r="C2850" s="43" t="s">
        <v>289</v>
      </c>
      <c r="D2850" s="43" t="s">
        <v>333</v>
      </c>
      <c r="E2850" s="43" t="s">
        <v>230</v>
      </c>
    </row>
    <row r="2851" spans="1:5" x14ac:dyDescent="0.25">
      <c r="A2851" s="41">
        <v>9802</v>
      </c>
      <c r="B2851" s="42" t="s">
        <v>3224</v>
      </c>
      <c r="C2851" s="43" t="s">
        <v>289</v>
      </c>
      <c r="D2851" s="43" t="s">
        <v>366</v>
      </c>
      <c r="E2851" s="43" t="s">
        <v>373</v>
      </c>
    </row>
    <row r="2852" spans="1:5" x14ac:dyDescent="0.25">
      <c r="A2852" s="41">
        <v>9803</v>
      </c>
      <c r="B2852" s="42" t="s">
        <v>3225</v>
      </c>
      <c r="C2852" s="43" t="s">
        <v>289</v>
      </c>
      <c r="D2852" s="43" t="s">
        <v>1041</v>
      </c>
      <c r="E2852" s="43" t="s">
        <v>336</v>
      </c>
    </row>
    <row r="2853" spans="1:5" x14ac:dyDescent="0.25">
      <c r="A2853" s="41">
        <v>9804</v>
      </c>
      <c r="B2853" s="42" t="s">
        <v>3226</v>
      </c>
      <c r="C2853" s="43" t="s">
        <v>289</v>
      </c>
      <c r="D2853" s="43" t="s">
        <v>1041</v>
      </c>
      <c r="E2853" s="43" t="s">
        <v>336</v>
      </c>
    </row>
    <row r="2854" spans="1:5" x14ac:dyDescent="0.25">
      <c r="A2854" s="41">
        <v>9806</v>
      </c>
      <c r="B2854" s="42" t="s">
        <v>3227</v>
      </c>
      <c r="C2854" s="43" t="s">
        <v>289</v>
      </c>
      <c r="D2854" s="43" t="s">
        <v>1041</v>
      </c>
      <c r="E2854" s="43" t="s">
        <v>336</v>
      </c>
    </row>
    <row r="2855" spans="1:5" x14ac:dyDescent="0.25">
      <c r="A2855" s="41">
        <v>9811</v>
      </c>
      <c r="B2855" s="42" t="s">
        <v>3228</v>
      </c>
      <c r="C2855" s="43" t="s">
        <v>289</v>
      </c>
      <c r="D2855" s="43" t="s">
        <v>482</v>
      </c>
      <c r="E2855" s="43" t="s">
        <v>230</v>
      </c>
    </row>
    <row r="2856" spans="1:5" x14ac:dyDescent="0.25">
      <c r="A2856" s="41">
        <v>9812</v>
      </c>
      <c r="B2856" s="42" t="s">
        <v>3229</v>
      </c>
      <c r="C2856" s="43" t="s">
        <v>289</v>
      </c>
      <c r="D2856" s="43" t="s">
        <v>316</v>
      </c>
      <c r="E2856" s="43" t="s">
        <v>404</v>
      </c>
    </row>
    <row r="2857" spans="1:5" x14ac:dyDescent="0.25">
      <c r="A2857" s="41">
        <v>9820</v>
      </c>
      <c r="B2857" s="42" t="s">
        <v>3230</v>
      </c>
      <c r="C2857" s="43" t="s">
        <v>289</v>
      </c>
      <c r="D2857" s="43" t="s">
        <v>327</v>
      </c>
      <c r="E2857" s="43" t="s">
        <v>230</v>
      </c>
    </row>
    <row r="2858" spans="1:5" x14ac:dyDescent="0.25">
      <c r="A2858" s="41">
        <v>9823</v>
      </c>
      <c r="B2858" s="42" t="s">
        <v>3231</v>
      </c>
      <c r="C2858" s="43" t="s">
        <v>289</v>
      </c>
      <c r="D2858" s="43" t="s">
        <v>333</v>
      </c>
      <c r="E2858" s="43" t="s">
        <v>230</v>
      </c>
    </row>
    <row r="2859" spans="1:5" x14ac:dyDescent="0.25">
      <c r="A2859" s="41">
        <v>9834</v>
      </c>
      <c r="B2859" s="42" t="s">
        <v>3232</v>
      </c>
      <c r="C2859" s="43" t="s">
        <v>289</v>
      </c>
      <c r="D2859" s="43" t="s">
        <v>333</v>
      </c>
      <c r="E2859" s="43" t="s">
        <v>230</v>
      </c>
    </row>
    <row r="2860" spans="1:5" x14ac:dyDescent="0.25">
      <c r="A2860" s="41">
        <v>9839</v>
      </c>
      <c r="B2860" s="42" t="s">
        <v>3233</v>
      </c>
      <c r="C2860" s="43" t="s">
        <v>289</v>
      </c>
      <c r="D2860" s="43" t="s">
        <v>2334</v>
      </c>
      <c r="E2860" s="43" t="s">
        <v>230</v>
      </c>
    </row>
    <row r="2861" spans="1:5" x14ac:dyDescent="0.25">
      <c r="A2861" s="41">
        <v>9858</v>
      </c>
      <c r="B2861" s="42" t="s">
        <v>3234</v>
      </c>
      <c r="C2861" s="43" t="s">
        <v>289</v>
      </c>
      <c r="D2861" s="43" t="s">
        <v>314</v>
      </c>
      <c r="E2861" s="43" t="s">
        <v>464</v>
      </c>
    </row>
    <row r="2862" spans="1:5" x14ac:dyDescent="0.25">
      <c r="A2862" s="41">
        <v>9861</v>
      </c>
      <c r="B2862" s="42" t="s">
        <v>3235</v>
      </c>
      <c r="C2862" s="43" t="s">
        <v>289</v>
      </c>
      <c r="D2862" s="43" t="s">
        <v>333</v>
      </c>
      <c r="E2862" s="43" t="s">
        <v>373</v>
      </c>
    </row>
    <row r="2863" spans="1:5" x14ac:dyDescent="0.25">
      <c r="A2863" s="41">
        <v>9862</v>
      </c>
      <c r="B2863" s="42" t="s">
        <v>3236</v>
      </c>
      <c r="C2863" s="43" t="s">
        <v>289</v>
      </c>
      <c r="D2863" s="43" t="s">
        <v>333</v>
      </c>
      <c r="E2863" s="43" t="s">
        <v>170</v>
      </c>
    </row>
    <row r="2864" spans="1:5" x14ac:dyDescent="0.25">
      <c r="A2864" s="41">
        <v>9865</v>
      </c>
      <c r="B2864" s="42" t="s">
        <v>3237</v>
      </c>
      <c r="C2864" s="43" t="s">
        <v>289</v>
      </c>
      <c r="D2864" s="43" t="s">
        <v>474</v>
      </c>
      <c r="E2864" s="43" t="s">
        <v>464</v>
      </c>
    </row>
    <row r="2865" spans="1:5" x14ac:dyDescent="0.25">
      <c r="A2865" s="41">
        <v>9876</v>
      </c>
      <c r="B2865" s="42" t="s">
        <v>3238</v>
      </c>
      <c r="C2865" s="43" t="s">
        <v>289</v>
      </c>
      <c r="D2865" s="43" t="s">
        <v>468</v>
      </c>
      <c r="E2865" s="43" t="s">
        <v>230</v>
      </c>
    </row>
    <row r="2866" spans="1:5" x14ac:dyDescent="0.25">
      <c r="A2866" s="41">
        <v>9879</v>
      </c>
      <c r="B2866" s="42" t="s">
        <v>3239</v>
      </c>
      <c r="C2866" s="43" t="s">
        <v>289</v>
      </c>
      <c r="D2866" s="43" t="s">
        <v>468</v>
      </c>
      <c r="E2866" s="43" t="s">
        <v>230</v>
      </c>
    </row>
    <row r="2867" spans="1:5" x14ac:dyDescent="0.25">
      <c r="A2867" s="41">
        <v>9882</v>
      </c>
      <c r="B2867" s="42" t="s">
        <v>3240</v>
      </c>
      <c r="C2867" s="43" t="s">
        <v>289</v>
      </c>
      <c r="D2867" s="43" t="s">
        <v>1088</v>
      </c>
      <c r="E2867" s="43" t="s">
        <v>217</v>
      </c>
    </row>
    <row r="2868" spans="1:5" x14ac:dyDescent="0.25">
      <c r="A2868" s="41">
        <v>9883</v>
      </c>
      <c r="B2868" s="42" t="s">
        <v>3241</v>
      </c>
      <c r="C2868" s="43" t="s">
        <v>289</v>
      </c>
      <c r="D2868" s="43" t="s">
        <v>316</v>
      </c>
      <c r="E2868" s="43" t="s">
        <v>230</v>
      </c>
    </row>
    <row r="2869" spans="1:5" x14ac:dyDescent="0.25">
      <c r="A2869" s="41">
        <v>9887</v>
      </c>
      <c r="B2869" s="42" t="s">
        <v>3242</v>
      </c>
      <c r="C2869" s="43" t="s">
        <v>289</v>
      </c>
      <c r="D2869" s="43" t="s">
        <v>290</v>
      </c>
      <c r="E2869" s="43" t="s">
        <v>464</v>
      </c>
    </row>
    <row r="2870" spans="1:5" x14ac:dyDescent="0.25">
      <c r="A2870" s="41">
        <v>9900</v>
      </c>
      <c r="B2870" s="42" t="s">
        <v>3243</v>
      </c>
      <c r="C2870" s="43" t="s">
        <v>289</v>
      </c>
      <c r="D2870" s="43" t="s">
        <v>327</v>
      </c>
      <c r="E2870" s="43" t="s">
        <v>336</v>
      </c>
    </row>
    <row r="2871" spans="1:5" x14ac:dyDescent="0.25">
      <c r="A2871" s="41">
        <v>9905</v>
      </c>
      <c r="B2871" s="42" t="s">
        <v>3244</v>
      </c>
      <c r="C2871" s="43" t="s">
        <v>289</v>
      </c>
      <c r="D2871" s="43" t="s">
        <v>327</v>
      </c>
      <c r="E2871" s="43" t="s">
        <v>170</v>
      </c>
    </row>
    <row r="2872" spans="1:5" x14ac:dyDescent="0.25">
      <c r="A2872" s="41">
        <v>9909</v>
      </c>
      <c r="B2872" s="42" t="s">
        <v>3245</v>
      </c>
      <c r="C2872" s="43" t="s">
        <v>289</v>
      </c>
      <c r="D2872" s="43" t="s">
        <v>433</v>
      </c>
      <c r="E2872" s="43" t="s">
        <v>354</v>
      </c>
    </row>
    <row r="2873" spans="1:5" x14ac:dyDescent="0.25">
      <c r="A2873" s="41">
        <v>9920</v>
      </c>
      <c r="B2873" s="42" t="s">
        <v>3246</v>
      </c>
      <c r="C2873" s="43" t="s">
        <v>289</v>
      </c>
      <c r="D2873" s="43" t="s">
        <v>316</v>
      </c>
      <c r="E2873" s="43" t="s">
        <v>230</v>
      </c>
    </row>
    <row r="2874" spans="1:5" x14ac:dyDescent="0.25">
      <c r="A2874" s="41">
        <v>9921</v>
      </c>
      <c r="B2874" s="42" t="s">
        <v>3247</v>
      </c>
      <c r="C2874" s="43" t="s">
        <v>289</v>
      </c>
      <c r="D2874" s="43" t="s">
        <v>482</v>
      </c>
      <c r="E2874" s="43" t="s">
        <v>170</v>
      </c>
    </row>
    <row r="2875" spans="1:5" x14ac:dyDescent="0.25">
      <c r="A2875" s="41">
        <v>9922</v>
      </c>
      <c r="B2875" s="42" t="s">
        <v>3248</v>
      </c>
      <c r="C2875" s="43" t="s">
        <v>289</v>
      </c>
      <c r="D2875" s="43" t="s">
        <v>996</v>
      </c>
      <c r="E2875" s="43" t="s">
        <v>354</v>
      </c>
    </row>
    <row r="2876" spans="1:5" x14ac:dyDescent="0.25">
      <c r="A2876" s="41">
        <v>9932</v>
      </c>
      <c r="B2876" s="42" t="s">
        <v>3249</v>
      </c>
      <c r="C2876" s="43" t="s">
        <v>289</v>
      </c>
      <c r="D2876" s="43" t="s">
        <v>2647</v>
      </c>
      <c r="E2876" s="43" t="s">
        <v>464</v>
      </c>
    </row>
    <row r="2877" spans="1:5" x14ac:dyDescent="0.25">
      <c r="A2877" s="41">
        <v>9949</v>
      </c>
      <c r="B2877" s="42" t="s">
        <v>3250</v>
      </c>
      <c r="C2877" s="43" t="s">
        <v>289</v>
      </c>
      <c r="D2877" s="43" t="s">
        <v>327</v>
      </c>
      <c r="E2877" s="43" t="s">
        <v>230</v>
      </c>
    </row>
    <row r="2878" spans="1:5" x14ac:dyDescent="0.25">
      <c r="A2878" s="41">
        <v>9950</v>
      </c>
      <c r="B2878" s="42" t="s">
        <v>3251</v>
      </c>
      <c r="C2878" s="43" t="s">
        <v>289</v>
      </c>
      <c r="D2878" s="43" t="s">
        <v>327</v>
      </c>
      <c r="E2878" s="43" t="s">
        <v>1120</v>
      </c>
    </row>
    <row r="2879" spans="1:5" x14ac:dyDescent="0.25">
      <c r="A2879" s="41">
        <v>9961</v>
      </c>
      <c r="B2879" s="42" t="s">
        <v>3252</v>
      </c>
      <c r="C2879" s="43" t="s">
        <v>289</v>
      </c>
      <c r="D2879" s="43" t="s">
        <v>468</v>
      </c>
      <c r="E2879" s="43" t="s">
        <v>464</v>
      </c>
    </row>
    <row r="2880" spans="1:5" x14ac:dyDescent="0.25">
      <c r="A2880" s="41">
        <v>9964</v>
      </c>
      <c r="B2880" s="42" t="s">
        <v>3253</v>
      </c>
      <c r="C2880" s="43" t="s">
        <v>289</v>
      </c>
      <c r="D2880" s="43" t="s">
        <v>763</v>
      </c>
      <c r="E2880" s="43" t="s">
        <v>3254</v>
      </c>
    </row>
    <row r="2881" spans="1:5" x14ac:dyDescent="0.25">
      <c r="A2881" s="41">
        <v>9967</v>
      </c>
      <c r="B2881" s="42" t="s">
        <v>3255</v>
      </c>
      <c r="C2881" s="43" t="s">
        <v>289</v>
      </c>
      <c r="D2881" s="43" t="s">
        <v>327</v>
      </c>
      <c r="E2881" s="43" t="s">
        <v>531</v>
      </c>
    </row>
    <row r="2882" spans="1:5" x14ac:dyDescent="0.25">
      <c r="A2882" s="41">
        <v>9971</v>
      </c>
      <c r="B2882" s="42" t="s">
        <v>3256</v>
      </c>
      <c r="C2882" s="43" t="s">
        <v>289</v>
      </c>
      <c r="D2882" s="43" t="s">
        <v>314</v>
      </c>
      <c r="E2882" s="43" t="s">
        <v>230</v>
      </c>
    </row>
    <row r="2883" spans="1:5" x14ac:dyDescent="0.25">
      <c r="A2883" s="41">
        <v>9972</v>
      </c>
      <c r="B2883" s="42" t="s">
        <v>3257</v>
      </c>
      <c r="C2883" s="43" t="s">
        <v>289</v>
      </c>
      <c r="D2883" s="43" t="s">
        <v>1227</v>
      </c>
      <c r="E2883" s="43" t="s">
        <v>230</v>
      </c>
    </row>
    <row r="2884" spans="1:5" x14ac:dyDescent="0.25">
      <c r="A2884" s="41">
        <v>9973</v>
      </c>
      <c r="B2884" s="42" t="s">
        <v>3258</v>
      </c>
      <c r="C2884" s="43" t="s">
        <v>289</v>
      </c>
      <c r="D2884" s="43" t="s">
        <v>327</v>
      </c>
      <c r="E2884" s="43" t="s">
        <v>230</v>
      </c>
    </row>
    <row r="2885" spans="1:5" x14ac:dyDescent="0.25">
      <c r="A2885" s="41">
        <v>9989</v>
      </c>
      <c r="B2885" s="42" t="s">
        <v>3259</v>
      </c>
      <c r="C2885" s="43" t="s">
        <v>289</v>
      </c>
      <c r="D2885" s="43" t="s">
        <v>996</v>
      </c>
      <c r="E2885" s="43" t="s">
        <v>230</v>
      </c>
    </row>
    <row r="2886" spans="1:5" x14ac:dyDescent="0.25">
      <c r="A2886" s="41">
        <v>9999</v>
      </c>
      <c r="B2886" s="42" t="s">
        <v>3260</v>
      </c>
      <c r="C2886" s="43" t="s">
        <v>289</v>
      </c>
      <c r="D2886" s="43" t="s">
        <v>333</v>
      </c>
      <c r="E2886" s="43" t="s">
        <v>436</v>
      </c>
    </row>
    <row r="2887" spans="1:5" x14ac:dyDescent="0.25">
      <c r="A2887" s="41">
        <v>10009</v>
      </c>
      <c r="B2887" s="42" t="s">
        <v>3261</v>
      </c>
      <c r="C2887" s="43" t="s">
        <v>289</v>
      </c>
      <c r="D2887" s="43" t="s">
        <v>468</v>
      </c>
      <c r="E2887" s="43" t="s">
        <v>230</v>
      </c>
    </row>
    <row r="2888" spans="1:5" x14ac:dyDescent="0.25">
      <c r="A2888" s="41">
        <v>10021</v>
      </c>
      <c r="B2888" s="42" t="s">
        <v>3262</v>
      </c>
      <c r="C2888" s="43" t="s">
        <v>289</v>
      </c>
      <c r="D2888" s="43" t="s">
        <v>410</v>
      </c>
      <c r="E2888" s="43" t="s">
        <v>464</v>
      </c>
    </row>
    <row r="2889" spans="1:5" x14ac:dyDescent="0.25">
      <c r="A2889" s="41">
        <v>10027</v>
      </c>
      <c r="B2889" s="42" t="s">
        <v>3263</v>
      </c>
      <c r="C2889" s="43" t="s">
        <v>289</v>
      </c>
      <c r="D2889" s="43" t="s">
        <v>316</v>
      </c>
      <c r="E2889" s="43" t="s">
        <v>230</v>
      </c>
    </row>
    <row r="2890" spans="1:5" x14ac:dyDescent="0.25">
      <c r="A2890" s="41">
        <v>10031</v>
      </c>
      <c r="B2890" s="42" t="s">
        <v>3264</v>
      </c>
      <c r="C2890" s="43" t="s">
        <v>289</v>
      </c>
      <c r="D2890" s="43" t="s">
        <v>468</v>
      </c>
      <c r="E2890" s="43" t="s">
        <v>230</v>
      </c>
    </row>
    <row r="2891" spans="1:5" x14ac:dyDescent="0.25">
      <c r="A2891" s="41">
        <v>10032</v>
      </c>
      <c r="B2891" s="42" t="s">
        <v>3265</v>
      </c>
      <c r="C2891" s="43" t="s">
        <v>289</v>
      </c>
      <c r="D2891" s="43" t="s">
        <v>468</v>
      </c>
      <c r="E2891" s="43" t="s">
        <v>230</v>
      </c>
    </row>
    <row r="2892" spans="1:5" x14ac:dyDescent="0.25">
      <c r="A2892" s="41">
        <v>10033</v>
      </c>
      <c r="B2892" s="42" t="s">
        <v>3266</v>
      </c>
      <c r="C2892" s="43" t="s">
        <v>289</v>
      </c>
      <c r="D2892" s="43" t="s">
        <v>468</v>
      </c>
      <c r="E2892" s="43" t="s">
        <v>230</v>
      </c>
    </row>
    <row r="2893" spans="1:5" x14ac:dyDescent="0.25">
      <c r="A2893" s="41">
        <v>10034</v>
      </c>
      <c r="B2893" s="42" t="s">
        <v>3267</v>
      </c>
      <c r="C2893" s="43" t="s">
        <v>289</v>
      </c>
      <c r="D2893" s="43" t="s">
        <v>316</v>
      </c>
      <c r="E2893" s="43" t="s">
        <v>230</v>
      </c>
    </row>
    <row r="2894" spans="1:5" x14ac:dyDescent="0.25">
      <c r="A2894" s="41">
        <v>10038</v>
      </c>
      <c r="B2894" s="42" t="s">
        <v>3268</v>
      </c>
      <c r="C2894" s="43" t="s">
        <v>289</v>
      </c>
      <c r="D2894" s="43" t="s">
        <v>316</v>
      </c>
      <c r="E2894" s="43" t="s">
        <v>230</v>
      </c>
    </row>
    <row r="2895" spans="1:5" x14ac:dyDescent="0.25">
      <c r="A2895" s="41">
        <v>10041</v>
      </c>
      <c r="B2895" s="42" t="s">
        <v>3269</v>
      </c>
      <c r="C2895" s="43" t="s">
        <v>289</v>
      </c>
      <c r="D2895" s="43" t="s">
        <v>327</v>
      </c>
      <c r="E2895" s="43" t="s">
        <v>230</v>
      </c>
    </row>
    <row r="2896" spans="1:5" x14ac:dyDescent="0.25">
      <c r="A2896" s="41">
        <v>10050</v>
      </c>
      <c r="B2896" s="42" t="s">
        <v>3270</v>
      </c>
      <c r="C2896" s="43" t="s">
        <v>289</v>
      </c>
      <c r="D2896" s="43" t="s">
        <v>1100</v>
      </c>
      <c r="E2896" s="43" t="s">
        <v>766</v>
      </c>
    </row>
    <row r="2897" spans="1:5" x14ac:dyDescent="0.25">
      <c r="A2897" s="41">
        <v>10052</v>
      </c>
      <c r="B2897" s="42" t="s">
        <v>3271</v>
      </c>
      <c r="C2897" s="43" t="s">
        <v>289</v>
      </c>
      <c r="D2897" s="43" t="s">
        <v>410</v>
      </c>
      <c r="E2897" s="43" t="s">
        <v>464</v>
      </c>
    </row>
    <row r="2898" spans="1:5" x14ac:dyDescent="0.25">
      <c r="A2898" s="41">
        <v>10053</v>
      </c>
      <c r="B2898" s="42" t="s">
        <v>3272</v>
      </c>
      <c r="C2898" s="43" t="s">
        <v>289</v>
      </c>
      <c r="D2898" s="43" t="s">
        <v>410</v>
      </c>
      <c r="E2898" s="43" t="s">
        <v>464</v>
      </c>
    </row>
    <row r="2899" spans="1:5" x14ac:dyDescent="0.25">
      <c r="A2899" s="41">
        <v>10058</v>
      </c>
      <c r="B2899" s="42" t="s">
        <v>3273</v>
      </c>
      <c r="C2899" s="43" t="s">
        <v>289</v>
      </c>
      <c r="D2899" s="43" t="s">
        <v>327</v>
      </c>
      <c r="E2899" s="43" t="s">
        <v>230</v>
      </c>
    </row>
    <row r="2900" spans="1:5" x14ac:dyDescent="0.25">
      <c r="A2900" s="41">
        <v>10062</v>
      </c>
      <c r="B2900" s="42" t="s">
        <v>3274</v>
      </c>
      <c r="C2900" s="43" t="s">
        <v>289</v>
      </c>
      <c r="D2900" s="43" t="s">
        <v>327</v>
      </c>
      <c r="E2900" s="43" t="s">
        <v>217</v>
      </c>
    </row>
    <row r="2901" spans="1:5" x14ac:dyDescent="0.25">
      <c r="A2901" s="41">
        <v>10063</v>
      </c>
      <c r="B2901" s="42" t="s">
        <v>3275</v>
      </c>
      <c r="C2901" s="43" t="s">
        <v>289</v>
      </c>
      <c r="D2901" s="43" t="s">
        <v>327</v>
      </c>
      <c r="E2901" s="43" t="s">
        <v>230</v>
      </c>
    </row>
    <row r="2902" spans="1:5" x14ac:dyDescent="0.25">
      <c r="A2902" s="41">
        <v>10064</v>
      </c>
      <c r="B2902" s="42" t="s">
        <v>3276</v>
      </c>
      <c r="C2902" s="43" t="s">
        <v>289</v>
      </c>
      <c r="D2902" s="43" t="s">
        <v>327</v>
      </c>
      <c r="E2902" s="43" t="s">
        <v>230</v>
      </c>
    </row>
    <row r="2903" spans="1:5" x14ac:dyDescent="0.25">
      <c r="A2903" s="41">
        <v>10065</v>
      </c>
      <c r="B2903" s="42" t="s">
        <v>3277</v>
      </c>
      <c r="C2903" s="43" t="s">
        <v>289</v>
      </c>
      <c r="D2903" s="43" t="s">
        <v>327</v>
      </c>
      <c r="E2903" s="43" t="s">
        <v>170</v>
      </c>
    </row>
    <row r="2904" spans="1:5" x14ac:dyDescent="0.25">
      <c r="A2904" s="41">
        <v>10066</v>
      </c>
      <c r="B2904" s="42" t="s">
        <v>3278</v>
      </c>
      <c r="C2904" s="43" t="s">
        <v>289</v>
      </c>
      <c r="D2904" s="43" t="s">
        <v>327</v>
      </c>
      <c r="E2904" s="43" t="s">
        <v>230</v>
      </c>
    </row>
    <row r="2905" spans="1:5" x14ac:dyDescent="0.25">
      <c r="A2905" s="41">
        <v>10070</v>
      </c>
      <c r="B2905" s="42" t="s">
        <v>3279</v>
      </c>
      <c r="C2905" s="43" t="s">
        <v>289</v>
      </c>
      <c r="D2905" s="43" t="s">
        <v>316</v>
      </c>
      <c r="E2905" s="43" t="s">
        <v>230</v>
      </c>
    </row>
    <row r="2906" spans="1:5" x14ac:dyDescent="0.25">
      <c r="A2906" s="41">
        <v>10072</v>
      </c>
      <c r="B2906" s="42" t="s">
        <v>3280</v>
      </c>
      <c r="C2906" s="43" t="s">
        <v>289</v>
      </c>
      <c r="D2906" s="43" t="s">
        <v>327</v>
      </c>
      <c r="E2906" s="43" t="s">
        <v>230</v>
      </c>
    </row>
    <row r="2907" spans="1:5" x14ac:dyDescent="0.25">
      <c r="A2907" s="41">
        <v>10078</v>
      </c>
      <c r="B2907" s="42" t="s">
        <v>3281</v>
      </c>
      <c r="C2907" s="43" t="s">
        <v>289</v>
      </c>
      <c r="D2907" s="43" t="s">
        <v>996</v>
      </c>
      <c r="E2907" s="43" t="s">
        <v>464</v>
      </c>
    </row>
    <row r="2908" spans="1:5" x14ac:dyDescent="0.25">
      <c r="A2908" s="41">
        <v>10087</v>
      </c>
      <c r="B2908" s="42" t="s">
        <v>3282</v>
      </c>
      <c r="C2908" s="43" t="s">
        <v>289</v>
      </c>
      <c r="D2908" s="43" t="s">
        <v>523</v>
      </c>
      <c r="E2908" s="43" t="s">
        <v>230</v>
      </c>
    </row>
    <row r="2909" spans="1:5" x14ac:dyDescent="0.25">
      <c r="A2909" s="41">
        <v>10088</v>
      </c>
      <c r="B2909" s="42" t="s">
        <v>3283</v>
      </c>
      <c r="C2909" s="43" t="s">
        <v>289</v>
      </c>
      <c r="D2909" s="43" t="s">
        <v>523</v>
      </c>
      <c r="E2909" s="43" t="s">
        <v>230</v>
      </c>
    </row>
    <row r="2910" spans="1:5" x14ac:dyDescent="0.25">
      <c r="A2910" s="41">
        <v>10094</v>
      </c>
      <c r="B2910" s="42" t="s">
        <v>3284</v>
      </c>
      <c r="C2910" s="43" t="s">
        <v>289</v>
      </c>
      <c r="D2910" s="43" t="s">
        <v>941</v>
      </c>
      <c r="E2910" s="43" t="s">
        <v>230</v>
      </c>
    </row>
    <row r="2911" spans="1:5" x14ac:dyDescent="0.25">
      <c r="A2911" s="41">
        <v>10097</v>
      </c>
      <c r="B2911" s="42" t="s">
        <v>3285</v>
      </c>
      <c r="C2911" s="43" t="s">
        <v>289</v>
      </c>
      <c r="D2911" s="43" t="s">
        <v>1041</v>
      </c>
      <c r="E2911" s="43" t="s">
        <v>230</v>
      </c>
    </row>
    <row r="2912" spans="1:5" x14ac:dyDescent="0.25">
      <c r="A2912" s="41">
        <v>10105</v>
      </c>
      <c r="B2912" s="42" t="s">
        <v>3286</v>
      </c>
      <c r="C2912" s="43" t="s">
        <v>289</v>
      </c>
      <c r="D2912" s="43" t="s">
        <v>327</v>
      </c>
      <c r="E2912" s="43" t="s">
        <v>864</v>
      </c>
    </row>
    <row r="2913" spans="1:5" x14ac:dyDescent="0.25">
      <c r="A2913" s="41">
        <v>10109</v>
      </c>
      <c r="B2913" s="42" t="s">
        <v>3287</v>
      </c>
      <c r="C2913" s="43" t="s">
        <v>289</v>
      </c>
      <c r="D2913" s="43" t="s">
        <v>996</v>
      </c>
      <c r="E2913" s="43" t="s">
        <v>170</v>
      </c>
    </row>
    <row r="2914" spans="1:5" x14ac:dyDescent="0.25">
      <c r="A2914" s="41">
        <v>10110</v>
      </c>
      <c r="B2914" s="42" t="s">
        <v>3288</v>
      </c>
      <c r="C2914" s="43" t="s">
        <v>289</v>
      </c>
      <c r="D2914" s="43" t="s">
        <v>474</v>
      </c>
      <c r="E2914" s="43" t="s">
        <v>230</v>
      </c>
    </row>
    <row r="2915" spans="1:5" x14ac:dyDescent="0.25">
      <c r="A2915" s="41">
        <v>10112</v>
      </c>
      <c r="B2915" s="42" t="s">
        <v>3289</v>
      </c>
      <c r="C2915" s="43" t="s">
        <v>289</v>
      </c>
      <c r="D2915" s="43" t="s">
        <v>327</v>
      </c>
      <c r="E2915" s="43" t="s">
        <v>230</v>
      </c>
    </row>
    <row r="2916" spans="1:5" x14ac:dyDescent="0.25">
      <c r="A2916" s="41">
        <v>10113</v>
      </c>
      <c r="B2916" s="42" t="s">
        <v>3290</v>
      </c>
      <c r="C2916" s="43" t="s">
        <v>289</v>
      </c>
      <c r="D2916" s="43" t="s">
        <v>327</v>
      </c>
      <c r="E2916" s="43" t="s">
        <v>230</v>
      </c>
    </row>
    <row r="2917" spans="1:5" x14ac:dyDescent="0.25">
      <c r="A2917" s="41">
        <v>10114</v>
      </c>
      <c r="B2917" s="42" t="s">
        <v>3291</v>
      </c>
      <c r="C2917" s="43" t="s">
        <v>289</v>
      </c>
      <c r="D2917" s="43" t="s">
        <v>327</v>
      </c>
      <c r="E2917" s="43" t="s">
        <v>230</v>
      </c>
    </row>
    <row r="2918" spans="1:5" x14ac:dyDescent="0.25">
      <c r="A2918" s="41">
        <v>10115</v>
      </c>
      <c r="B2918" s="42" t="s">
        <v>3292</v>
      </c>
      <c r="C2918" s="43" t="s">
        <v>289</v>
      </c>
      <c r="D2918" s="43" t="s">
        <v>327</v>
      </c>
      <c r="E2918" s="43" t="s">
        <v>230</v>
      </c>
    </row>
    <row r="2919" spans="1:5" x14ac:dyDescent="0.25">
      <c r="A2919" s="41">
        <v>10116</v>
      </c>
      <c r="B2919" s="42" t="s">
        <v>3293</v>
      </c>
      <c r="C2919" s="43" t="s">
        <v>289</v>
      </c>
      <c r="D2919" s="43" t="s">
        <v>327</v>
      </c>
      <c r="E2919" s="43" t="s">
        <v>864</v>
      </c>
    </row>
    <row r="2920" spans="1:5" x14ac:dyDescent="0.25">
      <c r="A2920" s="41">
        <v>10120</v>
      </c>
      <c r="B2920" s="42" t="s">
        <v>3294</v>
      </c>
      <c r="C2920" s="43" t="s">
        <v>289</v>
      </c>
      <c r="D2920" s="43" t="s">
        <v>327</v>
      </c>
      <c r="E2920" s="43" t="s">
        <v>230</v>
      </c>
    </row>
    <row r="2921" spans="1:5" x14ac:dyDescent="0.25">
      <c r="A2921" s="41">
        <v>10123</v>
      </c>
      <c r="B2921" s="42" t="s">
        <v>3295</v>
      </c>
      <c r="C2921" s="43" t="s">
        <v>289</v>
      </c>
      <c r="D2921" s="43" t="s">
        <v>327</v>
      </c>
      <c r="E2921" s="43" t="s">
        <v>336</v>
      </c>
    </row>
    <row r="2922" spans="1:5" x14ac:dyDescent="0.25">
      <c r="A2922" s="41">
        <v>10128</v>
      </c>
      <c r="B2922" s="42" t="s">
        <v>3296</v>
      </c>
      <c r="C2922" s="43" t="s">
        <v>289</v>
      </c>
      <c r="D2922" s="43" t="s">
        <v>523</v>
      </c>
      <c r="E2922" s="43" t="s">
        <v>483</v>
      </c>
    </row>
    <row r="2923" spans="1:5" x14ac:dyDescent="0.25">
      <c r="A2923" s="41">
        <v>10130</v>
      </c>
      <c r="B2923" s="42" t="s">
        <v>3297</v>
      </c>
      <c r="C2923" s="43" t="s">
        <v>289</v>
      </c>
      <c r="D2923" s="43" t="s">
        <v>523</v>
      </c>
      <c r="E2923" s="43" t="s">
        <v>483</v>
      </c>
    </row>
    <row r="2924" spans="1:5" x14ac:dyDescent="0.25">
      <c r="A2924" s="41">
        <v>10132</v>
      </c>
      <c r="B2924" s="42" t="s">
        <v>3298</v>
      </c>
      <c r="C2924" s="43" t="s">
        <v>289</v>
      </c>
      <c r="D2924" s="43" t="s">
        <v>523</v>
      </c>
      <c r="E2924" s="43" t="s">
        <v>483</v>
      </c>
    </row>
    <row r="2925" spans="1:5" x14ac:dyDescent="0.25">
      <c r="A2925" s="41">
        <v>10139</v>
      </c>
      <c r="B2925" s="42" t="s">
        <v>3299</v>
      </c>
      <c r="C2925" s="43" t="s">
        <v>289</v>
      </c>
      <c r="D2925" s="43" t="s">
        <v>523</v>
      </c>
      <c r="E2925" s="43" t="s">
        <v>483</v>
      </c>
    </row>
    <row r="2926" spans="1:5" x14ac:dyDescent="0.25">
      <c r="A2926" s="41">
        <v>10140</v>
      </c>
      <c r="B2926" s="42" t="s">
        <v>3300</v>
      </c>
      <c r="C2926" s="43" t="s">
        <v>289</v>
      </c>
      <c r="D2926" s="43" t="s">
        <v>523</v>
      </c>
      <c r="E2926" s="43" t="s">
        <v>464</v>
      </c>
    </row>
    <row r="2927" spans="1:5" x14ac:dyDescent="0.25">
      <c r="A2927" s="41">
        <v>10143</v>
      </c>
      <c r="B2927" s="42" t="s">
        <v>3301</v>
      </c>
      <c r="C2927" s="43" t="s">
        <v>289</v>
      </c>
      <c r="D2927" s="43" t="s">
        <v>327</v>
      </c>
      <c r="E2927" s="43" t="s">
        <v>464</v>
      </c>
    </row>
    <row r="2928" spans="1:5" x14ac:dyDescent="0.25">
      <c r="A2928" s="41">
        <v>10145</v>
      </c>
      <c r="B2928" s="42" t="s">
        <v>3302</v>
      </c>
      <c r="C2928" s="43" t="s">
        <v>289</v>
      </c>
      <c r="D2928" s="43" t="s">
        <v>327</v>
      </c>
      <c r="E2928" s="43" t="s">
        <v>464</v>
      </c>
    </row>
    <row r="2929" spans="1:5" x14ac:dyDescent="0.25">
      <c r="A2929" s="41">
        <v>10149</v>
      </c>
      <c r="B2929" s="42" t="s">
        <v>3303</v>
      </c>
      <c r="C2929" s="43" t="s">
        <v>289</v>
      </c>
      <c r="D2929" s="43" t="s">
        <v>314</v>
      </c>
      <c r="E2929" s="43" t="s">
        <v>230</v>
      </c>
    </row>
    <row r="2930" spans="1:5" x14ac:dyDescent="0.25">
      <c r="A2930" s="41">
        <v>10152</v>
      </c>
      <c r="B2930" s="42" t="s">
        <v>3304</v>
      </c>
      <c r="C2930" s="43" t="s">
        <v>289</v>
      </c>
      <c r="D2930" s="43" t="s">
        <v>327</v>
      </c>
      <c r="E2930" s="43" t="s">
        <v>230</v>
      </c>
    </row>
    <row r="2931" spans="1:5" x14ac:dyDescent="0.25">
      <c r="A2931" s="41">
        <v>10154</v>
      </c>
      <c r="B2931" s="42" t="s">
        <v>3305</v>
      </c>
      <c r="C2931" s="43" t="s">
        <v>289</v>
      </c>
      <c r="D2931" s="43" t="s">
        <v>327</v>
      </c>
      <c r="E2931" s="43" t="s">
        <v>230</v>
      </c>
    </row>
    <row r="2932" spans="1:5" x14ac:dyDescent="0.25">
      <c r="A2932" s="41">
        <v>10155</v>
      </c>
      <c r="B2932" s="42" t="s">
        <v>3306</v>
      </c>
      <c r="C2932" s="43" t="s">
        <v>289</v>
      </c>
      <c r="D2932" s="43" t="s">
        <v>316</v>
      </c>
      <c r="E2932" s="43" t="s">
        <v>170</v>
      </c>
    </row>
    <row r="2933" spans="1:5" x14ac:dyDescent="0.25">
      <c r="A2933" s="41">
        <v>10156</v>
      </c>
      <c r="B2933" s="42" t="s">
        <v>3307</v>
      </c>
      <c r="C2933" s="43" t="s">
        <v>289</v>
      </c>
      <c r="D2933" s="43" t="s">
        <v>316</v>
      </c>
      <c r="E2933" s="43" t="s">
        <v>864</v>
      </c>
    </row>
    <row r="2934" spans="1:5" x14ac:dyDescent="0.25">
      <c r="A2934" s="41">
        <v>10157</v>
      </c>
      <c r="B2934" s="42" t="s">
        <v>3308</v>
      </c>
      <c r="C2934" s="43" t="s">
        <v>289</v>
      </c>
      <c r="D2934" s="43" t="s">
        <v>316</v>
      </c>
      <c r="E2934" s="43" t="s">
        <v>864</v>
      </c>
    </row>
    <row r="2935" spans="1:5" x14ac:dyDescent="0.25">
      <c r="A2935" s="41">
        <v>10160</v>
      </c>
      <c r="B2935" s="42" t="s">
        <v>3309</v>
      </c>
      <c r="C2935" s="43" t="s">
        <v>289</v>
      </c>
      <c r="D2935" s="43" t="s">
        <v>316</v>
      </c>
      <c r="E2935" s="43" t="s">
        <v>3254</v>
      </c>
    </row>
    <row r="2936" spans="1:5" x14ac:dyDescent="0.25">
      <c r="A2936" s="41">
        <v>10161</v>
      </c>
      <c r="B2936" s="42" t="s">
        <v>3310</v>
      </c>
      <c r="C2936" s="43" t="s">
        <v>289</v>
      </c>
      <c r="D2936" s="43" t="s">
        <v>316</v>
      </c>
      <c r="E2936" s="43" t="s">
        <v>3254</v>
      </c>
    </row>
    <row r="2937" spans="1:5" x14ac:dyDescent="0.25">
      <c r="A2937" s="41">
        <v>10163</v>
      </c>
      <c r="B2937" s="42" t="s">
        <v>3311</v>
      </c>
      <c r="C2937" s="43" t="s">
        <v>289</v>
      </c>
      <c r="D2937" s="43" t="s">
        <v>327</v>
      </c>
      <c r="E2937" s="43" t="s">
        <v>230</v>
      </c>
    </row>
    <row r="2938" spans="1:5" x14ac:dyDescent="0.25">
      <c r="A2938" s="41">
        <v>10164</v>
      </c>
      <c r="B2938" s="42" t="s">
        <v>3312</v>
      </c>
      <c r="C2938" s="43" t="s">
        <v>289</v>
      </c>
      <c r="D2938" s="43" t="s">
        <v>327</v>
      </c>
      <c r="E2938" s="43" t="s">
        <v>230</v>
      </c>
    </row>
    <row r="2939" spans="1:5" x14ac:dyDescent="0.25">
      <c r="A2939" s="41">
        <v>10166</v>
      </c>
      <c r="B2939" s="42" t="s">
        <v>3313</v>
      </c>
      <c r="C2939" s="43" t="s">
        <v>289</v>
      </c>
      <c r="D2939" s="43" t="s">
        <v>327</v>
      </c>
      <c r="E2939" s="43" t="s">
        <v>230</v>
      </c>
    </row>
    <row r="2940" spans="1:5" x14ac:dyDescent="0.25">
      <c r="A2940" s="41">
        <v>10167</v>
      </c>
      <c r="B2940" s="42" t="s">
        <v>3314</v>
      </c>
      <c r="C2940" s="43" t="s">
        <v>289</v>
      </c>
      <c r="D2940" s="43" t="s">
        <v>327</v>
      </c>
      <c r="E2940" s="43" t="s">
        <v>230</v>
      </c>
    </row>
    <row r="2941" spans="1:5" x14ac:dyDescent="0.25">
      <c r="A2941" s="41">
        <v>10170</v>
      </c>
      <c r="B2941" s="42" t="s">
        <v>3315</v>
      </c>
      <c r="C2941" s="43" t="s">
        <v>289</v>
      </c>
      <c r="D2941" s="43" t="s">
        <v>327</v>
      </c>
      <c r="E2941" s="43" t="s">
        <v>230</v>
      </c>
    </row>
    <row r="2942" spans="1:5" x14ac:dyDescent="0.25">
      <c r="A2942" s="41">
        <v>10172</v>
      </c>
      <c r="B2942" s="42" t="s">
        <v>3316</v>
      </c>
      <c r="C2942" s="43" t="s">
        <v>289</v>
      </c>
      <c r="D2942" s="43" t="s">
        <v>327</v>
      </c>
      <c r="E2942" s="43" t="s">
        <v>230</v>
      </c>
    </row>
    <row r="2943" spans="1:5" x14ac:dyDescent="0.25">
      <c r="A2943" s="41">
        <v>10175</v>
      </c>
      <c r="B2943" s="42" t="s">
        <v>3317</v>
      </c>
      <c r="C2943" s="43" t="s">
        <v>289</v>
      </c>
      <c r="D2943" s="43" t="s">
        <v>327</v>
      </c>
      <c r="E2943" s="43" t="s">
        <v>336</v>
      </c>
    </row>
    <row r="2944" spans="1:5" x14ac:dyDescent="0.25">
      <c r="A2944" s="41">
        <v>10177</v>
      </c>
      <c r="B2944" s="42" t="s">
        <v>3318</v>
      </c>
      <c r="C2944" s="43" t="s">
        <v>289</v>
      </c>
      <c r="D2944" s="43" t="s">
        <v>327</v>
      </c>
      <c r="E2944" s="43" t="s">
        <v>454</v>
      </c>
    </row>
    <row r="2945" spans="1:5" x14ac:dyDescent="0.25">
      <c r="A2945" s="41">
        <v>10181</v>
      </c>
      <c r="B2945" s="42" t="s">
        <v>1120</v>
      </c>
      <c r="C2945" s="43" t="s">
        <v>289</v>
      </c>
      <c r="D2945" s="43" t="s">
        <v>474</v>
      </c>
      <c r="E2945" s="43" t="s">
        <v>230</v>
      </c>
    </row>
    <row r="2946" spans="1:5" x14ac:dyDescent="0.25">
      <c r="A2946" s="41">
        <v>10183</v>
      </c>
      <c r="B2946" s="42" t="s">
        <v>3319</v>
      </c>
      <c r="C2946" s="43" t="s">
        <v>289</v>
      </c>
      <c r="D2946" s="43" t="s">
        <v>327</v>
      </c>
      <c r="E2946" s="43" t="s">
        <v>230</v>
      </c>
    </row>
    <row r="2947" spans="1:5" x14ac:dyDescent="0.25">
      <c r="A2947" s="41">
        <v>10184</v>
      </c>
      <c r="B2947" s="42" t="s">
        <v>3320</v>
      </c>
      <c r="C2947" s="43" t="s">
        <v>289</v>
      </c>
      <c r="D2947" s="43" t="s">
        <v>327</v>
      </c>
      <c r="E2947" s="43" t="s">
        <v>230</v>
      </c>
    </row>
    <row r="2948" spans="1:5" x14ac:dyDescent="0.25">
      <c r="A2948" s="41">
        <v>10192</v>
      </c>
      <c r="B2948" s="42" t="s">
        <v>3321</v>
      </c>
      <c r="C2948" s="43" t="s">
        <v>289</v>
      </c>
      <c r="D2948" s="43" t="s">
        <v>845</v>
      </c>
      <c r="E2948" s="43" t="s">
        <v>230</v>
      </c>
    </row>
    <row r="2949" spans="1:5" x14ac:dyDescent="0.25">
      <c r="A2949" s="41">
        <v>10193</v>
      </c>
      <c r="B2949" s="42" t="s">
        <v>3322</v>
      </c>
      <c r="C2949" s="43" t="s">
        <v>289</v>
      </c>
      <c r="D2949" s="43" t="s">
        <v>996</v>
      </c>
      <c r="E2949" s="43" t="s">
        <v>230</v>
      </c>
    </row>
    <row r="2950" spans="1:5" x14ac:dyDescent="0.25">
      <c r="A2950" s="41">
        <v>10195</v>
      </c>
      <c r="B2950" s="42" t="s">
        <v>3323</v>
      </c>
      <c r="C2950" s="43" t="s">
        <v>289</v>
      </c>
      <c r="D2950" s="43" t="s">
        <v>327</v>
      </c>
      <c r="E2950" s="43" t="s">
        <v>230</v>
      </c>
    </row>
    <row r="2951" spans="1:5" x14ac:dyDescent="0.25">
      <c r="A2951" s="41">
        <v>10196</v>
      </c>
      <c r="B2951" s="42" t="s">
        <v>3324</v>
      </c>
      <c r="C2951" s="43" t="s">
        <v>289</v>
      </c>
      <c r="D2951" s="43" t="s">
        <v>327</v>
      </c>
      <c r="E2951" s="43" t="s">
        <v>230</v>
      </c>
    </row>
    <row r="2952" spans="1:5" x14ac:dyDescent="0.25">
      <c r="A2952" s="41">
        <v>10197</v>
      </c>
      <c r="B2952" s="42" t="s">
        <v>3325</v>
      </c>
      <c r="C2952" s="43" t="s">
        <v>289</v>
      </c>
      <c r="D2952" s="43" t="s">
        <v>327</v>
      </c>
      <c r="E2952" s="43" t="s">
        <v>230</v>
      </c>
    </row>
    <row r="2953" spans="1:5" x14ac:dyDescent="0.25">
      <c r="A2953" s="41">
        <v>10198</v>
      </c>
      <c r="B2953" s="42" t="s">
        <v>3326</v>
      </c>
      <c r="C2953" s="43" t="s">
        <v>289</v>
      </c>
      <c r="D2953" s="43" t="s">
        <v>435</v>
      </c>
      <c r="E2953" s="43" t="s">
        <v>531</v>
      </c>
    </row>
    <row r="2954" spans="1:5" x14ac:dyDescent="0.25">
      <c r="A2954" s="41">
        <v>10200</v>
      </c>
      <c r="B2954" s="42" t="s">
        <v>3327</v>
      </c>
      <c r="C2954" s="43" t="s">
        <v>289</v>
      </c>
      <c r="D2954" s="43" t="s">
        <v>435</v>
      </c>
      <c r="E2954" s="43" t="s">
        <v>531</v>
      </c>
    </row>
    <row r="2955" spans="1:5" x14ac:dyDescent="0.25">
      <c r="A2955" s="41">
        <v>10205</v>
      </c>
      <c r="B2955" s="42" t="s">
        <v>3328</v>
      </c>
      <c r="C2955" s="43" t="s">
        <v>289</v>
      </c>
      <c r="D2955" s="43" t="s">
        <v>327</v>
      </c>
      <c r="E2955" s="43" t="s">
        <v>230</v>
      </c>
    </row>
    <row r="2956" spans="1:5" x14ac:dyDescent="0.25">
      <c r="A2956" s="41">
        <v>10208</v>
      </c>
      <c r="B2956" s="42" t="s">
        <v>3329</v>
      </c>
      <c r="C2956" s="43" t="s">
        <v>289</v>
      </c>
      <c r="D2956" s="43" t="s">
        <v>327</v>
      </c>
      <c r="E2956" s="43" t="s">
        <v>230</v>
      </c>
    </row>
    <row r="2957" spans="1:5" x14ac:dyDescent="0.25">
      <c r="A2957" s="41">
        <v>10209</v>
      </c>
      <c r="B2957" s="42" t="s">
        <v>3330</v>
      </c>
      <c r="C2957" s="43" t="s">
        <v>289</v>
      </c>
      <c r="D2957" s="43" t="s">
        <v>468</v>
      </c>
      <c r="E2957" s="43" t="s">
        <v>464</v>
      </c>
    </row>
    <row r="2958" spans="1:5" x14ac:dyDescent="0.25">
      <c r="A2958" s="41">
        <v>10213</v>
      </c>
      <c r="B2958" s="42" t="s">
        <v>3331</v>
      </c>
      <c r="C2958" s="43" t="s">
        <v>289</v>
      </c>
      <c r="D2958" s="43" t="s">
        <v>499</v>
      </c>
      <c r="E2958" s="43" t="s">
        <v>472</v>
      </c>
    </row>
    <row r="2959" spans="1:5" x14ac:dyDescent="0.25">
      <c r="A2959" s="41">
        <v>10215</v>
      </c>
      <c r="B2959" s="42" t="s">
        <v>3332</v>
      </c>
      <c r="C2959" s="43" t="s">
        <v>289</v>
      </c>
      <c r="D2959" s="43" t="s">
        <v>996</v>
      </c>
      <c r="E2959" s="43" t="s">
        <v>230</v>
      </c>
    </row>
    <row r="2960" spans="1:5" x14ac:dyDescent="0.25">
      <c r="A2960" s="41">
        <v>10219</v>
      </c>
      <c r="B2960" s="42" t="s">
        <v>3333</v>
      </c>
      <c r="C2960" s="43" t="s">
        <v>289</v>
      </c>
      <c r="D2960" s="43" t="s">
        <v>474</v>
      </c>
      <c r="E2960" s="43" t="s">
        <v>230</v>
      </c>
    </row>
    <row r="2961" spans="1:5" x14ac:dyDescent="0.25">
      <c r="A2961" s="41">
        <v>10235</v>
      </c>
      <c r="B2961" s="42" t="s">
        <v>3334</v>
      </c>
      <c r="C2961" s="43" t="s">
        <v>289</v>
      </c>
      <c r="D2961" s="43" t="s">
        <v>795</v>
      </c>
      <c r="E2961" s="43" t="s">
        <v>170</v>
      </c>
    </row>
    <row r="2962" spans="1:5" x14ac:dyDescent="0.25">
      <c r="A2962" s="41">
        <v>10236</v>
      </c>
      <c r="B2962" s="42" t="s">
        <v>3335</v>
      </c>
      <c r="C2962" s="43" t="s">
        <v>289</v>
      </c>
      <c r="D2962" s="43" t="s">
        <v>795</v>
      </c>
      <c r="E2962" s="43" t="s">
        <v>170</v>
      </c>
    </row>
    <row r="2963" spans="1:5" x14ac:dyDescent="0.25">
      <c r="A2963" s="41">
        <v>10237</v>
      </c>
      <c r="B2963" s="42" t="s">
        <v>3336</v>
      </c>
      <c r="C2963" s="43" t="s">
        <v>289</v>
      </c>
      <c r="D2963" s="43" t="s">
        <v>795</v>
      </c>
      <c r="E2963" s="43" t="s">
        <v>170</v>
      </c>
    </row>
    <row r="2964" spans="1:5" x14ac:dyDescent="0.25">
      <c r="A2964" s="41">
        <v>10239</v>
      </c>
      <c r="B2964" s="42" t="s">
        <v>3337</v>
      </c>
      <c r="C2964" s="43" t="s">
        <v>289</v>
      </c>
      <c r="D2964" s="43" t="s">
        <v>996</v>
      </c>
      <c r="E2964" s="43" t="s">
        <v>472</v>
      </c>
    </row>
    <row r="2965" spans="1:5" x14ac:dyDescent="0.25">
      <c r="A2965" s="41">
        <v>10240</v>
      </c>
      <c r="B2965" s="42" t="s">
        <v>3338</v>
      </c>
      <c r="C2965" s="43" t="s">
        <v>289</v>
      </c>
      <c r="D2965" s="43" t="s">
        <v>327</v>
      </c>
      <c r="E2965" s="43" t="s">
        <v>864</v>
      </c>
    </row>
    <row r="2966" spans="1:5" x14ac:dyDescent="0.25">
      <c r="A2966" s="41">
        <v>10241</v>
      </c>
      <c r="B2966" s="42" t="s">
        <v>3339</v>
      </c>
      <c r="C2966" s="43" t="s">
        <v>289</v>
      </c>
      <c r="D2966" s="43" t="s">
        <v>941</v>
      </c>
      <c r="E2966" s="43" t="s">
        <v>454</v>
      </c>
    </row>
    <row r="2967" spans="1:5" x14ac:dyDescent="0.25">
      <c r="A2967" s="41">
        <v>10242</v>
      </c>
      <c r="B2967" s="42" t="s">
        <v>3340</v>
      </c>
      <c r="C2967" s="43" t="s">
        <v>289</v>
      </c>
      <c r="D2967" s="43" t="s">
        <v>941</v>
      </c>
      <c r="E2967" s="43" t="s">
        <v>454</v>
      </c>
    </row>
    <row r="2968" spans="1:5" x14ac:dyDescent="0.25">
      <c r="A2968" s="41">
        <v>10244</v>
      </c>
      <c r="B2968" s="42" t="s">
        <v>3341</v>
      </c>
      <c r="C2968" s="43" t="s">
        <v>289</v>
      </c>
      <c r="D2968" s="43" t="s">
        <v>316</v>
      </c>
      <c r="E2968" s="43" t="s">
        <v>230</v>
      </c>
    </row>
    <row r="2969" spans="1:5" x14ac:dyDescent="0.25">
      <c r="A2969" s="41">
        <v>10248</v>
      </c>
      <c r="B2969" s="42" t="s">
        <v>3342</v>
      </c>
      <c r="C2969" s="43" t="s">
        <v>289</v>
      </c>
      <c r="D2969" s="43" t="s">
        <v>327</v>
      </c>
      <c r="E2969" s="43" t="s">
        <v>230</v>
      </c>
    </row>
    <row r="2970" spans="1:5" x14ac:dyDescent="0.25">
      <c r="A2970" s="41">
        <v>10250</v>
      </c>
      <c r="B2970" s="42" t="s">
        <v>3343</v>
      </c>
      <c r="C2970" s="43" t="s">
        <v>289</v>
      </c>
      <c r="D2970" s="43" t="s">
        <v>996</v>
      </c>
      <c r="E2970" s="43" t="s">
        <v>230</v>
      </c>
    </row>
    <row r="2971" spans="1:5" x14ac:dyDescent="0.25">
      <c r="A2971" s="41">
        <v>10252</v>
      </c>
      <c r="B2971" s="42" t="s">
        <v>3344</v>
      </c>
      <c r="C2971" s="43" t="s">
        <v>289</v>
      </c>
      <c r="D2971" s="43" t="s">
        <v>327</v>
      </c>
      <c r="E2971" s="43" t="s">
        <v>230</v>
      </c>
    </row>
    <row r="2972" spans="1:5" x14ac:dyDescent="0.25">
      <c r="A2972" s="41">
        <v>10253</v>
      </c>
      <c r="B2972" s="42" t="s">
        <v>3345</v>
      </c>
      <c r="C2972" s="43" t="s">
        <v>289</v>
      </c>
      <c r="D2972" s="43" t="s">
        <v>327</v>
      </c>
      <c r="E2972" s="43" t="s">
        <v>230</v>
      </c>
    </row>
    <row r="2973" spans="1:5" x14ac:dyDescent="0.25">
      <c r="A2973" s="41">
        <v>10255</v>
      </c>
      <c r="B2973" s="42" t="s">
        <v>3346</v>
      </c>
      <c r="C2973" s="43" t="s">
        <v>289</v>
      </c>
      <c r="D2973" s="43" t="s">
        <v>327</v>
      </c>
      <c r="E2973" s="43" t="s">
        <v>230</v>
      </c>
    </row>
    <row r="2974" spans="1:5" x14ac:dyDescent="0.25">
      <c r="A2974" s="41">
        <v>10259</v>
      </c>
      <c r="B2974" s="42" t="s">
        <v>3347</v>
      </c>
      <c r="C2974" s="43" t="s">
        <v>289</v>
      </c>
      <c r="D2974" s="43" t="s">
        <v>316</v>
      </c>
      <c r="E2974" s="43" t="s">
        <v>217</v>
      </c>
    </row>
    <row r="2975" spans="1:5" x14ac:dyDescent="0.25">
      <c r="A2975" s="41">
        <v>10261</v>
      </c>
      <c r="B2975" s="42" t="s">
        <v>3348</v>
      </c>
      <c r="C2975" s="43" t="s">
        <v>289</v>
      </c>
      <c r="D2975" s="43" t="s">
        <v>327</v>
      </c>
      <c r="E2975" s="43" t="s">
        <v>230</v>
      </c>
    </row>
    <row r="2976" spans="1:5" x14ac:dyDescent="0.25">
      <c r="A2976" s="41">
        <v>10262</v>
      </c>
      <c r="B2976" s="42" t="s">
        <v>3349</v>
      </c>
      <c r="C2976" s="43" t="s">
        <v>289</v>
      </c>
      <c r="D2976" s="43" t="s">
        <v>327</v>
      </c>
      <c r="E2976" s="43" t="s">
        <v>230</v>
      </c>
    </row>
    <row r="2977" spans="1:5" x14ac:dyDescent="0.25">
      <c r="A2977" s="41">
        <v>10263</v>
      </c>
      <c r="B2977" s="42" t="s">
        <v>3350</v>
      </c>
      <c r="C2977" s="43" t="s">
        <v>289</v>
      </c>
      <c r="D2977" s="43" t="s">
        <v>327</v>
      </c>
      <c r="E2977" s="43" t="s">
        <v>230</v>
      </c>
    </row>
    <row r="2978" spans="1:5" x14ac:dyDescent="0.25">
      <c r="A2978" s="41">
        <v>10264</v>
      </c>
      <c r="B2978" s="42" t="s">
        <v>3351</v>
      </c>
      <c r="C2978" s="43" t="s">
        <v>289</v>
      </c>
      <c r="D2978" s="43" t="s">
        <v>327</v>
      </c>
      <c r="E2978" s="43" t="s">
        <v>230</v>
      </c>
    </row>
    <row r="2979" spans="1:5" x14ac:dyDescent="0.25">
      <c r="A2979" s="41">
        <v>10268</v>
      </c>
      <c r="B2979" s="42" t="s">
        <v>3352</v>
      </c>
      <c r="C2979" s="43" t="s">
        <v>289</v>
      </c>
      <c r="D2979" s="43" t="s">
        <v>435</v>
      </c>
      <c r="E2979" s="43" t="s">
        <v>436</v>
      </c>
    </row>
    <row r="2980" spans="1:5" x14ac:dyDescent="0.25">
      <c r="A2980" s="41">
        <v>10269</v>
      </c>
      <c r="B2980" s="42" t="s">
        <v>3353</v>
      </c>
      <c r="C2980" s="43" t="s">
        <v>289</v>
      </c>
      <c r="D2980" s="43" t="s">
        <v>474</v>
      </c>
      <c r="E2980" s="43" t="s">
        <v>170</v>
      </c>
    </row>
    <row r="2981" spans="1:5" x14ac:dyDescent="0.25">
      <c r="A2981" s="41">
        <v>10270</v>
      </c>
      <c r="B2981" s="42" t="s">
        <v>3354</v>
      </c>
      <c r="C2981" s="43" t="s">
        <v>289</v>
      </c>
      <c r="D2981" s="43" t="s">
        <v>327</v>
      </c>
      <c r="E2981" s="43" t="s">
        <v>230</v>
      </c>
    </row>
    <row r="2982" spans="1:5" x14ac:dyDescent="0.25">
      <c r="A2982" s="41">
        <v>10272</v>
      </c>
      <c r="B2982" s="42" t="s">
        <v>3355</v>
      </c>
      <c r="C2982" s="43" t="s">
        <v>289</v>
      </c>
      <c r="D2982" s="43" t="s">
        <v>327</v>
      </c>
      <c r="E2982" s="43" t="s">
        <v>766</v>
      </c>
    </row>
    <row r="2983" spans="1:5" x14ac:dyDescent="0.25">
      <c r="A2983" s="41">
        <v>10279</v>
      </c>
      <c r="B2983" s="42" t="s">
        <v>3356</v>
      </c>
      <c r="C2983" s="43" t="s">
        <v>289</v>
      </c>
      <c r="D2983" s="43" t="s">
        <v>1112</v>
      </c>
      <c r="E2983" s="43" t="s">
        <v>464</v>
      </c>
    </row>
    <row r="2984" spans="1:5" x14ac:dyDescent="0.25">
      <c r="A2984" s="41">
        <v>10281</v>
      </c>
      <c r="B2984" s="42" t="s">
        <v>3357</v>
      </c>
      <c r="C2984" s="43" t="s">
        <v>289</v>
      </c>
      <c r="D2984" s="43" t="s">
        <v>316</v>
      </c>
      <c r="E2984" s="43" t="s">
        <v>373</v>
      </c>
    </row>
    <row r="2985" spans="1:5" x14ac:dyDescent="0.25">
      <c r="A2985" s="41">
        <v>10283</v>
      </c>
      <c r="B2985" s="42" t="s">
        <v>3358</v>
      </c>
      <c r="C2985" s="43" t="s">
        <v>289</v>
      </c>
      <c r="D2985" s="43" t="s">
        <v>375</v>
      </c>
      <c r="E2985" s="43" t="s">
        <v>230</v>
      </c>
    </row>
    <row r="2986" spans="1:5" x14ac:dyDescent="0.25">
      <c r="A2986" s="41">
        <v>10286</v>
      </c>
      <c r="B2986" s="42" t="s">
        <v>3359</v>
      </c>
      <c r="C2986" s="43" t="s">
        <v>289</v>
      </c>
      <c r="D2986" s="43" t="s">
        <v>375</v>
      </c>
      <c r="E2986" s="43" t="s">
        <v>230</v>
      </c>
    </row>
    <row r="2987" spans="1:5" x14ac:dyDescent="0.25">
      <c r="A2987" s="41">
        <v>10287</v>
      </c>
      <c r="B2987" s="42" t="s">
        <v>3360</v>
      </c>
      <c r="C2987" s="43" t="s">
        <v>289</v>
      </c>
      <c r="D2987" s="43" t="s">
        <v>375</v>
      </c>
      <c r="E2987" s="43" t="s">
        <v>230</v>
      </c>
    </row>
    <row r="2988" spans="1:5" x14ac:dyDescent="0.25">
      <c r="A2988" s="41">
        <v>10299</v>
      </c>
      <c r="B2988" s="42" t="s">
        <v>3361</v>
      </c>
      <c r="C2988" s="43" t="s">
        <v>289</v>
      </c>
      <c r="D2988" s="43" t="s">
        <v>327</v>
      </c>
      <c r="E2988" s="43" t="s">
        <v>230</v>
      </c>
    </row>
    <row r="2989" spans="1:5" x14ac:dyDescent="0.25">
      <c r="A2989" s="41">
        <v>10300</v>
      </c>
      <c r="B2989" s="42" t="s">
        <v>3362</v>
      </c>
      <c r="C2989" s="43" t="s">
        <v>289</v>
      </c>
      <c r="D2989" s="43" t="s">
        <v>327</v>
      </c>
      <c r="E2989" s="43" t="s">
        <v>230</v>
      </c>
    </row>
    <row r="2990" spans="1:5" x14ac:dyDescent="0.25">
      <c r="A2990" s="41">
        <v>10303</v>
      </c>
      <c r="B2990" s="42" t="s">
        <v>2786</v>
      </c>
      <c r="C2990" s="43" t="s">
        <v>289</v>
      </c>
      <c r="D2990" s="43" t="s">
        <v>996</v>
      </c>
      <c r="E2990" s="43" t="s">
        <v>354</v>
      </c>
    </row>
    <row r="2991" spans="1:5" x14ac:dyDescent="0.25">
      <c r="A2991" s="41">
        <v>10305</v>
      </c>
      <c r="B2991" s="42" t="s">
        <v>3363</v>
      </c>
      <c r="C2991" s="43" t="s">
        <v>289</v>
      </c>
      <c r="D2991" s="43" t="s">
        <v>2461</v>
      </c>
      <c r="E2991" s="43" t="s">
        <v>230</v>
      </c>
    </row>
    <row r="2992" spans="1:5" x14ac:dyDescent="0.25">
      <c r="A2992" s="41">
        <v>10313</v>
      </c>
      <c r="B2992" s="42" t="s">
        <v>3364</v>
      </c>
      <c r="C2992" s="43" t="s">
        <v>289</v>
      </c>
      <c r="D2992" s="43" t="s">
        <v>996</v>
      </c>
      <c r="E2992" s="43" t="s">
        <v>230</v>
      </c>
    </row>
    <row r="2993" spans="1:5" x14ac:dyDescent="0.25">
      <c r="A2993" s="41">
        <v>10314</v>
      </c>
      <c r="B2993" s="42" t="s">
        <v>3365</v>
      </c>
      <c r="C2993" s="43" t="s">
        <v>289</v>
      </c>
      <c r="D2993" s="43" t="s">
        <v>327</v>
      </c>
      <c r="E2993" s="43" t="s">
        <v>230</v>
      </c>
    </row>
    <row r="2994" spans="1:5" x14ac:dyDescent="0.25">
      <c r="A2994" s="41">
        <v>10317</v>
      </c>
      <c r="B2994" s="42" t="s">
        <v>3366</v>
      </c>
      <c r="C2994" s="43" t="s">
        <v>289</v>
      </c>
      <c r="D2994" s="43" t="s">
        <v>327</v>
      </c>
      <c r="E2994" s="43" t="s">
        <v>464</v>
      </c>
    </row>
    <row r="2995" spans="1:5" x14ac:dyDescent="0.25">
      <c r="A2995" s="41">
        <v>10319</v>
      </c>
      <c r="B2995" s="42" t="s">
        <v>3367</v>
      </c>
      <c r="C2995" s="43" t="s">
        <v>289</v>
      </c>
      <c r="D2995" s="43" t="s">
        <v>327</v>
      </c>
      <c r="E2995" s="43" t="s">
        <v>864</v>
      </c>
    </row>
    <row r="2996" spans="1:5" x14ac:dyDescent="0.25">
      <c r="A2996" s="41">
        <v>10322</v>
      </c>
      <c r="B2996" s="42" t="s">
        <v>3368</v>
      </c>
      <c r="C2996" s="43" t="s">
        <v>289</v>
      </c>
      <c r="D2996" s="43" t="s">
        <v>327</v>
      </c>
      <c r="E2996" s="43" t="s">
        <v>454</v>
      </c>
    </row>
    <row r="2997" spans="1:5" x14ac:dyDescent="0.25">
      <c r="A2997" s="41">
        <v>10323</v>
      </c>
      <c r="B2997" s="42" t="s">
        <v>3369</v>
      </c>
      <c r="C2997" s="43" t="s">
        <v>289</v>
      </c>
      <c r="D2997" s="43" t="s">
        <v>327</v>
      </c>
      <c r="E2997" s="43" t="s">
        <v>230</v>
      </c>
    </row>
    <row r="2998" spans="1:5" x14ac:dyDescent="0.25">
      <c r="A2998" s="41">
        <v>10325</v>
      </c>
      <c r="B2998" s="42" t="s">
        <v>3370</v>
      </c>
      <c r="C2998" s="43" t="s">
        <v>289</v>
      </c>
      <c r="D2998" s="43" t="s">
        <v>327</v>
      </c>
      <c r="E2998" s="43" t="s">
        <v>230</v>
      </c>
    </row>
    <row r="2999" spans="1:5" x14ac:dyDescent="0.25">
      <c r="A2999" s="41">
        <v>10327</v>
      </c>
      <c r="B2999" s="42" t="s">
        <v>3371</v>
      </c>
      <c r="C2999" s="43" t="s">
        <v>289</v>
      </c>
      <c r="D2999" s="43" t="s">
        <v>327</v>
      </c>
      <c r="E2999" s="43" t="s">
        <v>230</v>
      </c>
    </row>
    <row r="3000" spans="1:5" x14ac:dyDescent="0.25">
      <c r="A3000" s="41">
        <v>10328</v>
      </c>
      <c r="B3000" s="42" t="s">
        <v>3372</v>
      </c>
      <c r="C3000" s="43" t="s">
        <v>289</v>
      </c>
      <c r="D3000" s="43" t="s">
        <v>333</v>
      </c>
      <c r="E3000" s="43" t="s">
        <v>464</v>
      </c>
    </row>
    <row r="3001" spans="1:5" x14ac:dyDescent="0.25">
      <c r="A3001" s="41">
        <v>10331</v>
      </c>
      <c r="B3001" s="42" t="s">
        <v>3373</v>
      </c>
      <c r="C3001" s="43" t="s">
        <v>289</v>
      </c>
      <c r="D3001" s="43" t="s">
        <v>996</v>
      </c>
      <c r="E3001" s="43" t="s">
        <v>454</v>
      </c>
    </row>
    <row r="3002" spans="1:5" x14ac:dyDescent="0.25">
      <c r="A3002" s="41">
        <v>10332</v>
      </c>
      <c r="B3002" s="42" t="s">
        <v>3374</v>
      </c>
      <c r="C3002" s="43" t="s">
        <v>289</v>
      </c>
      <c r="D3002" s="43" t="s">
        <v>327</v>
      </c>
      <c r="E3002" s="43" t="s">
        <v>1244</v>
      </c>
    </row>
    <row r="3003" spans="1:5" x14ac:dyDescent="0.25">
      <c r="A3003" s="41">
        <v>10333</v>
      </c>
      <c r="B3003" s="42" t="s">
        <v>3375</v>
      </c>
      <c r="C3003" s="43" t="s">
        <v>289</v>
      </c>
      <c r="D3003" s="43" t="s">
        <v>1227</v>
      </c>
      <c r="E3003" s="43" t="s">
        <v>464</v>
      </c>
    </row>
    <row r="3004" spans="1:5" x14ac:dyDescent="0.25">
      <c r="A3004" s="41">
        <v>10342</v>
      </c>
      <c r="B3004" s="42" t="s">
        <v>3376</v>
      </c>
      <c r="C3004" s="43" t="s">
        <v>289</v>
      </c>
      <c r="D3004" s="43" t="s">
        <v>468</v>
      </c>
      <c r="E3004" s="43" t="s">
        <v>864</v>
      </c>
    </row>
    <row r="3005" spans="1:5" x14ac:dyDescent="0.25">
      <c r="A3005" s="41">
        <v>10353</v>
      </c>
      <c r="B3005" s="42" t="s">
        <v>3377</v>
      </c>
      <c r="C3005" s="43" t="s">
        <v>289</v>
      </c>
      <c r="D3005" s="43" t="s">
        <v>327</v>
      </c>
      <c r="E3005" s="43" t="s">
        <v>230</v>
      </c>
    </row>
    <row r="3006" spans="1:5" x14ac:dyDescent="0.25">
      <c r="A3006" s="41">
        <v>10356</v>
      </c>
      <c r="B3006" s="42" t="s">
        <v>3378</v>
      </c>
      <c r="C3006" s="43" t="s">
        <v>289</v>
      </c>
      <c r="D3006" s="43" t="s">
        <v>316</v>
      </c>
      <c r="E3006" s="43" t="s">
        <v>230</v>
      </c>
    </row>
    <row r="3007" spans="1:5" x14ac:dyDescent="0.25">
      <c r="A3007" s="41">
        <v>10357</v>
      </c>
      <c r="B3007" s="42" t="s">
        <v>3379</v>
      </c>
      <c r="C3007" s="43" t="s">
        <v>289</v>
      </c>
      <c r="D3007" s="43" t="s">
        <v>996</v>
      </c>
      <c r="E3007" s="43" t="s">
        <v>230</v>
      </c>
    </row>
    <row r="3008" spans="1:5" x14ac:dyDescent="0.25">
      <c r="A3008" s="41">
        <v>10358</v>
      </c>
      <c r="B3008" s="42" t="s">
        <v>3380</v>
      </c>
      <c r="C3008" s="43" t="s">
        <v>289</v>
      </c>
      <c r="D3008" s="43" t="s">
        <v>327</v>
      </c>
      <c r="E3008" s="43" t="s">
        <v>464</v>
      </c>
    </row>
    <row r="3009" spans="1:5" x14ac:dyDescent="0.25">
      <c r="A3009" s="41">
        <v>10362</v>
      </c>
      <c r="B3009" s="42" t="s">
        <v>3381</v>
      </c>
      <c r="C3009" s="43" t="s">
        <v>289</v>
      </c>
      <c r="D3009" s="43" t="s">
        <v>375</v>
      </c>
      <c r="E3009" s="43" t="s">
        <v>230</v>
      </c>
    </row>
    <row r="3010" spans="1:5" x14ac:dyDescent="0.25">
      <c r="A3010" s="41">
        <v>10363</v>
      </c>
      <c r="B3010" s="42" t="s">
        <v>3382</v>
      </c>
      <c r="C3010" s="43" t="s">
        <v>289</v>
      </c>
      <c r="D3010" s="43" t="s">
        <v>314</v>
      </c>
      <c r="E3010" s="43" t="s">
        <v>230</v>
      </c>
    </row>
    <row r="3011" spans="1:5" x14ac:dyDescent="0.25">
      <c r="A3011" s="41">
        <v>10367</v>
      </c>
      <c r="B3011" s="42" t="s">
        <v>3383</v>
      </c>
      <c r="C3011" s="43" t="s">
        <v>289</v>
      </c>
      <c r="D3011" s="43" t="s">
        <v>3384</v>
      </c>
      <c r="E3011" s="43" t="s">
        <v>464</v>
      </c>
    </row>
    <row r="3012" spans="1:5" x14ac:dyDescent="0.25">
      <c r="A3012" s="41">
        <v>10385</v>
      </c>
      <c r="B3012" s="42" t="s">
        <v>3385</v>
      </c>
      <c r="C3012" s="43" t="s">
        <v>289</v>
      </c>
      <c r="D3012" s="43" t="s">
        <v>1073</v>
      </c>
      <c r="E3012" s="43" t="s">
        <v>336</v>
      </c>
    </row>
    <row r="3013" spans="1:5" x14ac:dyDescent="0.25">
      <c r="A3013" s="41">
        <v>10390</v>
      </c>
      <c r="B3013" s="42" t="s">
        <v>3386</v>
      </c>
      <c r="C3013" s="43" t="s">
        <v>289</v>
      </c>
      <c r="D3013" s="43" t="s">
        <v>327</v>
      </c>
      <c r="E3013" s="43" t="s">
        <v>230</v>
      </c>
    </row>
    <row r="3014" spans="1:5" x14ac:dyDescent="0.25">
      <c r="A3014" s="41">
        <v>10403</v>
      </c>
      <c r="B3014" s="42" t="s">
        <v>3387</v>
      </c>
      <c r="C3014" s="43" t="s">
        <v>289</v>
      </c>
      <c r="D3014" s="43" t="s">
        <v>327</v>
      </c>
      <c r="E3014" s="43" t="s">
        <v>230</v>
      </c>
    </row>
    <row r="3015" spans="1:5" x14ac:dyDescent="0.25">
      <c r="A3015" s="41">
        <v>10405</v>
      </c>
      <c r="B3015" s="42" t="s">
        <v>3388</v>
      </c>
      <c r="C3015" s="43" t="s">
        <v>289</v>
      </c>
      <c r="D3015" s="43" t="s">
        <v>468</v>
      </c>
      <c r="E3015" s="43" t="s">
        <v>336</v>
      </c>
    </row>
    <row r="3016" spans="1:5" x14ac:dyDescent="0.25">
      <c r="A3016" s="41">
        <v>10407</v>
      </c>
      <c r="B3016" s="42" t="s">
        <v>3389</v>
      </c>
      <c r="C3016" s="43" t="s">
        <v>289</v>
      </c>
      <c r="D3016" s="43" t="s">
        <v>795</v>
      </c>
      <c r="E3016" s="43" t="s">
        <v>230</v>
      </c>
    </row>
    <row r="3017" spans="1:5" x14ac:dyDescent="0.25">
      <c r="A3017" s="41">
        <v>10410</v>
      </c>
      <c r="B3017" s="42" t="s">
        <v>3390</v>
      </c>
      <c r="C3017" s="43" t="s">
        <v>289</v>
      </c>
      <c r="D3017" s="43" t="s">
        <v>327</v>
      </c>
      <c r="E3017" s="43" t="s">
        <v>864</v>
      </c>
    </row>
    <row r="3018" spans="1:5" x14ac:dyDescent="0.25">
      <c r="A3018" s="41">
        <v>10419</v>
      </c>
      <c r="B3018" s="42" t="s">
        <v>3391</v>
      </c>
      <c r="C3018" s="43" t="s">
        <v>289</v>
      </c>
      <c r="D3018" s="43" t="s">
        <v>327</v>
      </c>
      <c r="E3018" s="43" t="s">
        <v>230</v>
      </c>
    </row>
    <row r="3019" spans="1:5" x14ac:dyDescent="0.25">
      <c r="A3019" s="41">
        <v>10421</v>
      </c>
      <c r="B3019" s="42" t="s">
        <v>2488</v>
      </c>
      <c r="C3019" s="43" t="s">
        <v>289</v>
      </c>
      <c r="D3019" s="43" t="s">
        <v>996</v>
      </c>
      <c r="E3019" s="43" t="s">
        <v>230</v>
      </c>
    </row>
    <row r="3020" spans="1:5" x14ac:dyDescent="0.25">
      <c r="A3020" s="41">
        <v>10422</v>
      </c>
      <c r="B3020" s="42" t="s">
        <v>3392</v>
      </c>
      <c r="C3020" s="43" t="s">
        <v>289</v>
      </c>
      <c r="D3020" s="43" t="s">
        <v>327</v>
      </c>
      <c r="E3020" s="43" t="s">
        <v>230</v>
      </c>
    </row>
    <row r="3021" spans="1:5" x14ac:dyDescent="0.25">
      <c r="A3021" s="41">
        <v>10425</v>
      </c>
      <c r="B3021" s="42" t="s">
        <v>3393</v>
      </c>
      <c r="C3021" s="43" t="s">
        <v>289</v>
      </c>
      <c r="D3021" s="43" t="s">
        <v>316</v>
      </c>
      <c r="E3021" s="43" t="s">
        <v>230</v>
      </c>
    </row>
    <row r="3022" spans="1:5" x14ac:dyDescent="0.25">
      <c r="A3022" s="41">
        <v>10426</v>
      </c>
      <c r="B3022" s="42" t="s">
        <v>3394</v>
      </c>
      <c r="C3022" s="43" t="s">
        <v>289</v>
      </c>
      <c r="D3022" s="43" t="s">
        <v>316</v>
      </c>
      <c r="E3022" s="43" t="s">
        <v>230</v>
      </c>
    </row>
    <row r="3023" spans="1:5" x14ac:dyDescent="0.25">
      <c r="A3023" s="41">
        <v>10442</v>
      </c>
      <c r="B3023" s="42" t="s">
        <v>3395</v>
      </c>
      <c r="C3023" s="43" t="s">
        <v>289</v>
      </c>
      <c r="D3023" s="43" t="s">
        <v>996</v>
      </c>
      <c r="E3023" s="43" t="s">
        <v>373</v>
      </c>
    </row>
    <row r="3024" spans="1:5" x14ac:dyDescent="0.25">
      <c r="A3024" s="41">
        <v>10443</v>
      </c>
      <c r="B3024" s="42" t="s">
        <v>3396</v>
      </c>
      <c r="C3024" s="43" t="s">
        <v>289</v>
      </c>
      <c r="D3024" s="43" t="s">
        <v>941</v>
      </c>
      <c r="E3024" s="43" t="s">
        <v>230</v>
      </c>
    </row>
    <row r="3025" spans="1:5" x14ac:dyDescent="0.25">
      <c r="A3025" s="41">
        <v>10468</v>
      </c>
      <c r="B3025" s="42" t="s">
        <v>3397</v>
      </c>
      <c r="C3025" s="43" t="s">
        <v>289</v>
      </c>
      <c r="D3025" s="43" t="s">
        <v>523</v>
      </c>
      <c r="E3025" s="43" t="s">
        <v>230</v>
      </c>
    </row>
    <row r="3026" spans="1:5" x14ac:dyDescent="0.25">
      <c r="A3026" s="41">
        <v>10477</v>
      </c>
      <c r="B3026" s="42" t="s">
        <v>3398</v>
      </c>
      <c r="C3026" s="43" t="s">
        <v>289</v>
      </c>
      <c r="D3026" s="43" t="s">
        <v>996</v>
      </c>
      <c r="E3026" s="43" t="s">
        <v>230</v>
      </c>
    </row>
    <row r="3027" spans="1:5" x14ac:dyDescent="0.25">
      <c r="A3027" s="41">
        <v>10487</v>
      </c>
      <c r="B3027" s="42" t="s">
        <v>3399</v>
      </c>
      <c r="C3027" s="43" t="s">
        <v>289</v>
      </c>
      <c r="D3027" s="43" t="s">
        <v>433</v>
      </c>
      <c r="E3027" s="43" t="s">
        <v>230</v>
      </c>
    </row>
    <row r="3028" spans="1:5" x14ac:dyDescent="0.25">
      <c r="A3028" s="41">
        <v>10488</v>
      </c>
      <c r="B3028" s="42" t="s">
        <v>3400</v>
      </c>
      <c r="C3028" s="43" t="s">
        <v>289</v>
      </c>
      <c r="D3028" s="43" t="s">
        <v>316</v>
      </c>
      <c r="E3028" s="43" t="s">
        <v>230</v>
      </c>
    </row>
    <row r="3029" spans="1:5" x14ac:dyDescent="0.25">
      <c r="A3029" s="41">
        <v>10497</v>
      </c>
      <c r="B3029" s="42" t="s">
        <v>3401</v>
      </c>
      <c r="C3029" s="43" t="s">
        <v>289</v>
      </c>
      <c r="D3029" s="43" t="s">
        <v>996</v>
      </c>
      <c r="E3029" s="43" t="s">
        <v>230</v>
      </c>
    </row>
    <row r="3030" spans="1:5" x14ac:dyDescent="0.25">
      <c r="A3030" s="41">
        <v>10502</v>
      </c>
      <c r="B3030" s="42" t="s">
        <v>3402</v>
      </c>
      <c r="C3030" s="43" t="s">
        <v>289</v>
      </c>
      <c r="D3030" s="43" t="s">
        <v>327</v>
      </c>
      <c r="E3030" s="43" t="s">
        <v>230</v>
      </c>
    </row>
    <row r="3031" spans="1:5" x14ac:dyDescent="0.25">
      <c r="A3031" s="41">
        <v>10509</v>
      </c>
      <c r="B3031" s="42" t="s">
        <v>3403</v>
      </c>
      <c r="C3031" s="43" t="s">
        <v>289</v>
      </c>
      <c r="D3031" s="43" t="s">
        <v>327</v>
      </c>
      <c r="E3031" s="43" t="s">
        <v>230</v>
      </c>
    </row>
    <row r="3032" spans="1:5" x14ac:dyDescent="0.25">
      <c r="A3032" s="41">
        <v>10515</v>
      </c>
      <c r="B3032" s="42" t="s">
        <v>3404</v>
      </c>
      <c r="C3032" s="43" t="s">
        <v>289</v>
      </c>
      <c r="D3032" s="43" t="s">
        <v>433</v>
      </c>
      <c r="E3032" s="43" t="s">
        <v>464</v>
      </c>
    </row>
    <row r="3033" spans="1:5" x14ac:dyDescent="0.25">
      <c r="A3033" s="41">
        <v>10516</v>
      </c>
      <c r="B3033" s="42" t="s">
        <v>3405</v>
      </c>
      <c r="C3033" s="43" t="s">
        <v>289</v>
      </c>
      <c r="D3033" s="43" t="s">
        <v>316</v>
      </c>
      <c r="E3033" s="43" t="s">
        <v>230</v>
      </c>
    </row>
    <row r="3034" spans="1:5" x14ac:dyDescent="0.25">
      <c r="A3034" s="41">
        <v>10518</v>
      </c>
      <c r="B3034" s="42" t="s">
        <v>3406</v>
      </c>
      <c r="C3034" s="43" t="s">
        <v>289</v>
      </c>
      <c r="D3034" s="43" t="s">
        <v>316</v>
      </c>
      <c r="E3034" s="43" t="s">
        <v>230</v>
      </c>
    </row>
    <row r="3035" spans="1:5" x14ac:dyDescent="0.25">
      <c r="A3035" s="41">
        <v>10534</v>
      </c>
      <c r="B3035" s="42" t="s">
        <v>3407</v>
      </c>
      <c r="C3035" s="43" t="s">
        <v>289</v>
      </c>
      <c r="D3035" s="43" t="s">
        <v>316</v>
      </c>
      <c r="E3035" s="43" t="s">
        <v>230</v>
      </c>
    </row>
    <row r="3036" spans="1:5" x14ac:dyDescent="0.25">
      <c r="A3036" s="41">
        <v>10537</v>
      </c>
      <c r="B3036" s="42" t="s">
        <v>3408</v>
      </c>
      <c r="C3036" s="43" t="s">
        <v>289</v>
      </c>
      <c r="D3036" s="43" t="s">
        <v>845</v>
      </c>
      <c r="E3036" s="43" t="s">
        <v>230</v>
      </c>
    </row>
    <row r="3037" spans="1:5" x14ac:dyDescent="0.25">
      <c r="A3037" s="41">
        <v>10552</v>
      </c>
      <c r="B3037" s="42" t="s">
        <v>3409</v>
      </c>
      <c r="C3037" s="43" t="s">
        <v>289</v>
      </c>
      <c r="D3037" s="43" t="s">
        <v>327</v>
      </c>
      <c r="E3037" s="43" t="s">
        <v>230</v>
      </c>
    </row>
    <row r="3038" spans="1:5" x14ac:dyDescent="0.25">
      <c r="A3038" s="41">
        <v>10556</v>
      </c>
      <c r="B3038" s="42" t="s">
        <v>3410</v>
      </c>
      <c r="C3038" s="43" t="s">
        <v>289</v>
      </c>
      <c r="D3038" s="43" t="s">
        <v>327</v>
      </c>
      <c r="E3038" s="43" t="s">
        <v>230</v>
      </c>
    </row>
    <row r="3039" spans="1:5" x14ac:dyDescent="0.25">
      <c r="A3039" s="41">
        <v>10557</v>
      </c>
      <c r="B3039" s="42" t="s">
        <v>3411</v>
      </c>
      <c r="C3039" s="43" t="s">
        <v>289</v>
      </c>
      <c r="D3039" s="43" t="s">
        <v>327</v>
      </c>
      <c r="E3039" s="43" t="s">
        <v>230</v>
      </c>
    </row>
    <row r="3040" spans="1:5" x14ac:dyDescent="0.25">
      <c r="A3040" s="41">
        <v>10564</v>
      </c>
      <c r="B3040" s="42" t="s">
        <v>3412</v>
      </c>
      <c r="C3040" s="43" t="s">
        <v>289</v>
      </c>
      <c r="D3040" s="43" t="s">
        <v>327</v>
      </c>
      <c r="E3040" s="43" t="s">
        <v>230</v>
      </c>
    </row>
    <row r="3041" spans="1:5" x14ac:dyDescent="0.25">
      <c r="A3041" s="41">
        <v>10566</v>
      </c>
      <c r="B3041" s="42" t="s">
        <v>3413</v>
      </c>
      <c r="C3041" s="43" t="s">
        <v>289</v>
      </c>
      <c r="D3041" s="43" t="s">
        <v>316</v>
      </c>
      <c r="E3041" s="43" t="s">
        <v>217</v>
      </c>
    </row>
    <row r="3042" spans="1:5" x14ac:dyDescent="0.25">
      <c r="A3042" s="41">
        <v>10567</v>
      </c>
      <c r="B3042" s="42" t="s">
        <v>3414</v>
      </c>
      <c r="C3042" s="43" t="s">
        <v>289</v>
      </c>
      <c r="D3042" s="43" t="s">
        <v>327</v>
      </c>
      <c r="E3042" s="43" t="s">
        <v>1514</v>
      </c>
    </row>
    <row r="3043" spans="1:5" x14ac:dyDescent="0.25">
      <c r="A3043" s="41">
        <v>10568</v>
      </c>
      <c r="B3043" s="42" t="s">
        <v>3415</v>
      </c>
      <c r="C3043" s="43" t="s">
        <v>289</v>
      </c>
      <c r="D3043" s="43" t="s">
        <v>327</v>
      </c>
      <c r="E3043" s="43" t="s">
        <v>230</v>
      </c>
    </row>
    <row r="3044" spans="1:5" x14ac:dyDescent="0.25">
      <c r="A3044" s="41">
        <v>10570</v>
      </c>
      <c r="B3044" s="42" t="s">
        <v>3416</v>
      </c>
      <c r="C3044" s="43" t="s">
        <v>289</v>
      </c>
      <c r="D3044" s="43" t="s">
        <v>327</v>
      </c>
      <c r="E3044" s="43" t="s">
        <v>230</v>
      </c>
    </row>
    <row r="3045" spans="1:5" x14ac:dyDescent="0.25">
      <c r="A3045" s="41">
        <v>10580</v>
      </c>
      <c r="B3045" s="42" t="s">
        <v>3417</v>
      </c>
      <c r="C3045" s="43" t="s">
        <v>289</v>
      </c>
      <c r="D3045" s="43" t="s">
        <v>1100</v>
      </c>
      <c r="E3045" s="43" t="s">
        <v>170</v>
      </c>
    </row>
    <row r="3046" spans="1:5" x14ac:dyDescent="0.25">
      <c r="A3046" s="41">
        <v>10582</v>
      </c>
      <c r="B3046" s="42" t="s">
        <v>3418</v>
      </c>
      <c r="C3046" s="43" t="s">
        <v>289</v>
      </c>
      <c r="D3046" s="43" t="s">
        <v>996</v>
      </c>
      <c r="E3046" s="43" t="s">
        <v>230</v>
      </c>
    </row>
    <row r="3047" spans="1:5" x14ac:dyDescent="0.25">
      <c r="A3047" s="41">
        <v>10583</v>
      </c>
      <c r="B3047" s="42" t="s">
        <v>3419</v>
      </c>
      <c r="C3047" s="43" t="s">
        <v>289</v>
      </c>
      <c r="D3047" s="43" t="s">
        <v>996</v>
      </c>
      <c r="E3047" s="43" t="s">
        <v>230</v>
      </c>
    </row>
    <row r="3048" spans="1:5" x14ac:dyDescent="0.25">
      <c r="A3048" s="41">
        <v>10584</v>
      </c>
      <c r="B3048" s="42" t="s">
        <v>3420</v>
      </c>
      <c r="C3048" s="43" t="s">
        <v>289</v>
      </c>
      <c r="D3048" s="43" t="s">
        <v>996</v>
      </c>
      <c r="E3048" s="43" t="s">
        <v>230</v>
      </c>
    </row>
    <row r="3049" spans="1:5" x14ac:dyDescent="0.25">
      <c r="A3049" s="41">
        <v>10585</v>
      </c>
      <c r="B3049" s="42" t="s">
        <v>3421</v>
      </c>
      <c r="C3049" s="43" t="s">
        <v>289</v>
      </c>
      <c r="D3049" s="43" t="s">
        <v>474</v>
      </c>
      <c r="E3049" s="43" t="s">
        <v>230</v>
      </c>
    </row>
    <row r="3050" spans="1:5" x14ac:dyDescent="0.25">
      <c r="A3050" s="41">
        <v>10586</v>
      </c>
      <c r="B3050" s="42" t="s">
        <v>3422</v>
      </c>
      <c r="C3050" s="43" t="s">
        <v>289</v>
      </c>
      <c r="D3050" s="43" t="s">
        <v>474</v>
      </c>
      <c r="E3050" s="43" t="s">
        <v>230</v>
      </c>
    </row>
    <row r="3051" spans="1:5" x14ac:dyDescent="0.25">
      <c r="A3051" s="41">
        <v>10589</v>
      </c>
      <c r="B3051" s="42" t="s">
        <v>3423</v>
      </c>
      <c r="C3051" s="43" t="s">
        <v>289</v>
      </c>
      <c r="D3051" s="43" t="s">
        <v>468</v>
      </c>
      <c r="E3051" s="43" t="s">
        <v>230</v>
      </c>
    </row>
    <row r="3052" spans="1:5" x14ac:dyDescent="0.25">
      <c r="A3052" s="41">
        <v>10593</v>
      </c>
      <c r="B3052" s="42" t="s">
        <v>3424</v>
      </c>
      <c r="C3052" s="43" t="s">
        <v>289</v>
      </c>
      <c r="D3052" s="43" t="s">
        <v>468</v>
      </c>
      <c r="E3052" s="43" t="s">
        <v>230</v>
      </c>
    </row>
    <row r="3053" spans="1:5" x14ac:dyDescent="0.25">
      <c r="A3053" s="41">
        <v>10595</v>
      </c>
      <c r="B3053" s="42" t="s">
        <v>3425</v>
      </c>
      <c r="C3053" s="43" t="s">
        <v>289</v>
      </c>
      <c r="D3053" s="43" t="s">
        <v>333</v>
      </c>
      <c r="E3053" s="43" t="s">
        <v>531</v>
      </c>
    </row>
    <row r="3054" spans="1:5" x14ac:dyDescent="0.25">
      <c r="A3054" s="41">
        <v>10605</v>
      </c>
      <c r="B3054" s="42" t="s">
        <v>3426</v>
      </c>
      <c r="C3054" s="43" t="s">
        <v>289</v>
      </c>
      <c r="D3054" s="43" t="s">
        <v>763</v>
      </c>
      <c r="E3054" s="43" t="s">
        <v>864</v>
      </c>
    </row>
    <row r="3055" spans="1:5" x14ac:dyDescent="0.25">
      <c r="A3055" s="41">
        <v>10606</v>
      </c>
      <c r="B3055" s="42" t="s">
        <v>3427</v>
      </c>
      <c r="C3055" s="43" t="s">
        <v>289</v>
      </c>
      <c r="D3055" s="43" t="s">
        <v>996</v>
      </c>
      <c r="E3055" s="43" t="s">
        <v>230</v>
      </c>
    </row>
    <row r="3056" spans="1:5" x14ac:dyDescent="0.25">
      <c r="A3056" s="41">
        <v>10607</v>
      </c>
      <c r="B3056" s="42" t="s">
        <v>3428</v>
      </c>
      <c r="C3056" s="43" t="s">
        <v>289</v>
      </c>
      <c r="D3056" s="43" t="s">
        <v>316</v>
      </c>
      <c r="E3056" s="43" t="s">
        <v>436</v>
      </c>
    </row>
    <row r="3057" spans="1:5" x14ac:dyDescent="0.25">
      <c r="A3057" s="41">
        <v>10610</v>
      </c>
      <c r="B3057" s="42" t="s">
        <v>3429</v>
      </c>
      <c r="C3057" s="43" t="s">
        <v>289</v>
      </c>
      <c r="D3057" s="43" t="s">
        <v>1141</v>
      </c>
      <c r="E3057" s="43" t="s">
        <v>336</v>
      </c>
    </row>
    <row r="3058" spans="1:5" x14ac:dyDescent="0.25">
      <c r="A3058" s="41">
        <v>10612</v>
      </c>
      <c r="B3058" s="42" t="s">
        <v>3430</v>
      </c>
      <c r="C3058" s="43" t="s">
        <v>289</v>
      </c>
      <c r="D3058" s="43" t="s">
        <v>327</v>
      </c>
      <c r="E3058" s="43" t="s">
        <v>864</v>
      </c>
    </row>
    <row r="3059" spans="1:5" x14ac:dyDescent="0.25">
      <c r="A3059" s="41">
        <v>10613</v>
      </c>
      <c r="B3059" s="42" t="s">
        <v>3431</v>
      </c>
      <c r="C3059" s="43" t="s">
        <v>289</v>
      </c>
      <c r="D3059" s="43" t="s">
        <v>327</v>
      </c>
      <c r="E3059" s="43" t="s">
        <v>230</v>
      </c>
    </row>
    <row r="3060" spans="1:5" x14ac:dyDescent="0.25">
      <c r="A3060" s="41">
        <v>10621</v>
      </c>
      <c r="B3060" s="42" t="s">
        <v>3432</v>
      </c>
      <c r="C3060" s="43" t="s">
        <v>289</v>
      </c>
      <c r="D3060" s="43" t="s">
        <v>333</v>
      </c>
      <c r="E3060" s="43" t="s">
        <v>230</v>
      </c>
    </row>
    <row r="3061" spans="1:5" x14ac:dyDescent="0.25">
      <c r="A3061" s="41">
        <v>10622</v>
      </c>
      <c r="B3061" s="42" t="s">
        <v>3433</v>
      </c>
      <c r="C3061" s="43" t="s">
        <v>289</v>
      </c>
      <c r="D3061" s="43" t="s">
        <v>333</v>
      </c>
      <c r="E3061" s="43" t="s">
        <v>230</v>
      </c>
    </row>
    <row r="3062" spans="1:5" x14ac:dyDescent="0.25">
      <c r="A3062" s="41">
        <v>10626</v>
      </c>
      <c r="B3062" s="42" t="s">
        <v>3434</v>
      </c>
      <c r="C3062" s="43" t="s">
        <v>289</v>
      </c>
      <c r="D3062" s="43" t="s">
        <v>333</v>
      </c>
      <c r="E3062" s="43" t="s">
        <v>230</v>
      </c>
    </row>
    <row r="3063" spans="1:5" x14ac:dyDescent="0.25">
      <c r="A3063" s="41">
        <v>10627</v>
      </c>
      <c r="B3063" s="42" t="s">
        <v>3435</v>
      </c>
      <c r="C3063" s="43" t="s">
        <v>289</v>
      </c>
      <c r="D3063" s="43" t="s">
        <v>316</v>
      </c>
      <c r="E3063" s="43" t="s">
        <v>864</v>
      </c>
    </row>
    <row r="3064" spans="1:5" x14ac:dyDescent="0.25">
      <c r="A3064" s="41">
        <v>10629</v>
      </c>
      <c r="B3064" s="42" t="s">
        <v>3436</v>
      </c>
      <c r="C3064" s="43" t="s">
        <v>289</v>
      </c>
      <c r="D3064" s="43" t="s">
        <v>316</v>
      </c>
      <c r="E3064" s="43" t="s">
        <v>864</v>
      </c>
    </row>
    <row r="3065" spans="1:5" x14ac:dyDescent="0.25">
      <c r="A3065" s="41">
        <v>10636</v>
      </c>
      <c r="B3065" s="42" t="s">
        <v>3437</v>
      </c>
      <c r="C3065" s="43" t="s">
        <v>289</v>
      </c>
      <c r="D3065" s="43" t="s">
        <v>333</v>
      </c>
      <c r="E3065" s="43" t="s">
        <v>336</v>
      </c>
    </row>
    <row r="3066" spans="1:5" x14ac:dyDescent="0.25">
      <c r="A3066" s="41">
        <v>10639</v>
      </c>
      <c r="B3066" s="42" t="s">
        <v>3438</v>
      </c>
      <c r="C3066" s="43" t="s">
        <v>289</v>
      </c>
      <c r="D3066" s="43" t="s">
        <v>433</v>
      </c>
      <c r="E3066" s="43" t="s">
        <v>230</v>
      </c>
    </row>
    <row r="3067" spans="1:5" x14ac:dyDescent="0.25">
      <c r="A3067" s="41">
        <v>10641</v>
      </c>
      <c r="B3067" s="42" t="s">
        <v>3439</v>
      </c>
      <c r="C3067" s="43" t="s">
        <v>289</v>
      </c>
      <c r="D3067" s="43" t="s">
        <v>316</v>
      </c>
      <c r="E3067" s="43" t="s">
        <v>454</v>
      </c>
    </row>
    <row r="3068" spans="1:5" x14ac:dyDescent="0.25">
      <c r="A3068" s="41">
        <v>10642</v>
      </c>
      <c r="B3068" s="42" t="s">
        <v>3440</v>
      </c>
      <c r="C3068" s="43" t="s">
        <v>289</v>
      </c>
      <c r="D3068" s="43" t="s">
        <v>327</v>
      </c>
      <c r="E3068" s="43" t="s">
        <v>230</v>
      </c>
    </row>
    <row r="3069" spans="1:5" x14ac:dyDescent="0.25">
      <c r="A3069" s="41">
        <v>10651</v>
      </c>
      <c r="B3069" s="42" t="s">
        <v>3441</v>
      </c>
      <c r="C3069" s="43" t="s">
        <v>289</v>
      </c>
      <c r="D3069" s="43" t="s">
        <v>327</v>
      </c>
      <c r="E3069" s="43" t="s">
        <v>531</v>
      </c>
    </row>
    <row r="3070" spans="1:5" x14ac:dyDescent="0.25">
      <c r="A3070" s="41">
        <v>10654</v>
      </c>
      <c r="B3070" s="42" t="s">
        <v>3442</v>
      </c>
      <c r="C3070" s="43" t="s">
        <v>289</v>
      </c>
      <c r="D3070" s="43" t="s">
        <v>333</v>
      </c>
      <c r="E3070" s="43" t="s">
        <v>464</v>
      </c>
    </row>
    <row r="3071" spans="1:5" x14ac:dyDescent="0.25">
      <c r="A3071" s="41">
        <v>10656</v>
      </c>
      <c r="B3071" s="42" t="s">
        <v>3443</v>
      </c>
      <c r="C3071" s="43" t="s">
        <v>289</v>
      </c>
      <c r="D3071" s="43" t="s">
        <v>316</v>
      </c>
      <c r="E3071" s="43" t="s">
        <v>531</v>
      </c>
    </row>
    <row r="3072" spans="1:5" x14ac:dyDescent="0.25">
      <c r="A3072" s="41">
        <v>10658</v>
      </c>
      <c r="B3072" s="42" t="s">
        <v>3444</v>
      </c>
      <c r="C3072" s="43" t="s">
        <v>289</v>
      </c>
      <c r="D3072" s="43" t="s">
        <v>327</v>
      </c>
      <c r="E3072" s="43" t="s">
        <v>454</v>
      </c>
    </row>
    <row r="3073" spans="1:5" x14ac:dyDescent="0.25">
      <c r="A3073" s="41">
        <v>10659</v>
      </c>
      <c r="B3073" s="42" t="s">
        <v>3445</v>
      </c>
      <c r="C3073" s="43" t="s">
        <v>289</v>
      </c>
      <c r="D3073" s="43" t="s">
        <v>327</v>
      </c>
      <c r="E3073" s="43" t="s">
        <v>454</v>
      </c>
    </row>
    <row r="3074" spans="1:5" x14ac:dyDescent="0.25">
      <c r="A3074" s="41">
        <v>10661</v>
      </c>
      <c r="B3074" s="42" t="s">
        <v>3446</v>
      </c>
      <c r="C3074" s="43" t="s">
        <v>289</v>
      </c>
      <c r="D3074" s="43" t="s">
        <v>996</v>
      </c>
      <c r="E3074" s="43" t="s">
        <v>230</v>
      </c>
    </row>
    <row r="3075" spans="1:5" x14ac:dyDescent="0.25">
      <c r="A3075" s="41">
        <v>10668</v>
      </c>
      <c r="B3075" s="42" t="s">
        <v>3447</v>
      </c>
      <c r="C3075" s="43" t="s">
        <v>289</v>
      </c>
      <c r="D3075" s="43" t="s">
        <v>1138</v>
      </c>
      <c r="E3075" s="43" t="s">
        <v>464</v>
      </c>
    </row>
    <row r="3076" spans="1:5" x14ac:dyDescent="0.25">
      <c r="A3076" s="41">
        <v>10676</v>
      </c>
      <c r="B3076" s="42" t="s">
        <v>3448</v>
      </c>
      <c r="C3076" s="43" t="s">
        <v>289</v>
      </c>
      <c r="D3076" s="43" t="s">
        <v>327</v>
      </c>
      <c r="E3076" s="43" t="s">
        <v>464</v>
      </c>
    </row>
    <row r="3077" spans="1:5" x14ac:dyDescent="0.25">
      <c r="A3077" s="41">
        <v>10677</v>
      </c>
      <c r="B3077" s="42" t="s">
        <v>3449</v>
      </c>
      <c r="C3077" s="43" t="s">
        <v>289</v>
      </c>
      <c r="D3077" s="43" t="s">
        <v>327</v>
      </c>
      <c r="E3077" s="43" t="s">
        <v>864</v>
      </c>
    </row>
    <row r="3078" spans="1:5" x14ac:dyDescent="0.25">
      <c r="A3078" s="41">
        <v>10679</v>
      </c>
      <c r="B3078" s="42" t="s">
        <v>3450</v>
      </c>
      <c r="C3078" s="43" t="s">
        <v>289</v>
      </c>
      <c r="D3078" s="43" t="s">
        <v>316</v>
      </c>
      <c r="E3078" s="43" t="s">
        <v>230</v>
      </c>
    </row>
    <row r="3079" spans="1:5" x14ac:dyDescent="0.25">
      <c r="A3079" s="41">
        <v>10680</v>
      </c>
      <c r="B3079" s="42" t="s">
        <v>3451</v>
      </c>
      <c r="C3079" s="43" t="s">
        <v>289</v>
      </c>
      <c r="D3079" s="43" t="s">
        <v>316</v>
      </c>
      <c r="E3079" s="43" t="s">
        <v>230</v>
      </c>
    </row>
    <row r="3080" spans="1:5" x14ac:dyDescent="0.25">
      <c r="A3080" s="41">
        <v>10685</v>
      </c>
      <c r="B3080" s="42" t="s">
        <v>3452</v>
      </c>
      <c r="C3080" s="43" t="s">
        <v>289</v>
      </c>
      <c r="D3080" s="43" t="s">
        <v>333</v>
      </c>
      <c r="E3080" s="43" t="s">
        <v>230</v>
      </c>
    </row>
    <row r="3081" spans="1:5" x14ac:dyDescent="0.25">
      <c r="A3081" s="41">
        <v>10686</v>
      </c>
      <c r="B3081" s="42" t="s">
        <v>3453</v>
      </c>
      <c r="C3081" s="43" t="s">
        <v>289</v>
      </c>
      <c r="D3081" s="43" t="s">
        <v>290</v>
      </c>
      <c r="E3081" s="43" t="s">
        <v>230</v>
      </c>
    </row>
    <row r="3082" spans="1:5" x14ac:dyDescent="0.25">
      <c r="A3082" s="41">
        <v>10687</v>
      </c>
      <c r="B3082" s="42" t="s">
        <v>3454</v>
      </c>
      <c r="C3082" s="43" t="s">
        <v>289</v>
      </c>
      <c r="D3082" s="43" t="s">
        <v>290</v>
      </c>
      <c r="E3082" s="43" t="s">
        <v>230</v>
      </c>
    </row>
    <row r="3083" spans="1:5" x14ac:dyDescent="0.25">
      <c r="A3083" s="41">
        <v>10688</v>
      </c>
      <c r="B3083" s="42" t="s">
        <v>3455</v>
      </c>
      <c r="C3083" s="43" t="s">
        <v>289</v>
      </c>
      <c r="D3083" s="43" t="s">
        <v>327</v>
      </c>
      <c r="E3083" s="43" t="s">
        <v>230</v>
      </c>
    </row>
    <row r="3084" spans="1:5" x14ac:dyDescent="0.25">
      <c r="A3084" s="41">
        <v>10692</v>
      </c>
      <c r="B3084" s="42" t="s">
        <v>3456</v>
      </c>
      <c r="C3084" s="43" t="s">
        <v>289</v>
      </c>
      <c r="D3084" s="43" t="s">
        <v>316</v>
      </c>
      <c r="E3084" s="43" t="s">
        <v>230</v>
      </c>
    </row>
    <row r="3085" spans="1:5" x14ac:dyDescent="0.25">
      <c r="A3085" s="41">
        <v>10697</v>
      </c>
      <c r="B3085" s="42" t="s">
        <v>3457</v>
      </c>
      <c r="C3085" s="43" t="s">
        <v>289</v>
      </c>
      <c r="D3085" s="43" t="s">
        <v>316</v>
      </c>
      <c r="E3085" s="43" t="s">
        <v>230</v>
      </c>
    </row>
    <row r="3086" spans="1:5" x14ac:dyDescent="0.25">
      <c r="A3086" s="41">
        <v>10706</v>
      </c>
      <c r="B3086" s="42" t="s">
        <v>3458</v>
      </c>
      <c r="C3086" s="43" t="s">
        <v>289</v>
      </c>
      <c r="D3086" s="43" t="s">
        <v>316</v>
      </c>
      <c r="E3086" s="43" t="s">
        <v>531</v>
      </c>
    </row>
    <row r="3087" spans="1:5" x14ac:dyDescent="0.25">
      <c r="A3087" s="41">
        <v>10715</v>
      </c>
      <c r="B3087" s="42" t="s">
        <v>3459</v>
      </c>
      <c r="C3087" s="43" t="s">
        <v>289</v>
      </c>
      <c r="D3087" s="43" t="s">
        <v>327</v>
      </c>
      <c r="E3087" s="43" t="s">
        <v>230</v>
      </c>
    </row>
    <row r="3088" spans="1:5" x14ac:dyDescent="0.25">
      <c r="A3088" s="41">
        <v>10720</v>
      </c>
      <c r="B3088" s="42" t="s">
        <v>3460</v>
      </c>
      <c r="C3088" s="43" t="s">
        <v>289</v>
      </c>
      <c r="D3088" s="43" t="s">
        <v>996</v>
      </c>
      <c r="E3088" s="43" t="s">
        <v>230</v>
      </c>
    </row>
    <row r="3089" spans="1:5" x14ac:dyDescent="0.25">
      <c r="A3089" s="41">
        <v>10723</v>
      </c>
      <c r="B3089" s="42" t="s">
        <v>3461</v>
      </c>
      <c r="C3089" s="43" t="s">
        <v>289</v>
      </c>
      <c r="D3089" s="43" t="s">
        <v>996</v>
      </c>
      <c r="E3089" s="43" t="s">
        <v>217</v>
      </c>
    </row>
    <row r="3090" spans="1:5" x14ac:dyDescent="0.25">
      <c r="A3090" s="41">
        <v>10725</v>
      </c>
      <c r="B3090" s="42" t="s">
        <v>3462</v>
      </c>
      <c r="C3090" s="43" t="s">
        <v>289</v>
      </c>
      <c r="D3090" s="43" t="s">
        <v>327</v>
      </c>
      <c r="E3090" s="43" t="s">
        <v>454</v>
      </c>
    </row>
    <row r="3091" spans="1:5" x14ac:dyDescent="0.25">
      <c r="A3091" s="41">
        <v>10727</v>
      </c>
      <c r="B3091" s="42" t="s">
        <v>3463</v>
      </c>
      <c r="C3091" s="43" t="s">
        <v>289</v>
      </c>
      <c r="D3091" s="43" t="s">
        <v>523</v>
      </c>
      <c r="E3091" s="43" t="s">
        <v>464</v>
      </c>
    </row>
    <row r="3092" spans="1:5" x14ac:dyDescent="0.25">
      <c r="A3092" s="41">
        <v>10728</v>
      </c>
      <c r="B3092" s="42" t="s">
        <v>3464</v>
      </c>
      <c r="C3092" s="43" t="s">
        <v>289</v>
      </c>
      <c r="D3092" s="43" t="s">
        <v>327</v>
      </c>
      <c r="E3092" s="43" t="s">
        <v>531</v>
      </c>
    </row>
    <row r="3093" spans="1:5" x14ac:dyDescent="0.25">
      <c r="A3093" s="41">
        <v>10742</v>
      </c>
      <c r="B3093" s="42" t="s">
        <v>3465</v>
      </c>
      <c r="C3093" s="43" t="s">
        <v>289</v>
      </c>
      <c r="D3093" s="43" t="s">
        <v>1088</v>
      </c>
      <c r="E3093" s="43" t="s">
        <v>170</v>
      </c>
    </row>
    <row r="3094" spans="1:5" x14ac:dyDescent="0.25">
      <c r="A3094" s="41">
        <v>10755</v>
      </c>
      <c r="B3094" s="42" t="s">
        <v>3466</v>
      </c>
      <c r="C3094" s="43" t="s">
        <v>289</v>
      </c>
      <c r="D3094" s="43" t="s">
        <v>316</v>
      </c>
      <c r="E3094" s="43" t="s">
        <v>230</v>
      </c>
    </row>
    <row r="3095" spans="1:5" x14ac:dyDescent="0.25">
      <c r="A3095" s="41">
        <v>10756</v>
      </c>
      <c r="B3095" s="42" t="s">
        <v>3467</v>
      </c>
      <c r="C3095" s="43" t="s">
        <v>289</v>
      </c>
      <c r="D3095" s="43" t="s">
        <v>327</v>
      </c>
      <c r="E3095" s="43" t="s">
        <v>230</v>
      </c>
    </row>
    <row r="3096" spans="1:5" x14ac:dyDescent="0.25">
      <c r="A3096" s="41">
        <v>10761</v>
      </c>
      <c r="B3096" s="42" t="s">
        <v>3468</v>
      </c>
      <c r="C3096" s="43" t="s">
        <v>289</v>
      </c>
      <c r="D3096" s="43" t="s">
        <v>474</v>
      </c>
      <c r="E3096" s="43" t="s">
        <v>230</v>
      </c>
    </row>
    <row r="3097" spans="1:5" x14ac:dyDescent="0.25">
      <c r="A3097" s="41">
        <v>10775</v>
      </c>
      <c r="B3097" s="42" t="s">
        <v>3469</v>
      </c>
      <c r="C3097" s="43" t="s">
        <v>289</v>
      </c>
      <c r="D3097" s="43" t="s">
        <v>996</v>
      </c>
      <c r="E3097" s="43" t="s">
        <v>336</v>
      </c>
    </row>
    <row r="3098" spans="1:5" x14ac:dyDescent="0.25">
      <c r="A3098" s="41">
        <v>10776</v>
      </c>
      <c r="B3098" s="42" t="s">
        <v>3470</v>
      </c>
      <c r="C3098" s="43" t="s">
        <v>289</v>
      </c>
      <c r="D3098" s="43" t="s">
        <v>941</v>
      </c>
      <c r="E3098" s="43" t="s">
        <v>454</v>
      </c>
    </row>
    <row r="3099" spans="1:5" x14ac:dyDescent="0.25">
      <c r="A3099" s="41">
        <v>10777</v>
      </c>
      <c r="B3099" s="42" t="s">
        <v>3471</v>
      </c>
      <c r="C3099" s="43" t="s">
        <v>289</v>
      </c>
      <c r="D3099" s="43" t="s">
        <v>941</v>
      </c>
      <c r="E3099" s="43" t="s">
        <v>230</v>
      </c>
    </row>
    <row r="3100" spans="1:5" x14ac:dyDescent="0.25">
      <c r="A3100" s="41">
        <v>10779</v>
      </c>
      <c r="B3100" s="42" t="s">
        <v>3472</v>
      </c>
      <c r="C3100" s="43" t="s">
        <v>289</v>
      </c>
      <c r="D3100" s="43" t="s">
        <v>474</v>
      </c>
      <c r="E3100" s="43" t="s">
        <v>230</v>
      </c>
    </row>
    <row r="3101" spans="1:5" x14ac:dyDescent="0.25">
      <c r="A3101" s="41">
        <v>10780</v>
      </c>
      <c r="B3101" s="42" t="s">
        <v>3473</v>
      </c>
      <c r="C3101" s="43" t="s">
        <v>289</v>
      </c>
      <c r="D3101" s="43" t="s">
        <v>316</v>
      </c>
      <c r="E3101" s="43" t="s">
        <v>864</v>
      </c>
    </row>
    <row r="3102" spans="1:5" x14ac:dyDescent="0.25">
      <c r="A3102" s="41">
        <v>10782</v>
      </c>
      <c r="B3102" s="42" t="s">
        <v>2865</v>
      </c>
      <c r="C3102" s="43" t="s">
        <v>289</v>
      </c>
      <c r="D3102" s="43" t="s">
        <v>327</v>
      </c>
      <c r="E3102" s="43" t="s">
        <v>336</v>
      </c>
    </row>
    <row r="3103" spans="1:5" x14ac:dyDescent="0.25">
      <c r="A3103" s="41">
        <v>10783</v>
      </c>
      <c r="B3103" s="42" t="s">
        <v>3474</v>
      </c>
      <c r="C3103" s="43" t="s">
        <v>289</v>
      </c>
      <c r="D3103" s="43" t="s">
        <v>996</v>
      </c>
      <c r="E3103" s="43" t="s">
        <v>336</v>
      </c>
    </row>
    <row r="3104" spans="1:5" x14ac:dyDescent="0.25">
      <c r="A3104" s="41">
        <v>10784</v>
      </c>
      <c r="B3104" s="42" t="s">
        <v>3475</v>
      </c>
      <c r="C3104" s="43" t="s">
        <v>289</v>
      </c>
      <c r="D3104" s="43" t="s">
        <v>996</v>
      </c>
      <c r="E3104" s="43" t="s">
        <v>230</v>
      </c>
    </row>
    <row r="3105" spans="1:5" x14ac:dyDescent="0.25">
      <c r="A3105" s="41">
        <v>10785</v>
      </c>
      <c r="B3105" s="42" t="s">
        <v>3476</v>
      </c>
      <c r="C3105" s="43" t="s">
        <v>289</v>
      </c>
      <c r="D3105" s="43" t="s">
        <v>996</v>
      </c>
      <c r="E3105" s="43" t="s">
        <v>230</v>
      </c>
    </row>
    <row r="3106" spans="1:5" x14ac:dyDescent="0.25">
      <c r="A3106" s="41">
        <v>10786</v>
      </c>
      <c r="B3106" s="42" t="s">
        <v>3477</v>
      </c>
      <c r="C3106" s="43" t="s">
        <v>289</v>
      </c>
      <c r="D3106" s="43" t="s">
        <v>996</v>
      </c>
      <c r="E3106" s="43" t="s">
        <v>230</v>
      </c>
    </row>
    <row r="3107" spans="1:5" x14ac:dyDescent="0.25">
      <c r="A3107" s="41">
        <v>10788</v>
      </c>
      <c r="B3107" s="42" t="s">
        <v>3478</v>
      </c>
      <c r="C3107" s="43" t="s">
        <v>289</v>
      </c>
      <c r="D3107" s="43" t="s">
        <v>996</v>
      </c>
      <c r="E3107" s="43" t="s">
        <v>230</v>
      </c>
    </row>
    <row r="3108" spans="1:5" x14ac:dyDescent="0.25">
      <c r="A3108" s="41">
        <v>10789</v>
      </c>
      <c r="B3108" s="42" t="s">
        <v>3479</v>
      </c>
      <c r="C3108" s="43" t="s">
        <v>289</v>
      </c>
      <c r="D3108" s="43" t="s">
        <v>996</v>
      </c>
      <c r="E3108" s="43" t="s">
        <v>454</v>
      </c>
    </row>
    <row r="3109" spans="1:5" x14ac:dyDescent="0.25">
      <c r="A3109" s="41">
        <v>10794</v>
      </c>
      <c r="B3109" s="42" t="s">
        <v>3480</v>
      </c>
      <c r="C3109" s="43" t="s">
        <v>289</v>
      </c>
      <c r="D3109" s="43" t="s">
        <v>996</v>
      </c>
      <c r="E3109" s="43" t="s">
        <v>230</v>
      </c>
    </row>
    <row r="3110" spans="1:5" x14ac:dyDescent="0.25">
      <c r="A3110" s="41">
        <v>10795</v>
      </c>
      <c r="B3110" s="42" t="s">
        <v>3481</v>
      </c>
      <c r="C3110" s="43" t="s">
        <v>289</v>
      </c>
      <c r="D3110" s="43" t="s">
        <v>996</v>
      </c>
      <c r="E3110" s="43" t="s">
        <v>230</v>
      </c>
    </row>
    <row r="3111" spans="1:5" x14ac:dyDescent="0.25">
      <c r="A3111" s="41">
        <v>10796</v>
      </c>
      <c r="B3111" s="42" t="s">
        <v>3482</v>
      </c>
      <c r="C3111" s="43" t="s">
        <v>289</v>
      </c>
      <c r="D3111" s="43" t="s">
        <v>996</v>
      </c>
      <c r="E3111" s="43" t="s">
        <v>230</v>
      </c>
    </row>
    <row r="3112" spans="1:5" x14ac:dyDescent="0.25">
      <c r="A3112" s="41">
        <v>10797</v>
      </c>
      <c r="B3112" s="42" t="s">
        <v>3483</v>
      </c>
      <c r="C3112" s="43" t="s">
        <v>289</v>
      </c>
      <c r="D3112" s="43" t="s">
        <v>996</v>
      </c>
      <c r="E3112" s="43" t="s">
        <v>230</v>
      </c>
    </row>
    <row r="3113" spans="1:5" x14ac:dyDescent="0.25">
      <c r="A3113" s="41">
        <v>10809</v>
      </c>
      <c r="B3113" s="42" t="s">
        <v>3484</v>
      </c>
      <c r="C3113" s="43" t="s">
        <v>289</v>
      </c>
      <c r="D3113" s="43" t="s">
        <v>327</v>
      </c>
      <c r="E3113" s="43" t="s">
        <v>230</v>
      </c>
    </row>
    <row r="3114" spans="1:5" x14ac:dyDescent="0.25">
      <c r="A3114" s="41">
        <v>10810</v>
      </c>
      <c r="B3114" s="42" t="s">
        <v>3485</v>
      </c>
      <c r="C3114" s="43" t="s">
        <v>289</v>
      </c>
      <c r="D3114" s="43" t="s">
        <v>327</v>
      </c>
      <c r="E3114" s="43" t="s">
        <v>230</v>
      </c>
    </row>
    <row r="3115" spans="1:5" x14ac:dyDescent="0.25">
      <c r="A3115" s="41">
        <v>10814</v>
      </c>
      <c r="B3115" s="42" t="s">
        <v>3486</v>
      </c>
      <c r="C3115" s="43" t="s">
        <v>289</v>
      </c>
      <c r="D3115" s="43" t="s">
        <v>327</v>
      </c>
      <c r="E3115" s="43" t="s">
        <v>230</v>
      </c>
    </row>
    <row r="3116" spans="1:5" x14ac:dyDescent="0.25">
      <c r="A3116" s="41">
        <v>10817</v>
      </c>
      <c r="B3116" s="42" t="s">
        <v>3487</v>
      </c>
      <c r="C3116" s="43" t="s">
        <v>289</v>
      </c>
      <c r="D3116" s="43" t="s">
        <v>327</v>
      </c>
      <c r="E3116" s="43" t="s">
        <v>230</v>
      </c>
    </row>
    <row r="3117" spans="1:5" x14ac:dyDescent="0.25">
      <c r="A3117" s="41">
        <v>10821</v>
      </c>
      <c r="B3117" s="42" t="s">
        <v>3488</v>
      </c>
      <c r="C3117" s="43" t="s">
        <v>289</v>
      </c>
      <c r="D3117" s="43" t="s">
        <v>3489</v>
      </c>
      <c r="E3117" s="43" t="s">
        <v>464</v>
      </c>
    </row>
    <row r="3118" spans="1:5" x14ac:dyDescent="0.25">
      <c r="A3118" s="41">
        <v>10833</v>
      </c>
      <c r="B3118" s="42" t="s">
        <v>3490</v>
      </c>
      <c r="C3118" s="43" t="s">
        <v>289</v>
      </c>
      <c r="D3118" s="43" t="s">
        <v>327</v>
      </c>
      <c r="E3118" s="43" t="s">
        <v>464</v>
      </c>
    </row>
    <row r="3119" spans="1:5" x14ac:dyDescent="0.25">
      <c r="A3119" s="41">
        <v>10834</v>
      </c>
      <c r="B3119" s="42" t="s">
        <v>3491</v>
      </c>
      <c r="C3119" s="43" t="s">
        <v>289</v>
      </c>
      <c r="D3119" s="43" t="s">
        <v>327</v>
      </c>
      <c r="E3119" s="43" t="s">
        <v>464</v>
      </c>
    </row>
    <row r="3120" spans="1:5" x14ac:dyDescent="0.25">
      <c r="A3120" s="41">
        <v>10835</v>
      </c>
      <c r="B3120" s="42" t="s">
        <v>3492</v>
      </c>
      <c r="C3120" s="43" t="s">
        <v>289</v>
      </c>
      <c r="D3120" s="43" t="s">
        <v>327</v>
      </c>
      <c r="E3120" s="43" t="s">
        <v>230</v>
      </c>
    </row>
    <row r="3121" spans="1:5" x14ac:dyDescent="0.25">
      <c r="A3121" s="41">
        <v>10837</v>
      </c>
      <c r="B3121" s="42" t="s">
        <v>3493</v>
      </c>
      <c r="C3121" s="43" t="s">
        <v>289</v>
      </c>
      <c r="D3121" s="43" t="s">
        <v>316</v>
      </c>
      <c r="E3121" s="43" t="s">
        <v>230</v>
      </c>
    </row>
    <row r="3122" spans="1:5" x14ac:dyDescent="0.25">
      <c r="A3122" s="41">
        <v>10838</v>
      </c>
      <c r="B3122" s="42" t="s">
        <v>3494</v>
      </c>
      <c r="C3122" s="43" t="s">
        <v>289</v>
      </c>
      <c r="D3122" s="43" t="s">
        <v>375</v>
      </c>
      <c r="E3122" s="43" t="s">
        <v>336</v>
      </c>
    </row>
    <row r="3123" spans="1:5" x14ac:dyDescent="0.25">
      <c r="A3123" s="41">
        <v>10839</v>
      </c>
      <c r="B3123" s="42" t="s">
        <v>3495</v>
      </c>
      <c r="C3123" s="43" t="s">
        <v>289</v>
      </c>
      <c r="D3123" s="43" t="s">
        <v>327</v>
      </c>
      <c r="E3123" s="43" t="s">
        <v>230</v>
      </c>
    </row>
    <row r="3124" spans="1:5" x14ac:dyDescent="0.25">
      <c r="A3124" s="41">
        <v>10840</v>
      </c>
      <c r="B3124" s="42" t="s">
        <v>3496</v>
      </c>
      <c r="C3124" s="43" t="s">
        <v>289</v>
      </c>
      <c r="D3124" s="43" t="s">
        <v>996</v>
      </c>
      <c r="E3124" s="43" t="s">
        <v>230</v>
      </c>
    </row>
    <row r="3125" spans="1:5" x14ac:dyDescent="0.25">
      <c r="A3125" s="41">
        <v>10841</v>
      </c>
      <c r="B3125" s="42" t="s">
        <v>3497</v>
      </c>
      <c r="C3125" s="43" t="s">
        <v>289</v>
      </c>
      <c r="D3125" s="43" t="s">
        <v>795</v>
      </c>
      <c r="E3125" s="43" t="s">
        <v>464</v>
      </c>
    </row>
    <row r="3126" spans="1:5" x14ac:dyDescent="0.25">
      <c r="A3126" s="41">
        <v>10842</v>
      </c>
      <c r="B3126" s="42" t="s">
        <v>3498</v>
      </c>
      <c r="C3126" s="43" t="s">
        <v>289</v>
      </c>
      <c r="D3126" s="43" t="s">
        <v>694</v>
      </c>
      <c r="E3126" s="43" t="s">
        <v>464</v>
      </c>
    </row>
    <row r="3127" spans="1:5" x14ac:dyDescent="0.25">
      <c r="A3127" s="41">
        <v>10846</v>
      </c>
      <c r="B3127" s="42" t="s">
        <v>3499</v>
      </c>
      <c r="C3127" s="43" t="s">
        <v>289</v>
      </c>
      <c r="D3127" s="43" t="s">
        <v>996</v>
      </c>
      <c r="E3127" s="43" t="s">
        <v>230</v>
      </c>
    </row>
    <row r="3128" spans="1:5" x14ac:dyDescent="0.25">
      <c r="A3128" s="41">
        <v>10851</v>
      </c>
      <c r="B3128" s="42" t="s">
        <v>3500</v>
      </c>
      <c r="C3128" s="43" t="s">
        <v>289</v>
      </c>
      <c r="D3128" s="43" t="s">
        <v>996</v>
      </c>
      <c r="E3128" s="43" t="s">
        <v>230</v>
      </c>
    </row>
    <row r="3129" spans="1:5" x14ac:dyDescent="0.25">
      <c r="A3129" s="41">
        <v>10853</v>
      </c>
      <c r="B3129" s="42" t="s">
        <v>3501</v>
      </c>
      <c r="C3129" s="43" t="s">
        <v>289</v>
      </c>
      <c r="D3129" s="43" t="s">
        <v>333</v>
      </c>
      <c r="E3129" s="43" t="s">
        <v>230</v>
      </c>
    </row>
    <row r="3130" spans="1:5" x14ac:dyDescent="0.25">
      <c r="A3130" s="41">
        <v>10854</v>
      </c>
      <c r="B3130" s="42" t="s">
        <v>3502</v>
      </c>
      <c r="C3130" s="43" t="s">
        <v>289</v>
      </c>
      <c r="D3130" s="43" t="s">
        <v>996</v>
      </c>
      <c r="E3130" s="43" t="s">
        <v>230</v>
      </c>
    </row>
    <row r="3131" spans="1:5" x14ac:dyDescent="0.25">
      <c r="A3131" s="41">
        <v>10857</v>
      </c>
      <c r="B3131" s="42" t="s">
        <v>3503</v>
      </c>
      <c r="C3131" s="43" t="s">
        <v>289</v>
      </c>
      <c r="D3131" s="43" t="s">
        <v>996</v>
      </c>
      <c r="E3131" s="43" t="s">
        <v>354</v>
      </c>
    </row>
    <row r="3132" spans="1:5" x14ac:dyDescent="0.25">
      <c r="A3132" s="41">
        <v>10860</v>
      </c>
      <c r="B3132" s="42" t="s">
        <v>3504</v>
      </c>
      <c r="C3132" s="43" t="s">
        <v>289</v>
      </c>
      <c r="D3132" s="43" t="s">
        <v>996</v>
      </c>
      <c r="E3132" s="43" t="s">
        <v>230</v>
      </c>
    </row>
    <row r="3133" spans="1:5" x14ac:dyDescent="0.25">
      <c r="A3133" s="41">
        <v>10871</v>
      </c>
      <c r="B3133" s="42" t="s">
        <v>3505</v>
      </c>
      <c r="C3133" s="43" t="s">
        <v>289</v>
      </c>
      <c r="D3133" s="43" t="s">
        <v>375</v>
      </c>
      <c r="E3133" s="43" t="s">
        <v>336</v>
      </c>
    </row>
    <row r="3134" spans="1:5" x14ac:dyDescent="0.25">
      <c r="A3134" s="41">
        <v>10874</v>
      </c>
      <c r="B3134" s="42" t="s">
        <v>3506</v>
      </c>
      <c r="C3134" s="43" t="s">
        <v>289</v>
      </c>
      <c r="D3134" s="43" t="s">
        <v>327</v>
      </c>
      <c r="E3134" s="43" t="s">
        <v>230</v>
      </c>
    </row>
    <row r="3135" spans="1:5" x14ac:dyDescent="0.25">
      <c r="A3135" s="41">
        <v>10875</v>
      </c>
      <c r="B3135" s="42" t="s">
        <v>3507</v>
      </c>
      <c r="C3135" s="43" t="s">
        <v>289</v>
      </c>
      <c r="D3135" s="43" t="s">
        <v>314</v>
      </c>
      <c r="E3135" s="43" t="s">
        <v>230</v>
      </c>
    </row>
    <row r="3136" spans="1:5" x14ac:dyDescent="0.25">
      <c r="A3136" s="41">
        <v>10885</v>
      </c>
      <c r="B3136" s="42" t="s">
        <v>3508</v>
      </c>
      <c r="C3136" s="43" t="s">
        <v>289</v>
      </c>
      <c r="D3136" s="43" t="s">
        <v>316</v>
      </c>
      <c r="E3136" s="43" t="s">
        <v>230</v>
      </c>
    </row>
    <row r="3137" spans="1:5" x14ac:dyDescent="0.25">
      <c r="A3137" s="41">
        <v>10914</v>
      </c>
      <c r="B3137" s="42" t="s">
        <v>3509</v>
      </c>
      <c r="C3137" s="43" t="s">
        <v>289</v>
      </c>
      <c r="D3137" s="43" t="s">
        <v>316</v>
      </c>
      <c r="E3137" s="43" t="s">
        <v>464</v>
      </c>
    </row>
    <row r="3138" spans="1:5" x14ac:dyDescent="0.25">
      <c r="A3138" s="41">
        <v>10917</v>
      </c>
      <c r="B3138" s="42" t="s">
        <v>3510</v>
      </c>
      <c r="C3138" s="43" t="s">
        <v>289</v>
      </c>
      <c r="D3138" s="43" t="s">
        <v>375</v>
      </c>
      <c r="E3138" s="43" t="s">
        <v>464</v>
      </c>
    </row>
    <row r="3139" spans="1:5" x14ac:dyDescent="0.25">
      <c r="A3139" s="41">
        <v>10920</v>
      </c>
      <c r="B3139" s="42" t="s">
        <v>3511</v>
      </c>
      <c r="C3139" s="43" t="s">
        <v>289</v>
      </c>
      <c r="D3139" s="43" t="s">
        <v>996</v>
      </c>
      <c r="E3139" s="43" t="s">
        <v>336</v>
      </c>
    </row>
    <row r="3140" spans="1:5" x14ac:dyDescent="0.25">
      <c r="A3140" s="41">
        <v>10932</v>
      </c>
      <c r="B3140" s="42" t="s">
        <v>3512</v>
      </c>
      <c r="C3140" s="43" t="s">
        <v>289</v>
      </c>
      <c r="D3140" s="43" t="s">
        <v>316</v>
      </c>
      <c r="E3140" s="43" t="s">
        <v>464</v>
      </c>
    </row>
    <row r="3141" spans="1:5" x14ac:dyDescent="0.25">
      <c r="A3141" s="41">
        <v>10933</v>
      </c>
      <c r="B3141" s="42" t="s">
        <v>3513</v>
      </c>
      <c r="C3141" s="43" t="s">
        <v>289</v>
      </c>
      <c r="D3141" s="43" t="s">
        <v>316</v>
      </c>
      <c r="E3141" s="43" t="s">
        <v>464</v>
      </c>
    </row>
    <row r="3142" spans="1:5" x14ac:dyDescent="0.25">
      <c r="A3142" s="41">
        <v>10934</v>
      </c>
      <c r="B3142" s="42" t="s">
        <v>3514</v>
      </c>
      <c r="C3142" s="43" t="s">
        <v>289</v>
      </c>
      <c r="D3142" s="43" t="s">
        <v>316</v>
      </c>
      <c r="E3142" s="43" t="s">
        <v>464</v>
      </c>
    </row>
    <row r="3143" spans="1:5" x14ac:dyDescent="0.25">
      <c r="A3143" s="41">
        <v>10935</v>
      </c>
      <c r="B3143" s="42" t="s">
        <v>3515</v>
      </c>
      <c r="C3143" s="43" t="s">
        <v>289</v>
      </c>
      <c r="D3143" s="43" t="s">
        <v>440</v>
      </c>
      <c r="E3143" s="43" t="s">
        <v>464</v>
      </c>
    </row>
    <row r="3144" spans="1:5" x14ac:dyDescent="0.25">
      <c r="A3144" s="41">
        <v>10936</v>
      </c>
      <c r="B3144" s="42" t="s">
        <v>3516</v>
      </c>
      <c r="C3144" s="43" t="s">
        <v>289</v>
      </c>
      <c r="D3144" s="43" t="s">
        <v>316</v>
      </c>
      <c r="E3144" s="43" t="s">
        <v>464</v>
      </c>
    </row>
    <row r="3145" spans="1:5" x14ac:dyDescent="0.25">
      <c r="A3145" s="41">
        <v>10939</v>
      </c>
      <c r="B3145" s="42" t="s">
        <v>3517</v>
      </c>
      <c r="C3145" s="43" t="s">
        <v>289</v>
      </c>
      <c r="D3145" s="43" t="s">
        <v>795</v>
      </c>
      <c r="E3145" s="43" t="s">
        <v>230</v>
      </c>
    </row>
    <row r="3146" spans="1:5" x14ac:dyDescent="0.25">
      <c r="A3146" s="41">
        <v>10943</v>
      </c>
      <c r="B3146" s="42" t="s">
        <v>3518</v>
      </c>
      <c r="C3146" s="43" t="s">
        <v>289</v>
      </c>
      <c r="D3146" s="43" t="s">
        <v>327</v>
      </c>
      <c r="E3146" s="43" t="s">
        <v>230</v>
      </c>
    </row>
    <row r="3147" spans="1:5" x14ac:dyDescent="0.25">
      <c r="A3147" s="41">
        <v>10948</v>
      </c>
      <c r="B3147" s="42" t="s">
        <v>3519</v>
      </c>
      <c r="C3147" s="43" t="s">
        <v>289</v>
      </c>
      <c r="D3147" s="43" t="s">
        <v>327</v>
      </c>
      <c r="E3147" s="43" t="s">
        <v>864</v>
      </c>
    </row>
    <row r="3148" spans="1:5" x14ac:dyDescent="0.25">
      <c r="A3148" s="41">
        <v>10951</v>
      </c>
      <c r="B3148" s="42" t="s">
        <v>3520</v>
      </c>
      <c r="C3148" s="43" t="s">
        <v>289</v>
      </c>
      <c r="D3148" s="43" t="s">
        <v>327</v>
      </c>
      <c r="E3148" s="43" t="s">
        <v>864</v>
      </c>
    </row>
    <row r="3149" spans="1:5" x14ac:dyDescent="0.25">
      <c r="A3149" s="41">
        <v>10959</v>
      </c>
      <c r="B3149" s="42" t="s">
        <v>3521</v>
      </c>
      <c r="C3149" s="43" t="s">
        <v>289</v>
      </c>
      <c r="D3149" s="43" t="s">
        <v>435</v>
      </c>
      <c r="E3149" s="43" t="s">
        <v>230</v>
      </c>
    </row>
    <row r="3150" spans="1:5" x14ac:dyDescent="0.25">
      <c r="A3150" s="41">
        <v>10971</v>
      </c>
      <c r="B3150" s="42" t="s">
        <v>3522</v>
      </c>
      <c r="C3150" s="43" t="s">
        <v>289</v>
      </c>
      <c r="D3150" s="43" t="s">
        <v>438</v>
      </c>
      <c r="E3150" s="43" t="s">
        <v>464</v>
      </c>
    </row>
    <row r="3151" spans="1:5" x14ac:dyDescent="0.25">
      <c r="A3151" s="41">
        <v>10976</v>
      </c>
      <c r="B3151" s="42" t="s">
        <v>3523</v>
      </c>
      <c r="C3151" s="43" t="s">
        <v>289</v>
      </c>
      <c r="D3151" s="43" t="s">
        <v>410</v>
      </c>
      <c r="E3151" s="43" t="s">
        <v>230</v>
      </c>
    </row>
    <row r="3152" spans="1:5" x14ac:dyDescent="0.25">
      <c r="A3152" s="41">
        <v>10979</v>
      </c>
      <c r="B3152" s="42" t="s">
        <v>3524</v>
      </c>
      <c r="C3152" s="43" t="s">
        <v>289</v>
      </c>
      <c r="D3152" s="43" t="s">
        <v>316</v>
      </c>
      <c r="E3152" s="43" t="s">
        <v>531</v>
      </c>
    </row>
    <row r="3153" spans="1:5" x14ac:dyDescent="0.25">
      <c r="A3153" s="41">
        <v>10996</v>
      </c>
      <c r="B3153" s="42" t="s">
        <v>3525</v>
      </c>
      <c r="C3153" s="43" t="s">
        <v>289</v>
      </c>
      <c r="D3153" s="43" t="s">
        <v>314</v>
      </c>
      <c r="E3153" s="43" t="s">
        <v>454</v>
      </c>
    </row>
    <row r="3154" spans="1:5" x14ac:dyDescent="0.25">
      <c r="A3154" s="41">
        <v>10999</v>
      </c>
      <c r="B3154" s="42" t="s">
        <v>3526</v>
      </c>
      <c r="C3154" s="43" t="s">
        <v>289</v>
      </c>
      <c r="D3154" s="43" t="s">
        <v>499</v>
      </c>
      <c r="E3154" s="43" t="s">
        <v>472</v>
      </c>
    </row>
    <row r="3155" spans="1:5" x14ac:dyDescent="0.25">
      <c r="A3155" s="41">
        <v>11001</v>
      </c>
      <c r="B3155" s="42" t="s">
        <v>3527</v>
      </c>
      <c r="C3155" s="43" t="s">
        <v>289</v>
      </c>
      <c r="D3155" s="43" t="s">
        <v>327</v>
      </c>
      <c r="E3155" s="43" t="s">
        <v>230</v>
      </c>
    </row>
    <row r="3156" spans="1:5" x14ac:dyDescent="0.25">
      <c r="A3156" s="41">
        <v>11002</v>
      </c>
      <c r="B3156" s="42" t="s">
        <v>3528</v>
      </c>
      <c r="C3156" s="43" t="s">
        <v>289</v>
      </c>
      <c r="D3156" s="43" t="s">
        <v>327</v>
      </c>
      <c r="E3156" s="43" t="s">
        <v>230</v>
      </c>
    </row>
    <row r="3157" spans="1:5" x14ac:dyDescent="0.25">
      <c r="A3157" s="41">
        <v>11008</v>
      </c>
      <c r="B3157" s="42" t="s">
        <v>3529</v>
      </c>
      <c r="C3157" s="43" t="s">
        <v>289</v>
      </c>
      <c r="D3157" s="43" t="s">
        <v>996</v>
      </c>
      <c r="E3157" s="43" t="s">
        <v>230</v>
      </c>
    </row>
    <row r="3158" spans="1:5" x14ac:dyDescent="0.25">
      <c r="A3158" s="41">
        <v>11017</v>
      </c>
      <c r="B3158" s="42" t="s">
        <v>3530</v>
      </c>
      <c r="C3158" s="43" t="s">
        <v>289</v>
      </c>
      <c r="D3158" s="43" t="s">
        <v>316</v>
      </c>
      <c r="E3158" s="43" t="s">
        <v>230</v>
      </c>
    </row>
    <row r="3159" spans="1:5" x14ac:dyDescent="0.25">
      <c r="A3159" s="41">
        <v>11024</v>
      </c>
      <c r="B3159" s="42" t="s">
        <v>3531</v>
      </c>
      <c r="C3159" s="43" t="s">
        <v>289</v>
      </c>
      <c r="D3159" s="43" t="s">
        <v>316</v>
      </c>
      <c r="E3159" s="43" t="s">
        <v>230</v>
      </c>
    </row>
    <row r="3160" spans="1:5" x14ac:dyDescent="0.25">
      <c r="A3160" s="41">
        <v>11025</v>
      </c>
      <c r="B3160" s="42" t="s">
        <v>3532</v>
      </c>
      <c r="C3160" s="43" t="s">
        <v>289</v>
      </c>
      <c r="D3160" s="43" t="s">
        <v>316</v>
      </c>
      <c r="E3160" s="43" t="s">
        <v>170</v>
      </c>
    </row>
    <row r="3161" spans="1:5" x14ac:dyDescent="0.25">
      <c r="A3161" s="41">
        <v>11026</v>
      </c>
      <c r="B3161" s="42" t="s">
        <v>3533</v>
      </c>
      <c r="C3161" s="43" t="s">
        <v>289</v>
      </c>
      <c r="D3161" s="43" t="s">
        <v>316</v>
      </c>
      <c r="E3161" s="43" t="s">
        <v>230</v>
      </c>
    </row>
    <row r="3162" spans="1:5" x14ac:dyDescent="0.25">
      <c r="A3162" s="41">
        <v>11035</v>
      </c>
      <c r="B3162" s="42" t="s">
        <v>3534</v>
      </c>
      <c r="C3162" s="43" t="s">
        <v>289</v>
      </c>
      <c r="D3162" s="43" t="s">
        <v>327</v>
      </c>
      <c r="E3162" s="43" t="s">
        <v>1093</v>
      </c>
    </row>
    <row r="3163" spans="1:5" x14ac:dyDescent="0.25">
      <c r="A3163" s="41">
        <v>11036</v>
      </c>
      <c r="B3163" s="42" t="s">
        <v>3535</v>
      </c>
      <c r="C3163" s="43" t="s">
        <v>289</v>
      </c>
      <c r="D3163" s="43" t="s">
        <v>2334</v>
      </c>
      <c r="E3163" s="43" t="s">
        <v>464</v>
      </c>
    </row>
    <row r="3164" spans="1:5" x14ac:dyDescent="0.25">
      <c r="A3164" s="41">
        <v>11041</v>
      </c>
      <c r="B3164" s="42" t="s">
        <v>3536</v>
      </c>
      <c r="C3164" s="43" t="s">
        <v>289</v>
      </c>
      <c r="D3164" s="43" t="s">
        <v>327</v>
      </c>
      <c r="E3164" s="43" t="s">
        <v>230</v>
      </c>
    </row>
    <row r="3165" spans="1:5" x14ac:dyDescent="0.25">
      <c r="A3165" s="41">
        <v>11053</v>
      </c>
      <c r="B3165" s="42" t="s">
        <v>3537</v>
      </c>
      <c r="C3165" s="43" t="s">
        <v>289</v>
      </c>
      <c r="D3165" s="43" t="s">
        <v>375</v>
      </c>
      <c r="E3165" s="43" t="s">
        <v>336</v>
      </c>
    </row>
    <row r="3166" spans="1:5" x14ac:dyDescent="0.25">
      <c r="A3166" s="41">
        <v>11058</v>
      </c>
      <c r="B3166" s="42" t="s">
        <v>3538</v>
      </c>
      <c r="C3166" s="43" t="s">
        <v>289</v>
      </c>
      <c r="D3166" s="43" t="s">
        <v>468</v>
      </c>
      <c r="E3166" s="43" t="s">
        <v>230</v>
      </c>
    </row>
    <row r="3167" spans="1:5" x14ac:dyDescent="0.25">
      <c r="A3167" s="41">
        <v>11060</v>
      </c>
      <c r="B3167" s="42" t="s">
        <v>3539</v>
      </c>
      <c r="C3167" s="43" t="s">
        <v>289</v>
      </c>
      <c r="D3167" s="43" t="s">
        <v>468</v>
      </c>
      <c r="E3167" s="43" t="s">
        <v>230</v>
      </c>
    </row>
    <row r="3168" spans="1:5" x14ac:dyDescent="0.25">
      <c r="A3168" s="41">
        <v>11062</v>
      </c>
      <c r="B3168" s="42" t="s">
        <v>3540</v>
      </c>
      <c r="C3168" s="43" t="s">
        <v>289</v>
      </c>
      <c r="D3168" s="43" t="s">
        <v>327</v>
      </c>
      <c r="E3168" s="43" t="s">
        <v>230</v>
      </c>
    </row>
    <row r="3169" spans="1:5" x14ac:dyDescent="0.25">
      <c r="A3169" s="41">
        <v>11067</v>
      </c>
      <c r="B3169" s="42" t="s">
        <v>3541</v>
      </c>
      <c r="C3169" s="43" t="s">
        <v>289</v>
      </c>
      <c r="D3169" s="43" t="s">
        <v>327</v>
      </c>
      <c r="E3169" s="43" t="s">
        <v>230</v>
      </c>
    </row>
    <row r="3170" spans="1:5" x14ac:dyDescent="0.25">
      <c r="A3170" s="41">
        <v>11074</v>
      </c>
      <c r="B3170" s="42" t="s">
        <v>3542</v>
      </c>
      <c r="C3170" s="43" t="s">
        <v>289</v>
      </c>
      <c r="D3170" s="43" t="s">
        <v>468</v>
      </c>
      <c r="E3170" s="43" t="s">
        <v>230</v>
      </c>
    </row>
    <row r="3171" spans="1:5" x14ac:dyDescent="0.25">
      <c r="A3171" s="41">
        <v>11076</v>
      </c>
      <c r="B3171" s="42" t="s">
        <v>3543</v>
      </c>
      <c r="C3171" s="43" t="s">
        <v>289</v>
      </c>
      <c r="D3171" s="43" t="s">
        <v>1100</v>
      </c>
      <c r="E3171" s="43" t="s">
        <v>464</v>
      </c>
    </row>
    <row r="3172" spans="1:5" x14ac:dyDescent="0.25">
      <c r="A3172" s="41">
        <v>11081</v>
      </c>
      <c r="B3172" s="42" t="s">
        <v>3544</v>
      </c>
      <c r="C3172" s="43" t="s">
        <v>289</v>
      </c>
      <c r="D3172" s="43" t="s">
        <v>433</v>
      </c>
      <c r="E3172" s="43" t="s">
        <v>531</v>
      </c>
    </row>
    <row r="3173" spans="1:5" x14ac:dyDescent="0.25">
      <c r="A3173" s="41">
        <v>11085</v>
      </c>
      <c r="B3173" s="42" t="s">
        <v>3545</v>
      </c>
      <c r="C3173" s="43" t="s">
        <v>289</v>
      </c>
      <c r="D3173" s="43" t="s">
        <v>468</v>
      </c>
      <c r="E3173" s="43" t="s">
        <v>230</v>
      </c>
    </row>
    <row r="3174" spans="1:5" x14ac:dyDescent="0.25">
      <c r="A3174" s="41">
        <v>11088</v>
      </c>
      <c r="B3174" s="42" t="s">
        <v>3546</v>
      </c>
      <c r="C3174" s="43" t="s">
        <v>289</v>
      </c>
      <c r="D3174" s="43" t="s">
        <v>327</v>
      </c>
      <c r="E3174" s="43" t="s">
        <v>531</v>
      </c>
    </row>
    <row r="3175" spans="1:5" x14ac:dyDescent="0.25">
      <c r="A3175" s="41">
        <v>11092</v>
      </c>
      <c r="B3175" s="42" t="s">
        <v>3547</v>
      </c>
      <c r="C3175" s="43" t="s">
        <v>289</v>
      </c>
      <c r="D3175" s="43" t="s">
        <v>327</v>
      </c>
      <c r="E3175" s="43" t="s">
        <v>230</v>
      </c>
    </row>
    <row r="3176" spans="1:5" x14ac:dyDescent="0.25">
      <c r="A3176" s="41">
        <v>11093</v>
      </c>
      <c r="B3176" s="42" t="s">
        <v>3548</v>
      </c>
      <c r="C3176" s="43" t="s">
        <v>289</v>
      </c>
      <c r="D3176" s="43" t="s">
        <v>327</v>
      </c>
      <c r="E3176" s="43" t="s">
        <v>230</v>
      </c>
    </row>
    <row r="3177" spans="1:5" x14ac:dyDescent="0.25">
      <c r="A3177" s="41">
        <v>11094</v>
      </c>
      <c r="B3177" s="42" t="s">
        <v>3549</v>
      </c>
      <c r="C3177" s="43" t="s">
        <v>289</v>
      </c>
      <c r="D3177" s="43" t="s">
        <v>327</v>
      </c>
      <c r="E3177" s="43" t="s">
        <v>230</v>
      </c>
    </row>
    <row r="3178" spans="1:5" x14ac:dyDescent="0.25">
      <c r="A3178" s="41">
        <v>11097</v>
      </c>
      <c r="B3178" s="42" t="s">
        <v>3550</v>
      </c>
      <c r="C3178" s="43" t="s">
        <v>289</v>
      </c>
      <c r="D3178" s="43" t="s">
        <v>468</v>
      </c>
      <c r="E3178" s="43" t="s">
        <v>230</v>
      </c>
    </row>
    <row r="3179" spans="1:5" x14ac:dyDescent="0.25">
      <c r="A3179" s="41">
        <v>11101</v>
      </c>
      <c r="B3179" s="42" t="s">
        <v>3551</v>
      </c>
      <c r="C3179" s="43" t="s">
        <v>289</v>
      </c>
      <c r="D3179" s="43" t="s">
        <v>327</v>
      </c>
      <c r="E3179" s="43" t="s">
        <v>230</v>
      </c>
    </row>
    <row r="3180" spans="1:5" x14ac:dyDescent="0.25">
      <c r="A3180" s="41">
        <v>11102</v>
      </c>
      <c r="B3180" s="42" t="s">
        <v>3552</v>
      </c>
      <c r="C3180" s="43" t="s">
        <v>289</v>
      </c>
      <c r="D3180" s="43" t="s">
        <v>327</v>
      </c>
      <c r="E3180" s="43" t="s">
        <v>230</v>
      </c>
    </row>
    <row r="3181" spans="1:5" x14ac:dyDescent="0.25">
      <c r="A3181" s="41">
        <v>11103</v>
      </c>
      <c r="B3181" s="42" t="s">
        <v>3553</v>
      </c>
      <c r="C3181" s="43" t="s">
        <v>289</v>
      </c>
      <c r="D3181" s="43" t="s">
        <v>327</v>
      </c>
      <c r="E3181" s="43" t="s">
        <v>230</v>
      </c>
    </row>
    <row r="3182" spans="1:5" x14ac:dyDescent="0.25">
      <c r="A3182" s="41">
        <v>11104</v>
      </c>
      <c r="B3182" s="42" t="s">
        <v>3554</v>
      </c>
      <c r="C3182" s="43" t="s">
        <v>289</v>
      </c>
      <c r="D3182" s="43" t="s">
        <v>327</v>
      </c>
      <c r="E3182" s="43" t="s">
        <v>230</v>
      </c>
    </row>
    <row r="3183" spans="1:5" x14ac:dyDescent="0.25">
      <c r="A3183" s="41">
        <v>11105</v>
      </c>
      <c r="B3183" s="42" t="s">
        <v>3555</v>
      </c>
      <c r="C3183" s="43" t="s">
        <v>289</v>
      </c>
      <c r="D3183" s="43" t="s">
        <v>3556</v>
      </c>
      <c r="E3183" s="43" t="s">
        <v>336</v>
      </c>
    </row>
    <row r="3184" spans="1:5" x14ac:dyDescent="0.25">
      <c r="A3184" s="41">
        <v>11106</v>
      </c>
      <c r="B3184" s="42" t="s">
        <v>3557</v>
      </c>
      <c r="C3184" s="43" t="s">
        <v>289</v>
      </c>
      <c r="D3184" s="43" t="s">
        <v>314</v>
      </c>
      <c r="E3184" s="43" t="s">
        <v>230</v>
      </c>
    </row>
    <row r="3185" spans="1:5" x14ac:dyDescent="0.25">
      <c r="A3185" s="41">
        <v>11107</v>
      </c>
      <c r="B3185" s="42" t="s">
        <v>3558</v>
      </c>
      <c r="C3185" s="43" t="s">
        <v>289</v>
      </c>
      <c r="D3185" s="43" t="s">
        <v>314</v>
      </c>
      <c r="E3185" s="43" t="s">
        <v>230</v>
      </c>
    </row>
    <row r="3186" spans="1:5" x14ac:dyDescent="0.25">
      <c r="A3186" s="41">
        <v>11109</v>
      </c>
      <c r="B3186" s="42" t="s">
        <v>3559</v>
      </c>
      <c r="C3186" s="43" t="s">
        <v>289</v>
      </c>
      <c r="D3186" s="43" t="s">
        <v>327</v>
      </c>
      <c r="E3186" s="43" t="s">
        <v>230</v>
      </c>
    </row>
    <row r="3187" spans="1:5" x14ac:dyDescent="0.25">
      <c r="A3187" s="41">
        <v>11111</v>
      </c>
      <c r="B3187" s="42" t="s">
        <v>3560</v>
      </c>
      <c r="C3187" s="43" t="s">
        <v>289</v>
      </c>
      <c r="D3187" s="43" t="s">
        <v>316</v>
      </c>
      <c r="E3187" s="43" t="s">
        <v>483</v>
      </c>
    </row>
    <row r="3188" spans="1:5" x14ac:dyDescent="0.25">
      <c r="A3188" s="41">
        <v>11112</v>
      </c>
      <c r="B3188" s="42" t="s">
        <v>3561</v>
      </c>
      <c r="C3188" s="43" t="s">
        <v>289</v>
      </c>
      <c r="D3188" s="43" t="s">
        <v>316</v>
      </c>
      <c r="E3188" s="43" t="s">
        <v>483</v>
      </c>
    </row>
    <row r="3189" spans="1:5" x14ac:dyDescent="0.25">
      <c r="A3189" s="41">
        <v>11120</v>
      </c>
      <c r="B3189" s="42" t="s">
        <v>3562</v>
      </c>
      <c r="C3189" s="43" t="s">
        <v>289</v>
      </c>
      <c r="D3189" s="43" t="s">
        <v>316</v>
      </c>
      <c r="E3189" s="43" t="s">
        <v>230</v>
      </c>
    </row>
    <row r="3190" spans="1:5" x14ac:dyDescent="0.25">
      <c r="A3190" s="41">
        <v>11122</v>
      </c>
      <c r="B3190" s="42" t="s">
        <v>3563</v>
      </c>
      <c r="C3190" s="43" t="s">
        <v>289</v>
      </c>
      <c r="D3190" s="43" t="s">
        <v>468</v>
      </c>
      <c r="E3190" s="43" t="s">
        <v>230</v>
      </c>
    </row>
    <row r="3191" spans="1:5" x14ac:dyDescent="0.25">
      <c r="A3191" s="41">
        <v>11125</v>
      </c>
      <c r="B3191" s="42" t="s">
        <v>3564</v>
      </c>
      <c r="C3191" s="43" t="s">
        <v>289</v>
      </c>
      <c r="D3191" s="43" t="s">
        <v>316</v>
      </c>
      <c r="E3191" s="43" t="s">
        <v>454</v>
      </c>
    </row>
    <row r="3192" spans="1:5" x14ac:dyDescent="0.25">
      <c r="A3192" s="41">
        <v>11126</v>
      </c>
      <c r="B3192" s="42" t="s">
        <v>3565</v>
      </c>
      <c r="C3192" s="43" t="s">
        <v>289</v>
      </c>
      <c r="D3192" s="43" t="s">
        <v>316</v>
      </c>
      <c r="E3192" s="43" t="s">
        <v>230</v>
      </c>
    </row>
    <row r="3193" spans="1:5" x14ac:dyDescent="0.25">
      <c r="A3193" s="41">
        <v>11132</v>
      </c>
      <c r="B3193" s="42" t="s">
        <v>3566</v>
      </c>
      <c r="C3193" s="43" t="s">
        <v>289</v>
      </c>
      <c r="D3193" s="43" t="s">
        <v>327</v>
      </c>
      <c r="E3193" s="43" t="s">
        <v>336</v>
      </c>
    </row>
    <row r="3194" spans="1:5" x14ac:dyDescent="0.25">
      <c r="A3194" s="41">
        <v>11133</v>
      </c>
      <c r="B3194" s="42" t="s">
        <v>3567</v>
      </c>
      <c r="C3194" s="43" t="s">
        <v>289</v>
      </c>
      <c r="D3194" s="43" t="s">
        <v>327</v>
      </c>
      <c r="E3194" s="43" t="s">
        <v>230</v>
      </c>
    </row>
    <row r="3195" spans="1:5" x14ac:dyDescent="0.25">
      <c r="A3195" s="41">
        <v>11135</v>
      </c>
      <c r="B3195" s="42" t="s">
        <v>3568</v>
      </c>
      <c r="C3195" s="43" t="s">
        <v>289</v>
      </c>
      <c r="D3195" s="43" t="s">
        <v>327</v>
      </c>
      <c r="E3195" s="43" t="s">
        <v>230</v>
      </c>
    </row>
    <row r="3196" spans="1:5" x14ac:dyDescent="0.25">
      <c r="A3196" s="41">
        <v>11136</v>
      </c>
      <c r="B3196" s="42" t="s">
        <v>3569</v>
      </c>
      <c r="C3196" s="43" t="s">
        <v>289</v>
      </c>
      <c r="D3196" s="43" t="s">
        <v>327</v>
      </c>
      <c r="E3196" s="43" t="s">
        <v>230</v>
      </c>
    </row>
    <row r="3197" spans="1:5" x14ac:dyDescent="0.25">
      <c r="A3197" s="41">
        <v>11139</v>
      </c>
      <c r="B3197" s="42" t="s">
        <v>3570</v>
      </c>
      <c r="C3197" s="43" t="s">
        <v>289</v>
      </c>
      <c r="D3197" s="43" t="s">
        <v>327</v>
      </c>
      <c r="E3197" s="43" t="s">
        <v>230</v>
      </c>
    </row>
    <row r="3198" spans="1:5" x14ac:dyDescent="0.25">
      <c r="A3198" s="41">
        <v>11141</v>
      </c>
      <c r="B3198" s="42" t="s">
        <v>3571</v>
      </c>
      <c r="C3198" s="43" t="s">
        <v>289</v>
      </c>
      <c r="D3198" s="43" t="s">
        <v>375</v>
      </c>
      <c r="E3198" s="43" t="s">
        <v>336</v>
      </c>
    </row>
    <row r="3199" spans="1:5" x14ac:dyDescent="0.25">
      <c r="A3199" s="41">
        <v>11142</v>
      </c>
      <c r="B3199" s="42" t="s">
        <v>3572</v>
      </c>
      <c r="C3199" s="43" t="s">
        <v>289</v>
      </c>
      <c r="D3199" s="43" t="s">
        <v>482</v>
      </c>
      <c r="E3199" s="43" t="s">
        <v>483</v>
      </c>
    </row>
    <row r="3200" spans="1:5" x14ac:dyDescent="0.25">
      <c r="A3200" s="41">
        <v>11144</v>
      </c>
      <c r="B3200" s="42" t="s">
        <v>3573</v>
      </c>
      <c r="C3200" s="43" t="s">
        <v>289</v>
      </c>
      <c r="D3200" s="43" t="s">
        <v>316</v>
      </c>
      <c r="E3200" s="43" t="s">
        <v>230</v>
      </c>
    </row>
    <row r="3201" spans="1:5" x14ac:dyDescent="0.25">
      <c r="A3201" s="41">
        <v>11145</v>
      </c>
      <c r="B3201" s="42" t="s">
        <v>3574</v>
      </c>
      <c r="C3201" s="43" t="s">
        <v>289</v>
      </c>
      <c r="D3201" s="43" t="s">
        <v>327</v>
      </c>
      <c r="E3201" s="43" t="s">
        <v>230</v>
      </c>
    </row>
    <row r="3202" spans="1:5" x14ac:dyDescent="0.25">
      <c r="A3202" s="41">
        <v>11147</v>
      </c>
      <c r="B3202" s="42" t="s">
        <v>3575</v>
      </c>
      <c r="C3202" s="43" t="s">
        <v>289</v>
      </c>
      <c r="D3202" s="43" t="s">
        <v>453</v>
      </c>
      <c r="E3202" s="43" t="s">
        <v>454</v>
      </c>
    </row>
    <row r="3203" spans="1:5" x14ac:dyDescent="0.25">
      <c r="A3203" s="41">
        <v>11152</v>
      </c>
      <c r="B3203" s="42" t="s">
        <v>3576</v>
      </c>
      <c r="C3203" s="43" t="s">
        <v>289</v>
      </c>
      <c r="D3203" s="43" t="s">
        <v>316</v>
      </c>
      <c r="E3203" s="43" t="s">
        <v>230</v>
      </c>
    </row>
    <row r="3204" spans="1:5" x14ac:dyDescent="0.25">
      <c r="A3204" s="41">
        <v>11158</v>
      </c>
      <c r="B3204" s="42" t="s">
        <v>3577</v>
      </c>
      <c r="C3204" s="43" t="s">
        <v>289</v>
      </c>
      <c r="D3204" s="43" t="s">
        <v>327</v>
      </c>
      <c r="E3204" s="43" t="s">
        <v>230</v>
      </c>
    </row>
    <row r="3205" spans="1:5" x14ac:dyDescent="0.25">
      <c r="A3205" s="41">
        <v>11159</v>
      </c>
      <c r="B3205" s="42" t="s">
        <v>3578</v>
      </c>
      <c r="C3205" s="43" t="s">
        <v>289</v>
      </c>
      <c r="D3205" s="43" t="s">
        <v>327</v>
      </c>
      <c r="E3205" s="43" t="s">
        <v>230</v>
      </c>
    </row>
    <row r="3206" spans="1:5" x14ac:dyDescent="0.25">
      <c r="A3206" s="41">
        <v>11174</v>
      </c>
      <c r="B3206" s="42" t="s">
        <v>3579</v>
      </c>
      <c r="C3206" s="43" t="s">
        <v>289</v>
      </c>
      <c r="D3206" s="43" t="s">
        <v>327</v>
      </c>
      <c r="E3206" s="43" t="s">
        <v>230</v>
      </c>
    </row>
    <row r="3207" spans="1:5" x14ac:dyDescent="0.25">
      <c r="A3207" s="41">
        <v>11176</v>
      </c>
      <c r="B3207" s="42" t="s">
        <v>3580</v>
      </c>
      <c r="C3207" s="43" t="s">
        <v>289</v>
      </c>
      <c r="D3207" s="43" t="s">
        <v>327</v>
      </c>
      <c r="E3207" s="43" t="s">
        <v>230</v>
      </c>
    </row>
    <row r="3208" spans="1:5" x14ac:dyDescent="0.25">
      <c r="A3208" s="41">
        <v>11178</v>
      </c>
      <c r="B3208" s="42" t="s">
        <v>3581</v>
      </c>
      <c r="C3208" s="43" t="s">
        <v>289</v>
      </c>
      <c r="D3208" s="43" t="s">
        <v>996</v>
      </c>
      <c r="E3208" s="43" t="s">
        <v>230</v>
      </c>
    </row>
    <row r="3209" spans="1:5" x14ac:dyDescent="0.25">
      <c r="A3209" s="41">
        <v>11179</v>
      </c>
      <c r="B3209" s="42" t="s">
        <v>3582</v>
      </c>
      <c r="C3209" s="43" t="s">
        <v>289</v>
      </c>
      <c r="D3209" s="43" t="s">
        <v>996</v>
      </c>
      <c r="E3209" s="43" t="s">
        <v>230</v>
      </c>
    </row>
    <row r="3210" spans="1:5" x14ac:dyDescent="0.25">
      <c r="A3210" s="41">
        <v>11185</v>
      </c>
      <c r="B3210" s="42" t="s">
        <v>3583</v>
      </c>
      <c r="C3210" s="43" t="s">
        <v>289</v>
      </c>
      <c r="D3210" s="43" t="s">
        <v>1100</v>
      </c>
      <c r="E3210" s="43" t="s">
        <v>454</v>
      </c>
    </row>
    <row r="3211" spans="1:5" x14ac:dyDescent="0.25">
      <c r="A3211" s="41">
        <v>11195</v>
      </c>
      <c r="B3211" s="42" t="s">
        <v>3584</v>
      </c>
      <c r="C3211" s="43" t="s">
        <v>289</v>
      </c>
      <c r="D3211" s="43" t="s">
        <v>327</v>
      </c>
      <c r="E3211" s="43" t="s">
        <v>230</v>
      </c>
    </row>
    <row r="3212" spans="1:5" x14ac:dyDescent="0.25">
      <c r="A3212" s="41">
        <v>11199</v>
      </c>
      <c r="B3212" s="42" t="s">
        <v>3585</v>
      </c>
      <c r="C3212" s="43" t="s">
        <v>289</v>
      </c>
      <c r="D3212" s="43" t="s">
        <v>327</v>
      </c>
      <c r="E3212" s="43" t="s">
        <v>336</v>
      </c>
    </row>
    <row r="3213" spans="1:5" x14ac:dyDescent="0.25">
      <c r="A3213" s="41">
        <v>11201</v>
      </c>
      <c r="B3213" s="42" t="s">
        <v>3586</v>
      </c>
      <c r="C3213" s="43" t="s">
        <v>289</v>
      </c>
      <c r="D3213" s="43" t="s">
        <v>845</v>
      </c>
      <c r="E3213" s="43" t="s">
        <v>3254</v>
      </c>
    </row>
    <row r="3214" spans="1:5" x14ac:dyDescent="0.25">
      <c r="A3214" s="41">
        <v>11203</v>
      </c>
      <c r="B3214" s="42" t="s">
        <v>3587</v>
      </c>
      <c r="C3214" s="43" t="s">
        <v>289</v>
      </c>
      <c r="D3214" s="43" t="s">
        <v>327</v>
      </c>
      <c r="E3214" s="43" t="s">
        <v>230</v>
      </c>
    </row>
    <row r="3215" spans="1:5" x14ac:dyDescent="0.25">
      <c r="A3215" s="41">
        <v>11208</v>
      </c>
      <c r="B3215" s="42" t="s">
        <v>3588</v>
      </c>
      <c r="C3215" s="43" t="s">
        <v>289</v>
      </c>
      <c r="D3215" s="43" t="s">
        <v>996</v>
      </c>
      <c r="E3215" s="43" t="s">
        <v>454</v>
      </c>
    </row>
    <row r="3216" spans="1:5" x14ac:dyDescent="0.25">
      <c r="A3216" s="41">
        <v>11210</v>
      </c>
      <c r="B3216" s="42" t="s">
        <v>3589</v>
      </c>
      <c r="C3216" s="43" t="s">
        <v>289</v>
      </c>
      <c r="D3216" s="43" t="s">
        <v>996</v>
      </c>
      <c r="E3216" s="43" t="s">
        <v>404</v>
      </c>
    </row>
    <row r="3217" spans="1:5" x14ac:dyDescent="0.25">
      <c r="A3217" s="41">
        <v>11216</v>
      </c>
      <c r="B3217" s="42" t="s">
        <v>3590</v>
      </c>
      <c r="C3217" s="43" t="s">
        <v>289</v>
      </c>
      <c r="D3217" s="43" t="s">
        <v>996</v>
      </c>
      <c r="E3217" s="43" t="s">
        <v>230</v>
      </c>
    </row>
    <row r="3218" spans="1:5" x14ac:dyDescent="0.25">
      <c r="A3218" s="41">
        <v>11217</v>
      </c>
      <c r="B3218" s="42" t="s">
        <v>3591</v>
      </c>
      <c r="C3218" s="43" t="s">
        <v>289</v>
      </c>
      <c r="D3218" s="43" t="s">
        <v>996</v>
      </c>
      <c r="E3218" s="43" t="s">
        <v>230</v>
      </c>
    </row>
    <row r="3219" spans="1:5" x14ac:dyDescent="0.25">
      <c r="A3219" s="41">
        <v>11220</v>
      </c>
      <c r="B3219" s="42" t="s">
        <v>3592</v>
      </c>
      <c r="C3219" s="43" t="s">
        <v>289</v>
      </c>
      <c r="D3219" s="43" t="s">
        <v>474</v>
      </c>
      <c r="E3219" s="43" t="s">
        <v>230</v>
      </c>
    </row>
    <row r="3220" spans="1:5" x14ac:dyDescent="0.25">
      <c r="A3220" s="41">
        <v>11224</v>
      </c>
      <c r="B3220" s="42" t="s">
        <v>3593</v>
      </c>
      <c r="C3220" s="43" t="s">
        <v>289</v>
      </c>
      <c r="D3220" s="43" t="s">
        <v>316</v>
      </c>
      <c r="E3220" s="43" t="s">
        <v>230</v>
      </c>
    </row>
    <row r="3221" spans="1:5" x14ac:dyDescent="0.25">
      <c r="A3221" s="41">
        <v>11225</v>
      </c>
      <c r="B3221" s="42" t="s">
        <v>3594</v>
      </c>
      <c r="C3221" s="43" t="s">
        <v>289</v>
      </c>
      <c r="D3221" s="43" t="s">
        <v>474</v>
      </c>
      <c r="E3221" s="43" t="s">
        <v>336</v>
      </c>
    </row>
    <row r="3222" spans="1:5" x14ac:dyDescent="0.25">
      <c r="A3222" s="41">
        <v>11227</v>
      </c>
      <c r="B3222" s="42" t="s">
        <v>3595</v>
      </c>
      <c r="C3222" s="43" t="s">
        <v>289</v>
      </c>
      <c r="D3222" s="43" t="s">
        <v>996</v>
      </c>
      <c r="E3222" s="43" t="s">
        <v>230</v>
      </c>
    </row>
    <row r="3223" spans="1:5" x14ac:dyDescent="0.25">
      <c r="A3223" s="41">
        <v>11228</v>
      </c>
      <c r="B3223" s="42" t="s">
        <v>3596</v>
      </c>
      <c r="C3223" s="43" t="s">
        <v>289</v>
      </c>
      <c r="D3223" s="43" t="s">
        <v>333</v>
      </c>
      <c r="E3223" s="43" t="s">
        <v>230</v>
      </c>
    </row>
    <row r="3224" spans="1:5" x14ac:dyDescent="0.25">
      <c r="A3224" s="41">
        <v>11234</v>
      </c>
      <c r="B3224" s="42" t="s">
        <v>3597</v>
      </c>
      <c r="C3224" s="43" t="s">
        <v>289</v>
      </c>
      <c r="D3224" s="43" t="s">
        <v>523</v>
      </c>
      <c r="E3224" s="43" t="s">
        <v>464</v>
      </c>
    </row>
    <row r="3225" spans="1:5" x14ac:dyDescent="0.25">
      <c r="A3225" s="41">
        <v>11243</v>
      </c>
      <c r="B3225" s="42" t="s">
        <v>3598</v>
      </c>
      <c r="C3225" s="43" t="s">
        <v>289</v>
      </c>
      <c r="D3225" s="43" t="s">
        <v>316</v>
      </c>
      <c r="E3225" s="43" t="s">
        <v>336</v>
      </c>
    </row>
    <row r="3226" spans="1:5" x14ac:dyDescent="0.25">
      <c r="A3226" s="41">
        <v>11244</v>
      </c>
      <c r="B3226" s="42" t="s">
        <v>3599</v>
      </c>
      <c r="C3226" s="43" t="s">
        <v>289</v>
      </c>
      <c r="D3226" s="43" t="s">
        <v>375</v>
      </c>
      <c r="E3226" s="43" t="s">
        <v>230</v>
      </c>
    </row>
    <row r="3227" spans="1:5" x14ac:dyDescent="0.25">
      <c r="A3227" s="41">
        <v>11265</v>
      </c>
      <c r="B3227" s="42" t="s">
        <v>3600</v>
      </c>
      <c r="C3227" s="43" t="s">
        <v>289</v>
      </c>
      <c r="D3227" s="43" t="s">
        <v>433</v>
      </c>
      <c r="E3227" s="43" t="s">
        <v>230</v>
      </c>
    </row>
    <row r="3228" spans="1:5" x14ac:dyDescent="0.25">
      <c r="A3228" s="41">
        <v>11267</v>
      </c>
      <c r="B3228" s="42" t="s">
        <v>3601</v>
      </c>
      <c r="C3228" s="43" t="s">
        <v>289</v>
      </c>
      <c r="D3228" s="43" t="s">
        <v>433</v>
      </c>
      <c r="E3228" s="43" t="s">
        <v>230</v>
      </c>
    </row>
    <row r="3229" spans="1:5" x14ac:dyDescent="0.25">
      <c r="A3229" s="41">
        <v>11269</v>
      </c>
      <c r="B3229" s="42" t="s">
        <v>3602</v>
      </c>
      <c r="C3229" s="43" t="s">
        <v>289</v>
      </c>
      <c r="D3229" s="43" t="s">
        <v>327</v>
      </c>
      <c r="E3229" s="43" t="s">
        <v>230</v>
      </c>
    </row>
    <row r="3230" spans="1:5" x14ac:dyDescent="0.25">
      <c r="A3230" s="41">
        <v>11271</v>
      </c>
      <c r="B3230" s="42" t="s">
        <v>3603</v>
      </c>
      <c r="C3230" s="43" t="s">
        <v>289</v>
      </c>
      <c r="D3230" s="43" t="s">
        <v>316</v>
      </c>
      <c r="E3230" s="43" t="s">
        <v>864</v>
      </c>
    </row>
    <row r="3231" spans="1:5" x14ac:dyDescent="0.25">
      <c r="A3231" s="41">
        <v>11273</v>
      </c>
      <c r="B3231" s="42" t="s">
        <v>3604</v>
      </c>
      <c r="C3231" s="43" t="s">
        <v>289</v>
      </c>
      <c r="D3231" s="43" t="s">
        <v>327</v>
      </c>
      <c r="E3231" s="43" t="s">
        <v>531</v>
      </c>
    </row>
    <row r="3232" spans="1:5" x14ac:dyDescent="0.25">
      <c r="A3232" s="41">
        <v>11276</v>
      </c>
      <c r="B3232" s="42" t="s">
        <v>3605</v>
      </c>
      <c r="C3232" s="43" t="s">
        <v>289</v>
      </c>
      <c r="D3232" s="43" t="s">
        <v>996</v>
      </c>
      <c r="E3232" s="43" t="s">
        <v>354</v>
      </c>
    </row>
    <row r="3233" spans="1:5" x14ac:dyDescent="0.25">
      <c r="A3233" s="41">
        <v>11279</v>
      </c>
      <c r="B3233" s="42" t="s">
        <v>3606</v>
      </c>
      <c r="C3233" s="43" t="s">
        <v>289</v>
      </c>
      <c r="D3233" s="43" t="s">
        <v>996</v>
      </c>
      <c r="E3233" s="43" t="s">
        <v>230</v>
      </c>
    </row>
    <row r="3234" spans="1:5" x14ac:dyDescent="0.25">
      <c r="A3234" s="41">
        <v>11280</v>
      </c>
      <c r="B3234" s="42" t="s">
        <v>3607</v>
      </c>
      <c r="C3234" s="43" t="s">
        <v>289</v>
      </c>
      <c r="D3234" s="43" t="s">
        <v>996</v>
      </c>
      <c r="E3234" s="43" t="s">
        <v>230</v>
      </c>
    </row>
    <row r="3235" spans="1:5" x14ac:dyDescent="0.25">
      <c r="A3235" s="41">
        <v>11284</v>
      </c>
      <c r="B3235" s="42" t="s">
        <v>3608</v>
      </c>
      <c r="C3235" s="43" t="s">
        <v>289</v>
      </c>
      <c r="D3235" s="43" t="s">
        <v>996</v>
      </c>
      <c r="E3235" s="43" t="s">
        <v>170</v>
      </c>
    </row>
    <row r="3236" spans="1:5" x14ac:dyDescent="0.25">
      <c r="A3236" s="41">
        <v>11286</v>
      </c>
      <c r="B3236" s="42" t="s">
        <v>3609</v>
      </c>
      <c r="C3236" s="43" t="s">
        <v>289</v>
      </c>
      <c r="D3236" s="43" t="s">
        <v>996</v>
      </c>
      <c r="E3236" s="43" t="s">
        <v>336</v>
      </c>
    </row>
    <row r="3237" spans="1:5" x14ac:dyDescent="0.25">
      <c r="A3237" s="41">
        <v>11287</v>
      </c>
      <c r="B3237" s="42" t="s">
        <v>3610</v>
      </c>
      <c r="C3237" s="43" t="s">
        <v>289</v>
      </c>
      <c r="D3237" s="43" t="s">
        <v>996</v>
      </c>
      <c r="E3237" s="43" t="s">
        <v>336</v>
      </c>
    </row>
    <row r="3238" spans="1:5" x14ac:dyDescent="0.25">
      <c r="A3238" s="41">
        <v>11288</v>
      </c>
      <c r="B3238" s="42" t="s">
        <v>3611</v>
      </c>
      <c r="C3238" s="43" t="s">
        <v>289</v>
      </c>
      <c r="D3238" s="43" t="s">
        <v>996</v>
      </c>
      <c r="E3238" s="43" t="s">
        <v>531</v>
      </c>
    </row>
    <row r="3239" spans="1:5" x14ac:dyDescent="0.25">
      <c r="A3239" s="41">
        <v>11290</v>
      </c>
      <c r="B3239" s="42" t="s">
        <v>3612</v>
      </c>
      <c r="C3239" s="43" t="s">
        <v>289</v>
      </c>
      <c r="D3239" s="43" t="s">
        <v>996</v>
      </c>
      <c r="E3239" s="43" t="s">
        <v>531</v>
      </c>
    </row>
    <row r="3240" spans="1:5" x14ac:dyDescent="0.25">
      <c r="A3240" s="41">
        <v>11292</v>
      </c>
      <c r="B3240" s="42" t="s">
        <v>3613</v>
      </c>
      <c r="C3240" s="43" t="s">
        <v>289</v>
      </c>
      <c r="D3240" s="43" t="s">
        <v>316</v>
      </c>
      <c r="E3240" s="43" t="s">
        <v>230</v>
      </c>
    </row>
    <row r="3241" spans="1:5" x14ac:dyDescent="0.25">
      <c r="A3241" s="41">
        <v>11299</v>
      </c>
      <c r="B3241" s="42" t="s">
        <v>3614</v>
      </c>
      <c r="C3241" s="43" t="s">
        <v>289</v>
      </c>
      <c r="D3241" s="43" t="s">
        <v>763</v>
      </c>
      <c r="E3241" s="43" t="s">
        <v>864</v>
      </c>
    </row>
    <row r="3242" spans="1:5" x14ac:dyDescent="0.25">
      <c r="A3242" s="41">
        <v>11301</v>
      </c>
      <c r="B3242" s="42" t="s">
        <v>3615</v>
      </c>
      <c r="C3242" s="43" t="s">
        <v>289</v>
      </c>
      <c r="D3242" s="43" t="s">
        <v>996</v>
      </c>
      <c r="E3242" s="43" t="s">
        <v>464</v>
      </c>
    </row>
    <row r="3243" spans="1:5" x14ac:dyDescent="0.25">
      <c r="A3243" s="41">
        <v>11305</v>
      </c>
      <c r="B3243" s="42" t="s">
        <v>3616</v>
      </c>
      <c r="C3243" s="43" t="s">
        <v>289</v>
      </c>
      <c r="D3243" s="43" t="s">
        <v>996</v>
      </c>
      <c r="E3243" s="43" t="s">
        <v>464</v>
      </c>
    </row>
    <row r="3244" spans="1:5" x14ac:dyDescent="0.25">
      <c r="A3244" s="41">
        <v>11342</v>
      </c>
      <c r="B3244" s="42" t="s">
        <v>3617</v>
      </c>
      <c r="C3244" s="43" t="s">
        <v>289</v>
      </c>
      <c r="D3244" s="43" t="s">
        <v>468</v>
      </c>
      <c r="E3244" s="43" t="s">
        <v>230</v>
      </c>
    </row>
    <row r="3245" spans="1:5" x14ac:dyDescent="0.25">
      <c r="A3245" s="41">
        <v>11354</v>
      </c>
      <c r="B3245" s="42" t="s">
        <v>3618</v>
      </c>
      <c r="C3245" s="43" t="s">
        <v>289</v>
      </c>
      <c r="D3245" s="43" t="s">
        <v>474</v>
      </c>
      <c r="E3245" s="43" t="s">
        <v>230</v>
      </c>
    </row>
    <row r="3246" spans="1:5" x14ac:dyDescent="0.25">
      <c r="A3246" s="41">
        <v>11359</v>
      </c>
      <c r="B3246" s="42" t="s">
        <v>3619</v>
      </c>
      <c r="C3246" s="43" t="s">
        <v>289</v>
      </c>
      <c r="D3246" s="43" t="s">
        <v>327</v>
      </c>
      <c r="E3246" s="43" t="s">
        <v>230</v>
      </c>
    </row>
    <row r="3247" spans="1:5" x14ac:dyDescent="0.25">
      <c r="A3247" s="41">
        <v>11370</v>
      </c>
      <c r="B3247" s="42" t="s">
        <v>3620</v>
      </c>
      <c r="C3247" s="43" t="s">
        <v>289</v>
      </c>
      <c r="D3247" s="43" t="s">
        <v>327</v>
      </c>
      <c r="E3247" s="43" t="s">
        <v>230</v>
      </c>
    </row>
    <row r="3248" spans="1:5" x14ac:dyDescent="0.25">
      <c r="A3248" s="41">
        <v>11372</v>
      </c>
      <c r="B3248" s="42" t="s">
        <v>3621</v>
      </c>
      <c r="C3248" s="43" t="s">
        <v>289</v>
      </c>
      <c r="D3248" s="43" t="s">
        <v>996</v>
      </c>
      <c r="E3248" s="43" t="s">
        <v>170</v>
      </c>
    </row>
    <row r="3249" spans="1:5" x14ac:dyDescent="0.25">
      <c r="A3249" s="41">
        <v>11373</v>
      </c>
      <c r="B3249" s="42" t="s">
        <v>3622</v>
      </c>
      <c r="C3249" s="43" t="s">
        <v>289</v>
      </c>
      <c r="D3249" s="43" t="s">
        <v>327</v>
      </c>
      <c r="E3249" s="43" t="s">
        <v>230</v>
      </c>
    </row>
    <row r="3250" spans="1:5" x14ac:dyDescent="0.25">
      <c r="A3250" s="41">
        <v>11374</v>
      </c>
      <c r="B3250" s="42" t="s">
        <v>3623</v>
      </c>
      <c r="C3250" s="43" t="s">
        <v>289</v>
      </c>
      <c r="D3250" s="43" t="s">
        <v>996</v>
      </c>
      <c r="E3250" s="43" t="s">
        <v>230</v>
      </c>
    </row>
    <row r="3251" spans="1:5" x14ac:dyDescent="0.25">
      <c r="A3251" s="41">
        <v>11376</v>
      </c>
      <c r="B3251" s="42" t="s">
        <v>3624</v>
      </c>
      <c r="C3251" s="43" t="s">
        <v>289</v>
      </c>
      <c r="D3251" s="43" t="s">
        <v>996</v>
      </c>
      <c r="E3251" s="43" t="s">
        <v>230</v>
      </c>
    </row>
    <row r="3252" spans="1:5" x14ac:dyDescent="0.25">
      <c r="A3252" s="41">
        <v>11380</v>
      </c>
      <c r="B3252" s="42" t="s">
        <v>3625</v>
      </c>
      <c r="C3252" s="43" t="s">
        <v>289</v>
      </c>
      <c r="D3252" s="43" t="s">
        <v>327</v>
      </c>
      <c r="E3252" s="43" t="s">
        <v>230</v>
      </c>
    </row>
    <row r="3253" spans="1:5" x14ac:dyDescent="0.25">
      <c r="A3253" s="41">
        <v>11384</v>
      </c>
      <c r="B3253" s="42" t="s">
        <v>3626</v>
      </c>
      <c r="C3253" s="43" t="s">
        <v>289</v>
      </c>
      <c r="D3253" s="43" t="s">
        <v>763</v>
      </c>
      <c r="E3253" s="43" t="s">
        <v>230</v>
      </c>
    </row>
    <row r="3254" spans="1:5" x14ac:dyDescent="0.25">
      <c r="A3254" s="41">
        <v>11392</v>
      </c>
      <c r="B3254" s="42" t="s">
        <v>3627</v>
      </c>
      <c r="C3254" s="43" t="s">
        <v>289</v>
      </c>
      <c r="D3254" s="43" t="s">
        <v>316</v>
      </c>
      <c r="E3254" s="43" t="s">
        <v>373</v>
      </c>
    </row>
    <row r="3255" spans="1:5" x14ac:dyDescent="0.25">
      <c r="A3255" s="41">
        <v>11393</v>
      </c>
      <c r="B3255" s="42" t="s">
        <v>3628</v>
      </c>
      <c r="C3255" s="43" t="s">
        <v>289</v>
      </c>
      <c r="D3255" s="43" t="s">
        <v>996</v>
      </c>
      <c r="E3255" s="43" t="s">
        <v>230</v>
      </c>
    </row>
    <row r="3256" spans="1:5" x14ac:dyDescent="0.25">
      <c r="A3256" s="41">
        <v>11396</v>
      </c>
      <c r="B3256" s="42" t="s">
        <v>3629</v>
      </c>
      <c r="C3256" s="43" t="s">
        <v>289</v>
      </c>
      <c r="D3256" s="43" t="s">
        <v>3630</v>
      </c>
      <c r="E3256" s="43" t="s">
        <v>230</v>
      </c>
    </row>
    <row r="3257" spans="1:5" x14ac:dyDescent="0.25">
      <c r="A3257" s="41">
        <v>11401</v>
      </c>
      <c r="B3257" s="42" t="s">
        <v>3631</v>
      </c>
      <c r="C3257" s="43" t="s">
        <v>289</v>
      </c>
      <c r="D3257" s="43" t="s">
        <v>474</v>
      </c>
      <c r="E3257" s="43" t="s">
        <v>464</v>
      </c>
    </row>
    <row r="3258" spans="1:5" x14ac:dyDescent="0.25">
      <c r="A3258" s="41">
        <v>11420</v>
      </c>
      <c r="B3258" s="42" t="s">
        <v>3632</v>
      </c>
      <c r="C3258" s="43" t="s">
        <v>289</v>
      </c>
      <c r="D3258" s="43" t="s">
        <v>433</v>
      </c>
      <c r="E3258" s="43" t="s">
        <v>230</v>
      </c>
    </row>
    <row r="3259" spans="1:5" x14ac:dyDescent="0.25">
      <c r="A3259" s="41">
        <v>11422</v>
      </c>
      <c r="B3259" s="42" t="s">
        <v>3633</v>
      </c>
      <c r="C3259" s="43" t="s">
        <v>289</v>
      </c>
      <c r="D3259" s="43" t="s">
        <v>996</v>
      </c>
      <c r="E3259" s="43" t="s">
        <v>230</v>
      </c>
    </row>
    <row r="3260" spans="1:5" x14ac:dyDescent="0.25">
      <c r="A3260" s="41">
        <v>11424</v>
      </c>
      <c r="B3260" s="42" t="s">
        <v>3634</v>
      </c>
      <c r="C3260" s="43" t="s">
        <v>289</v>
      </c>
      <c r="D3260" s="43" t="s">
        <v>996</v>
      </c>
      <c r="E3260" s="43" t="s">
        <v>336</v>
      </c>
    </row>
    <row r="3261" spans="1:5" x14ac:dyDescent="0.25">
      <c r="A3261" s="41">
        <v>11453</v>
      </c>
      <c r="B3261" s="42" t="s">
        <v>3635</v>
      </c>
      <c r="C3261" s="43" t="s">
        <v>289</v>
      </c>
      <c r="D3261" s="43" t="s">
        <v>316</v>
      </c>
      <c r="E3261" s="43" t="s">
        <v>464</v>
      </c>
    </row>
    <row r="3262" spans="1:5" x14ac:dyDescent="0.25">
      <c r="A3262" s="41">
        <v>11461</v>
      </c>
      <c r="B3262" s="42" t="s">
        <v>3636</v>
      </c>
      <c r="C3262" s="43" t="s">
        <v>289</v>
      </c>
      <c r="D3262" s="43" t="s">
        <v>314</v>
      </c>
      <c r="E3262" s="43" t="s">
        <v>230</v>
      </c>
    </row>
    <row r="3263" spans="1:5" x14ac:dyDescent="0.25">
      <c r="A3263" s="41">
        <v>11462</v>
      </c>
      <c r="B3263" s="42" t="s">
        <v>3637</v>
      </c>
      <c r="C3263" s="43" t="s">
        <v>289</v>
      </c>
      <c r="D3263" s="43" t="s">
        <v>316</v>
      </c>
      <c r="E3263" s="43" t="s">
        <v>170</v>
      </c>
    </row>
    <row r="3264" spans="1:5" x14ac:dyDescent="0.25">
      <c r="A3264" s="41">
        <v>11468</v>
      </c>
      <c r="B3264" s="42" t="s">
        <v>3638</v>
      </c>
      <c r="C3264" s="43" t="s">
        <v>289</v>
      </c>
      <c r="D3264" s="43" t="s">
        <v>435</v>
      </c>
      <c r="E3264" s="43" t="s">
        <v>336</v>
      </c>
    </row>
    <row r="3265" spans="1:5" x14ac:dyDescent="0.25">
      <c r="A3265" s="41">
        <v>11476</v>
      </c>
      <c r="B3265" s="42" t="s">
        <v>3639</v>
      </c>
      <c r="C3265" s="43" t="s">
        <v>289</v>
      </c>
      <c r="D3265" s="43" t="s">
        <v>468</v>
      </c>
      <c r="E3265" s="43" t="s">
        <v>1093</v>
      </c>
    </row>
    <row r="3266" spans="1:5" x14ac:dyDescent="0.25">
      <c r="A3266" s="41">
        <v>11493</v>
      </c>
      <c r="B3266" s="42" t="s">
        <v>3640</v>
      </c>
      <c r="C3266" s="43" t="s">
        <v>289</v>
      </c>
      <c r="D3266" s="43" t="s">
        <v>327</v>
      </c>
      <c r="E3266" s="43" t="s">
        <v>531</v>
      </c>
    </row>
    <row r="3267" spans="1:5" x14ac:dyDescent="0.25">
      <c r="A3267" s="41">
        <v>11494</v>
      </c>
      <c r="B3267" s="42" t="s">
        <v>3641</v>
      </c>
      <c r="C3267" s="43" t="s">
        <v>289</v>
      </c>
      <c r="D3267" s="43" t="s">
        <v>1073</v>
      </c>
      <c r="E3267" s="43" t="s">
        <v>230</v>
      </c>
    </row>
    <row r="3268" spans="1:5" x14ac:dyDescent="0.25">
      <c r="A3268" s="41">
        <v>11496</v>
      </c>
      <c r="B3268" s="42" t="s">
        <v>3642</v>
      </c>
      <c r="C3268" s="43" t="s">
        <v>289</v>
      </c>
      <c r="D3268" s="43" t="s">
        <v>3643</v>
      </c>
      <c r="E3268" s="43" t="s">
        <v>230</v>
      </c>
    </row>
    <row r="3269" spans="1:5" x14ac:dyDescent="0.25">
      <c r="A3269" s="41">
        <v>11498</v>
      </c>
      <c r="B3269" s="42" t="s">
        <v>3644</v>
      </c>
      <c r="C3269" s="43" t="s">
        <v>289</v>
      </c>
      <c r="D3269" s="43" t="s">
        <v>435</v>
      </c>
      <c r="E3269" s="43" t="s">
        <v>230</v>
      </c>
    </row>
    <row r="3270" spans="1:5" x14ac:dyDescent="0.25">
      <c r="A3270" s="41">
        <v>11500</v>
      </c>
      <c r="B3270" s="42" t="s">
        <v>3645</v>
      </c>
      <c r="C3270" s="43" t="s">
        <v>289</v>
      </c>
      <c r="D3270" s="43" t="s">
        <v>327</v>
      </c>
      <c r="E3270" s="43" t="s">
        <v>230</v>
      </c>
    </row>
    <row r="3271" spans="1:5" x14ac:dyDescent="0.25">
      <c r="A3271" s="41">
        <v>11529</v>
      </c>
      <c r="B3271" s="42" t="s">
        <v>3646</v>
      </c>
      <c r="C3271" s="43" t="s">
        <v>289</v>
      </c>
      <c r="D3271" s="43" t="s">
        <v>327</v>
      </c>
      <c r="E3271" s="43" t="s">
        <v>769</v>
      </c>
    </row>
    <row r="3272" spans="1:5" x14ac:dyDescent="0.25">
      <c r="A3272" s="41">
        <v>11532</v>
      </c>
      <c r="B3272" s="42" t="s">
        <v>3647</v>
      </c>
      <c r="C3272" s="43" t="s">
        <v>289</v>
      </c>
      <c r="D3272" s="43" t="s">
        <v>694</v>
      </c>
      <c r="E3272" s="43" t="s">
        <v>436</v>
      </c>
    </row>
    <row r="3273" spans="1:5" x14ac:dyDescent="0.25">
      <c r="A3273" s="41">
        <v>11533</v>
      </c>
      <c r="B3273" s="42" t="s">
        <v>3648</v>
      </c>
      <c r="C3273" s="43" t="s">
        <v>289</v>
      </c>
      <c r="D3273" s="43" t="s">
        <v>314</v>
      </c>
      <c r="E3273" s="43" t="s">
        <v>404</v>
      </c>
    </row>
    <row r="3274" spans="1:5" x14ac:dyDescent="0.25">
      <c r="A3274" s="41">
        <v>11537</v>
      </c>
      <c r="B3274" s="42" t="s">
        <v>3649</v>
      </c>
      <c r="C3274" s="43" t="s">
        <v>289</v>
      </c>
      <c r="D3274" s="43" t="s">
        <v>468</v>
      </c>
      <c r="E3274" s="43" t="s">
        <v>336</v>
      </c>
    </row>
    <row r="3275" spans="1:5" x14ac:dyDescent="0.25">
      <c r="A3275" s="41">
        <v>11542</v>
      </c>
      <c r="B3275" s="42" t="s">
        <v>3650</v>
      </c>
      <c r="C3275" s="43" t="s">
        <v>289</v>
      </c>
      <c r="D3275" s="43" t="s">
        <v>795</v>
      </c>
      <c r="E3275" s="43" t="s">
        <v>436</v>
      </c>
    </row>
    <row r="3276" spans="1:5" x14ac:dyDescent="0.25">
      <c r="A3276" s="41">
        <v>11547</v>
      </c>
      <c r="B3276" s="42" t="s">
        <v>3651</v>
      </c>
      <c r="C3276" s="43" t="s">
        <v>289</v>
      </c>
      <c r="D3276" s="43" t="s">
        <v>996</v>
      </c>
      <c r="E3276" s="43" t="s">
        <v>464</v>
      </c>
    </row>
    <row r="3277" spans="1:5" x14ac:dyDescent="0.25">
      <c r="A3277" s="41">
        <v>11549</v>
      </c>
      <c r="B3277" s="42" t="s">
        <v>3652</v>
      </c>
      <c r="C3277" s="43" t="s">
        <v>289</v>
      </c>
      <c r="D3277" s="43" t="s">
        <v>327</v>
      </c>
      <c r="E3277" s="43" t="s">
        <v>436</v>
      </c>
    </row>
    <row r="3278" spans="1:5" x14ac:dyDescent="0.25">
      <c r="A3278" s="41">
        <v>11570</v>
      </c>
      <c r="B3278" s="42" t="s">
        <v>3653</v>
      </c>
      <c r="C3278" s="43" t="s">
        <v>289</v>
      </c>
      <c r="D3278" s="43" t="s">
        <v>474</v>
      </c>
      <c r="E3278" s="43" t="s">
        <v>531</v>
      </c>
    </row>
    <row r="3279" spans="1:5" x14ac:dyDescent="0.25">
      <c r="A3279" s="41">
        <v>11571</v>
      </c>
      <c r="B3279" s="42" t="s">
        <v>3654</v>
      </c>
      <c r="C3279" s="43" t="s">
        <v>289</v>
      </c>
      <c r="D3279" s="43" t="s">
        <v>333</v>
      </c>
      <c r="E3279" s="43" t="s">
        <v>230</v>
      </c>
    </row>
    <row r="3280" spans="1:5" x14ac:dyDescent="0.25">
      <c r="A3280" s="41">
        <v>11576</v>
      </c>
      <c r="B3280" s="42" t="s">
        <v>3655</v>
      </c>
      <c r="C3280" s="43" t="s">
        <v>289</v>
      </c>
      <c r="D3280" s="43" t="s">
        <v>290</v>
      </c>
      <c r="E3280" s="43" t="s">
        <v>230</v>
      </c>
    </row>
    <row r="3281" spans="1:5" x14ac:dyDescent="0.25">
      <c r="A3281" s="41">
        <v>11577</v>
      </c>
      <c r="B3281" s="42" t="s">
        <v>3656</v>
      </c>
      <c r="C3281" s="43" t="s">
        <v>289</v>
      </c>
      <c r="D3281" s="43" t="s">
        <v>290</v>
      </c>
      <c r="E3281" s="43" t="s">
        <v>230</v>
      </c>
    </row>
    <row r="3282" spans="1:5" x14ac:dyDescent="0.25">
      <c r="A3282" s="41">
        <v>11578</v>
      </c>
      <c r="B3282" s="42" t="s">
        <v>3657</v>
      </c>
      <c r="C3282" s="43" t="s">
        <v>289</v>
      </c>
      <c r="D3282" s="43" t="s">
        <v>327</v>
      </c>
      <c r="E3282" s="43" t="s">
        <v>170</v>
      </c>
    </row>
    <row r="3283" spans="1:5" x14ac:dyDescent="0.25">
      <c r="A3283" s="41">
        <v>11584</v>
      </c>
      <c r="B3283" s="42" t="s">
        <v>3658</v>
      </c>
      <c r="C3283" s="43" t="s">
        <v>289</v>
      </c>
      <c r="D3283" s="43" t="s">
        <v>2080</v>
      </c>
      <c r="E3283" s="43" t="s">
        <v>230</v>
      </c>
    </row>
    <row r="3284" spans="1:5" x14ac:dyDescent="0.25">
      <c r="A3284" s="41">
        <v>11585</v>
      </c>
      <c r="B3284" s="42" t="s">
        <v>3659</v>
      </c>
      <c r="C3284" s="43" t="s">
        <v>289</v>
      </c>
      <c r="D3284" s="43" t="s">
        <v>474</v>
      </c>
      <c r="E3284" s="43" t="s">
        <v>531</v>
      </c>
    </row>
    <row r="3285" spans="1:5" x14ac:dyDescent="0.25">
      <c r="A3285" s="41">
        <v>11587</v>
      </c>
      <c r="B3285" s="42" t="s">
        <v>3660</v>
      </c>
      <c r="C3285" s="43" t="s">
        <v>289</v>
      </c>
      <c r="D3285" s="43" t="s">
        <v>327</v>
      </c>
      <c r="E3285" s="43" t="s">
        <v>336</v>
      </c>
    </row>
    <row r="3286" spans="1:5" x14ac:dyDescent="0.25">
      <c r="A3286" s="41">
        <v>11597</v>
      </c>
      <c r="B3286" s="42" t="s">
        <v>3661</v>
      </c>
      <c r="C3286" s="43" t="s">
        <v>289</v>
      </c>
      <c r="D3286" s="43" t="s">
        <v>996</v>
      </c>
      <c r="E3286" s="43" t="s">
        <v>230</v>
      </c>
    </row>
    <row r="3287" spans="1:5" x14ac:dyDescent="0.25">
      <c r="A3287" s="41">
        <v>11599</v>
      </c>
      <c r="B3287" s="42" t="s">
        <v>3662</v>
      </c>
      <c r="C3287" s="43" t="s">
        <v>289</v>
      </c>
      <c r="D3287" s="43" t="s">
        <v>996</v>
      </c>
      <c r="E3287" s="43" t="s">
        <v>230</v>
      </c>
    </row>
    <row r="3288" spans="1:5" x14ac:dyDescent="0.25">
      <c r="A3288" s="41">
        <v>11601</v>
      </c>
      <c r="B3288" s="42" t="s">
        <v>3663</v>
      </c>
      <c r="C3288" s="43" t="s">
        <v>289</v>
      </c>
      <c r="D3288" s="43" t="s">
        <v>996</v>
      </c>
      <c r="E3288" s="43" t="s">
        <v>170</v>
      </c>
    </row>
    <row r="3289" spans="1:5" x14ac:dyDescent="0.25">
      <c r="A3289" s="41">
        <v>11603</v>
      </c>
      <c r="B3289" s="42" t="s">
        <v>3664</v>
      </c>
      <c r="C3289" s="43" t="s">
        <v>289</v>
      </c>
      <c r="D3289" s="43" t="s">
        <v>996</v>
      </c>
      <c r="E3289" s="43" t="s">
        <v>230</v>
      </c>
    </row>
    <row r="3290" spans="1:5" x14ac:dyDescent="0.25">
      <c r="A3290" s="41">
        <v>11611</v>
      </c>
      <c r="B3290" s="42" t="s">
        <v>3665</v>
      </c>
      <c r="C3290" s="43" t="s">
        <v>289</v>
      </c>
      <c r="D3290" s="43" t="s">
        <v>290</v>
      </c>
      <c r="E3290" s="43" t="s">
        <v>230</v>
      </c>
    </row>
    <row r="3291" spans="1:5" x14ac:dyDescent="0.25">
      <c r="A3291" s="41">
        <v>11617</v>
      </c>
      <c r="B3291" s="42" t="s">
        <v>3666</v>
      </c>
      <c r="C3291" s="43" t="s">
        <v>289</v>
      </c>
      <c r="D3291" s="43" t="s">
        <v>433</v>
      </c>
      <c r="E3291" s="43" t="s">
        <v>769</v>
      </c>
    </row>
    <row r="3292" spans="1:5" x14ac:dyDescent="0.25">
      <c r="A3292" s="41">
        <v>11625</v>
      </c>
      <c r="B3292" s="42" t="s">
        <v>3667</v>
      </c>
      <c r="C3292" s="43" t="s">
        <v>289</v>
      </c>
      <c r="D3292" s="43" t="s">
        <v>3668</v>
      </c>
      <c r="E3292" s="43" t="s">
        <v>230</v>
      </c>
    </row>
    <row r="3293" spans="1:5" x14ac:dyDescent="0.25">
      <c r="A3293" s="41">
        <v>11632</v>
      </c>
      <c r="B3293" s="42" t="s">
        <v>3669</v>
      </c>
      <c r="C3293" s="43" t="s">
        <v>289</v>
      </c>
      <c r="D3293" s="43" t="s">
        <v>333</v>
      </c>
      <c r="E3293" s="43" t="s">
        <v>230</v>
      </c>
    </row>
    <row r="3294" spans="1:5" x14ac:dyDescent="0.25">
      <c r="A3294" s="41">
        <v>11633</v>
      </c>
      <c r="B3294" s="42" t="s">
        <v>3670</v>
      </c>
      <c r="C3294" s="43" t="s">
        <v>289</v>
      </c>
      <c r="D3294" s="43" t="s">
        <v>333</v>
      </c>
      <c r="E3294" s="43" t="s">
        <v>373</v>
      </c>
    </row>
    <row r="3295" spans="1:5" x14ac:dyDescent="0.25">
      <c r="A3295" s="41">
        <v>11641</v>
      </c>
      <c r="B3295" s="42" t="s">
        <v>3671</v>
      </c>
      <c r="C3295" s="43" t="s">
        <v>289</v>
      </c>
      <c r="D3295" s="43" t="s">
        <v>410</v>
      </c>
      <c r="E3295" s="43" t="s">
        <v>464</v>
      </c>
    </row>
    <row r="3296" spans="1:5" x14ac:dyDescent="0.25">
      <c r="A3296" s="41">
        <v>11643</v>
      </c>
      <c r="B3296" s="42" t="s">
        <v>3672</v>
      </c>
      <c r="C3296" s="43" t="s">
        <v>289</v>
      </c>
      <c r="D3296" s="43" t="s">
        <v>996</v>
      </c>
      <c r="E3296" s="43" t="s">
        <v>230</v>
      </c>
    </row>
    <row r="3297" spans="1:5" x14ac:dyDescent="0.25">
      <c r="A3297" s="41">
        <v>11646</v>
      </c>
      <c r="B3297" s="42" t="s">
        <v>3673</v>
      </c>
      <c r="C3297" s="43" t="s">
        <v>289</v>
      </c>
      <c r="D3297" s="43" t="s">
        <v>333</v>
      </c>
      <c r="E3297" s="43" t="s">
        <v>230</v>
      </c>
    </row>
    <row r="3298" spans="1:5" x14ac:dyDescent="0.25">
      <c r="A3298" s="41">
        <v>11647</v>
      </c>
      <c r="B3298" s="42" t="s">
        <v>3674</v>
      </c>
      <c r="C3298" s="43" t="s">
        <v>289</v>
      </c>
      <c r="D3298" s="43" t="s">
        <v>316</v>
      </c>
      <c r="E3298" s="43" t="s">
        <v>230</v>
      </c>
    </row>
    <row r="3299" spans="1:5" x14ac:dyDescent="0.25">
      <c r="A3299" s="41">
        <v>11651</v>
      </c>
      <c r="B3299" s="42" t="s">
        <v>3675</v>
      </c>
      <c r="C3299" s="43" t="s">
        <v>289</v>
      </c>
      <c r="D3299" s="43" t="s">
        <v>316</v>
      </c>
      <c r="E3299" s="43" t="s">
        <v>454</v>
      </c>
    </row>
    <row r="3300" spans="1:5" x14ac:dyDescent="0.25">
      <c r="A3300" s="41">
        <v>11653</v>
      </c>
      <c r="B3300" s="42" t="s">
        <v>3676</v>
      </c>
      <c r="C3300" s="43" t="s">
        <v>289</v>
      </c>
      <c r="D3300" s="43" t="s">
        <v>316</v>
      </c>
      <c r="E3300" s="43" t="s">
        <v>230</v>
      </c>
    </row>
    <row r="3301" spans="1:5" x14ac:dyDescent="0.25">
      <c r="A3301" s="41">
        <v>11655</v>
      </c>
      <c r="B3301" s="42" t="s">
        <v>3677</v>
      </c>
      <c r="C3301" s="43" t="s">
        <v>289</v>
      </c>
      <c r="D3301" s="43" t="s">
        <v>633</v>
      </c>
      <c r="E3301" s="43" t="s">
        <v>230</v>
      </c>
    </row>
    <row r="3302" spans="1:5" x14ac:dyDescent="0.25">
      <c r="A3302" s="41">
        <v>11657</v>
      </c>
      <c r="B3302" s="42" t="s">
        <v>3678</v>
      </c>
      <c r="C3302" s="43" t="s">
        <v>289</v>
      </c>
      <c r="D3302" s="43" t="s">
        <v>996</v>
      </c>
      <c r="E3302" s="43" t="s">
        <v>230</v>
      </c>
    </row>
    <row r="3303" spans="1:5" x14ac:dyDescent="0.25">
      <c r="A3303" s="41">
        <v>11658</v>
      </c>
      <c r="B3303" s="42" t="s">
        <v>3679</v>
      </c>
      <c r="C3303" s="43" t="s">
        <v>289</v>
      </c>
      <c r="D3303" s="43" t="s">
        <v>633</v>
      </c>
      <c r="E3303" s="43" t="s">
        <v>230</v>
      </c>
    </row>
    <row r="3304" spans="1:5" x14ac:dyDescent="0.25">
      <c r="A3304" s="41">
        <v>11659</v>
      </c>
      <c r="B3304" s="42" t="s">
        <v>3680</v>
      </c>
      <c r="C3304" s="43" t="s">
        <v>289</v>
      </c>
      <c r="D3304" s="43" t="s">
        <v>316</v>
      </c>
      <c r="E3304" s="43" t="s">
        <v>454</v>
      </c>
    </row>
    <row r="3305" spans="1:5" x14ac:dyDescent="0.25">
      <c r="A3305" s="41">
        <v>11666</v>
      </c>
      <c r="B3305" s="42" t="s">
        <v>3681</v>
      </c>
      <c r="C3305" s="43" t="s">
        <v>289</v>
      </c>
      <c r="D3305" s="43" t="s">
        <v>996</v>
      </c>
      <c r="E3305" s="43" t="s">
        <v>1093</v>
      </c>
    </row>
    <row r="3306" spans="1:5" x14ac:dyDescent="0.25">
      <c r="A3306" s="41">
        <v>11667</v>
      </c>
      <c r="B3306" s="42" t="s">
        <v>3682</v>
      </c>
      <c r="C3306" s="43" t="s">
        <v>289</v>
      </c>
      <c r="D3306" s="43" t="s">
        <v>316</v>
      </c>
      <c r="E3306" s="43" t="s">
        <v>230</v>
      </c>
    </row>
    <row r="3307" spans="1:5" x14ac:dyDescent="0.25">
      <c r="A3307" s="41">
        <v>11675</v>
      </c>
      <c r="B3307" s="42" t="s">
        <v>3683</v>
      </c>
      <c r="C3307" s="43" t="s">
        <v>289</v>
      </c>
      <c r="D3307" s="43" t="s">
        <v>438</v>
      </c>
      <c r="E3307" s="43" t="s">
        <v>230</v>
      </c>
    </row>
    <row r="3308" spans="1:5" x14ac:dyDescent="0.25">
      <c r="A3308" s="41">
        <v>11676</v>
      </c>
      <c r="B3308" s="42" t="s">
        <v>3684</v>
      </c>
      <c r="C3308" s="43" t="s">
        <v>289</v>
      </c>
      <c r="D3308" s="43" t="s">
        <v>327</v>
      </c>
      <c r="E3308" s="43" t="s">
        <v>230</v>
      </c>
    </row>
    <row r="3309" spans="1:5" x14ac:dyDescent="0.25">
      <c r="A3309" s="41">
        <v>11679</v>
      </c>
      <c r="B3309" s="42" t="s">
        <v>3685</v>
      </c>
      <c r="C3309" s="43" t="s">
        <v>289</v>
      </c>
      <c r="D3309" s="43" t="s">
        <v>327</v>
      </c>
      <c r="E3309" s="43" t="s">
        <v>230</v>
      </c>
    </row>
    <row r="3310" spans="1:5" x14ac:dyDescent="0.25">
      <c r="A3310" s="41">
        <v>11700</v>
      </c>
      <c r="B3310" s="42" t="s">
        <v>3686</v>
      </c>
      <c r="C3310" s="43" t="s">
        <v>289</v>
      </c>
      <c r="D3310" s="43" t="s">
        <v>635</v>
      </c>
      <c r="E3310" s="43" t="s">
        <v>464</v>
      </c>
    </row>
    <row r="3311" spans="1:5" x14ac:dyDescent="0.25">
      <c r="A3311" s="41">
        <v>11701</v>
      </c>
      <c r="B3311" s="42" t="s">
        <v>3687</v>
      </c>
      <c r="C3311" s="43" t="s">
        <v>289</v>
      </c>
      <c r="D3311" s="43" t="s">
        <v>763</v>
      </c>
      <c r="E3311" s="43" t="s">
        <v>230</v>
      </c>
    </row>
    <row r="3312" spans="1:5" x14ac:dyDescent="0.25">
      <c r="A3312" s="41">
        <v>11713</v>
      </c>
      <c r="B3312" s="42" t="s">
        <v>3688</v>
      </c>
      <c r="C3312" s="43" t="s">
        <v>289</v>
      </c>
      <c r="D3312" s="43" t="s">
        <v>327</v>
      </c>
      <c r="E3312" s="43" t="s">
        <v>230</v>
      </c>
    </row>
    <row r="3313" spans="1:5" x14ac:dyDescent="0.25">
      <c r="A3313" s="41">
        <v>11714</v>
      </c>
      <c r="B3313" s="42" t="s">
        <v>3689</v>
      </c>
      <c r="C3313" s="43" t="s">
        <v>289</v>
      </c>
      <c r="D3313" s="43" t="s">
        <v>327</v>
      </c>
      <c r="E3313" s="43" t="s">
        <v>230</v>
      </c>
    </row>
    <row r="3314" spans="1:5" x14ac:dyDescent="0.25">
      <c r="A3314" s="41">
        <v>11725</v>
      </c>
      <c r="B3314" s="42" t="s">
        <v>3690</v>
      </c>
      <c r="C3314" s="43" t="s">
        <v>289</v>
      </c>
      <c r="D3314" s="43" t="s">
        <v>633</v>
      </c>
      <c r="E3314" s="43" t="s">
        <v>454</v>
      </c>
    </row>
    <row r="3315" spans="1:5" x14ac:dyDescent="0.25">
      <c r="A3315" s="41">
        <v>11726</v>
      </c>
      <c r="B3315" s="42" t="s">
        <v>3691</v>
      </c>
      <c r="C3315" s="43" t="s">
        <v>289</v>
      </c>
      <c r="D3315" s="43" t="s">
        <v>2647</v>
      </c>
      <c r="E3315" s="43" t="s">
        <v>464</v>
      </c>
    </row>
    <row r="3316" spans="1:5" x14ac:dyDescent="0.25">
      <c r="A3316" s="41">
        <v>11729</v>
      </c>
      <c r="B3316" s="42" t="s">
        <v>3692</v>
      </c>
      <c r="C3316" s="43" t="s">
        <v>289</v>
      </c>
      <c r="D3316" s="43" t="s">
        <v>795</v>
      </c>
      <c r="E3316" s="43" t="s">
        <v>464</v>
      </c>
    </row>
    <row r="3317" spans="1:5" x14ac:dyDescent="0.25">
      <c r="A3317" s="41">
        <v>11732</v>
      </c>
      <c r="B3317" s="42" t="s">
        <v>3693</v>
      </c>
      <c r="C3317" s="43" t="s">
        <v>289</v>
      </c>
      <c r="D3317" s="43" t="s">
        <v>996</v>
      </c>
      <c r="E3317" s="43" t="s">
        <v>531</v>
      </c>
    </row>
    <row r="3318" spans="1:5" x14ac:dyDescent="0.25">
      <c r="A3318" s="41">
        <v>11733</v>
      </c>
      <c r="B3318" s="42" t="s">
        <v>3694</v>
      </c>
      <c r="C3318" s="43" t="s">
        <v>289</v>
      </c>
      <c r="D3318" s="43" t="s">
        <v>996</v>
      </c>
      <c r="E3318" s="43" t="s">
        <v>230</v>
      </c>
    </row>
    <row r="3319" spans="1:5" x14ac:dyDescent="0.25">
      <c r="A3319" s="41">
        <v>11735</v>
      </c>
      <c r="B3319" s="42" t="s">
        <v>3695</v>
      </c>
      <c r="C3319" s="43" t="s">
        <v>289</v>
      </c>
      <c r="D3319" s="43" t="s">
        <v>996</v>
      </c>
      <c r="E3319" s="43" t="s">
        <v>230</v>
      </c>
    </row>
    <row r="3320" spans="1:5" x14ac:dyDescent="0.25">
      <c r="A3320" s="41">
        <v>11737</v>
      </c>
      <c r="B3320" s="42" t="s">
        <v>3696</v>
      </c>
      <c r="C3320" s="43" t="s">
        <v>289</v>
      </c>
      <c r="D3320" s="43" t="s">
        <v>996</v>
      </c>
      <c r="E3320" s="43" t="s">
        <v>230</v>
      </c>
    </row>
    <row r="3321" spans="1:5" x14ac:dyDescent="0.25">
      <c r="A3321" s="41">
        <v>11747</v>
      </c>
      <c r="B3321" s="42" t="s">
        <v>3697</v>
      </c>
      <c r="C3321" s="43" t="s">
        <v>289</v>
      </c>
      <c r="D3321" s="43" t="s">
        <v>316</v>
      </c>
      <c r="E3321" s="43" t="s">
        <v>230</v>
      </c>
    </row>
    <row r="3322" spans="1:5" x14ac:dyDescent="0.25">
      <c r="A3322" s="41">
        <v>11748</v>
      </c>
      <c r="B3322" s="42" t="s">
        <v>3698</v>
      </c>
      <c r="C3322" s="43" t="s">
        <v>289</v>
      </c>
      <c r="D3322" s="43" t="s">
        <v>3556</v>
      </c>
      <c r="E3322" s="43" t="s">
        <v>464</v>
      </c>
    </row>
    <row r="3323" spans="1:5" x14ac:dyDescent="0.25">
      <c r="A3323" s="41">
        <v>11752</v>
      </c>
      <c r="B3323" s="42" t="s">
        <v>3699</v>
      </c>
      <c r="C3323" s="43" t="s">
        <v>289</v>
      </c>
      <c r="D3323" s="43" t="s">
        <v>327</v>
      </c>
      <c r="E3323" s="43" t="s">
        <v>864</v>
      </c>
    </row>
    <row r="3324" spans="1:5" x14ac:dyDescent="0.25">
      <c r="A3324" s="41">
        <v>11753</v>
      </c>
      <c r="B3324" s="42" t="s">
        <v>3700</v>
      </c>
      <c r="C3324" s="43" t="s">
        <v>289</v>
      </c>
      <c r="D3324" s="43" t="s">
        <v>996</v>
      </c>
      <c r="E3324" s="43" t="s">
        <v>230</v>
      </c>
    </row>
    <row r="3325" spans="1:5" x14ac:dyDescent="0.25">
      <c r="A3325" s="41">
        <v>11759</v>
      </c>
      <c r="B3325" s="42" t="s">
        <v>3701</v>
      </c>
      <c r="C3325" s="43" t="s">
        <v>289</v>
      </c>
      <c r="D3325" s="43" t="s">
        <v>468</v>
      </c>
      <c r="E3325" s="43" t="s">
        <v>230</v>
      </c>
    </row>
    <row r="3326" spans="1:5" x14ac:dyDescent="0.25">
      <c r="A3326" s="41">
        <v>11761</v>
      </c>
      <c r="B3326" s="42" t="s">
        <v>3702</v>
      </c>
      <c r="C3326" s="43" t="s">
        <v>289</v>
      </c>
      <c r="D3326" s="43" t="s">
        <v>996</v>
      </c>
      <c r="E3326" s="43" t="s">
        <v>531</v>
      </c>
    </row>
    <row r="3327" spans="1:5" x14ac:dyDescent="0.25">
      <c r="A3327" s="41">
        <v>11769</v>
      </c>
      <c r="B3327" s="42" t="s">
        <v>3703</v>
      </c>
      <c r="C3327" s="43" t="s">
        <v>289</v>
      </c>
      <c r="D3327" s="43" t="s">
        <v>314</v>
      </c>
      <c r="E3327" s="43" t="s">
        <v>336</v>
      </c>
    </row>
    <row r="3328" spans="1:5" x14ac:dyDescent="0.25">
      <c r="A3328" s="41">
        <v>11770</v>
      </c>
      <c r="B3328" s="42" t="s">
        <v>3704</v>
      </c>
      <c r="C3328" s="43" t="s">
        <v>289</v>
      </c>
      <c r="D3328" s="43" t="s">
        <v>333</v>
      </c>
      <c r="E3328" s="43" t="s">
        <v>170</v>
      </c>
    </row>
    <row r="3329" spans="1:5" x14ac:dyDescent="0.25">
      <c r="A3329" s="41">
        <v>11771</v>
      </c>
      <c r="B3329" s="42" t="s">
        <v>3705</v>
      </c>
      <c r="C3329" s="43" t="s">
        <v>289</v>
      </c>
      <c r="D3329" s="43" t="s">
        <v>314</v>
      </c>
      <c r="E3329" s="43" t="s">
        <v>464</v>
      </c>
    </row>
    <row r="3330" spans="1:5" x14ac:dyDescent="0.25">
      <c r="A3330" s="41">
        <v>11773</v>
      </c>
      <c r="B3330" s="42" t="s">
        <v>3706</v>
      </c>
      <c r="C3330" s="43" t="s">
        <v>289</v>
      </c>
      <c r="D3330" s="43" t="s">
        <v>327</v>
      </c>
      <c r="E3330" s="43" t="s">
        <v>230</v>
      </c>
    </row>
    <row r="3331" spans="1:5" x14ac:dyDescent="0.25">
      <c r="A3331" s="41">
        <v>11774</v>
      </c>
      <c r="B3331" s="42" t="s">
        <v>3707</v>
      </c>
      <c r="C3331" s="43" t="s">
        <v>289</v>
      </c>
      <c r="D3331" s="43" t="s">
        <v>327</v>
      </c>
      <c r="E3331" s="43" t="s">
        <v>230</v>
      </c>
    </row>
    <row r="3332" spans="1:5" x14ac:dyDescent="0.25">
      <c r="A3332" s="41">
        <v>11775</v>
      </c>
      <c r="B3332" s="42" t="s">
        <v>3708</v>
      </c>
      <c r="C3332" s="43" t="s">
        <v>289</v>
      </c>
      <c r="D3332" s="43" t="s">
        <v>327</v>
      </c>
      <c r="E3332" s="43" t="s">
        <v>230</v>
      </c>
    </row>
    <row r="3333" spans="1:5" x14ac:dyDescent="0.25">
      <c r="A3333" s="41">
        <v>11788</v>
      </c>
      <c r="B3333" s="42" t="s">
        <v>3709</v>
      </c>
      <c r="C3333" s="43" t="s">
        <v>289</v>
      </c>
      <c r="D3333" s="43" t="s">
        <v>333</v>
      </c>
      <c r="E3333" s="43" t="s">
        <v>230</v>
      </c>
    </row>
    <row r="3334" spans="1:5" x14ac:dyDescent="0.25">
      <c r="A3334" s="41">
        <v>11791</v>
      </c>
      <c r="B3334" s="42" t="s">
        <v>3710</v>
      </c>
      <c r="C3334" s="43" t="s">
        <v>289</v>
      </c>
      <c r="D3334" s="43" t="s">
        <v>410</v>
      </c>
      <c r="E3334" s="43" t="s">
        <v>230</v>
      </c>
    </row>
    <row r="3335" spans="1:5" x14ac:dyDescent="0.25">
      <c r="A3335" s="41">
        <v>11792</v>
      </c>
      <c r="B3335" s="42" t="s">
        <v>3711</v>
      </c>
      <c r="C3335" s="43" t="s">
        <v>289</v>
      </c>
      <c r="D3335" s="43" t="s">
        <v>410</v>
      </c>
      <c r="E3335" s="43" t="s">
        <v>230</v>
      </c>
    </row>
    <row r="3336" spans="1:5" x14ac:dyDescent="0.25">
      <c r="A3336" s="41">
        <v>11793</v>
      </c>
      <c r="B3336" s="42" t="s">
        <v>3712</v>
      </c>
      <c r="C3336" s="43" t="s">
        <v>289</v>
      </c>
      <c r="D3336" s="43" t="s">
        <v>410</v>
      </c>
      <c r="E3336" s="43" t="s">
        <v>230</v>
      </c>
    </row>
    <row r="3337" spans="1:5" x14ac:dyDescent="0.25">
      <c r="A3337" s="41">
        <v>11794</v>
      </c>
      <c r="B3337" s="42" t="s">
        <v>3713</v>
      </c>
      <c r="C3337" s="43" t="s">
        <v>289</v>
      </c>
      <c r="D3337" s="43" t="s">
        <v>410</v>
      </c>
      <c r="E3337" s="43" t="s">
        <v>230</v>
      </c>
    </row>
    <row r="3338" spans="1:5" x14ac:dyDescent="0.25">
      <c r="A3338" s="41">
        <v>11795</v>
      </c>
      <c r="B3338" s="42" t="s">
        <v>3714</v>
      </c>
      <c r="C3338" s="43" t="s">
        <v>289</v>
      </c>
      <c r="D3338" s="43" t="s">
        <v>410</v>
      </c>
      <c r="E3338" s="43" t="s">
        <v>230</v>
      </c>
    </row>
    <row r="3339" spans="1:5" x14ac:dyDescent="0.25">
      <c r="A3339" s="41">
        <v>11796</v>
      </c>
      <c r="B3339" s="42" t="s">
        <v>3715</v>
      </c>
      <c r="C3339" s="43" t="s">
        <v>289</v>
      </c>
      <c r="D3339" s="43" t="s">
        <v>410</v>
      </c>
      <c r="E3339" s="43" t="s">
        <v>230</v>
      </c>
    </row>
    <row r="3340" spans="1:5" x14ac:dyDescent="0.25">
      <c r="A3340" s="41">
        <v>11798</v>
      </c>
      <c r="B3340" s="42" t="s">
        <v>3716</v>
      </c>
      <c r="C3340" s="43" t="s">
        <v>289</v>
      </c>
      <c r="D3340" s="43" t="s">
        <v>375</v>
      </c>
      <c r="E3340" s="43" t="s">
        <v>336</v>
      </c>
    </row>
    <row r="3341" spans="1:5" x14ac:dyDescent="0.25">
      <c r="A3341" s="41">
        <v>11799</v>
      </c>
      <c r="B3341" s="42" t="s">
        <v>3717</v>
      </c>
      <c r="C3341" s="43" t="s">
        <v>289</v>
      </c>
      <c r="D3341" s="43" t="s">
        <v>375</v>
      </c>
      <c r="E3341" s="43" t="s">
        <v>336</v>
      </c>
    </row>
    <row r="3342" spans="1:5" x14ac:dyDescent="0.25">
      <c r="A3342" s="41">
        <v>11802</v>
      </c>
      <c r="B3342" s="42" t="s">
        <v>3718</v>
      </c>
      <c r="C3342" s="43" t="s">
        <v>289</v>
      </c>
      <c r="D3342" s="43" t="s">
        <v>314</v>
      </c>
      <c r="E3342" s="43" t="s">
        <v>464</v>
      </c>
    </row>
    <row r="3343" spans="1:5" x14ac:dyDescent="0.25">
      <c r="A3343" s="41">
        <v>11804</v>
      </c>
      <c r="B3343" s="42" t="s">
        <v>3719</v>
      </c>
      <c r="C3343" s="43" t="s">
        <v>289</v>
      </c>
      <c r="D3343" s="43" t="s">
        <v>316</v>
      </c>
      <c r="E3343" s="43" t="s">
        <v>230</v>
      </c>
    </row>
    <row r="3344" spans="1:5" x14ac:dyDescent="0.25">
      <c r="A3344" s="41">
        <v>11805</v>
      </c>
      <c r="B3344" s="42" t="s">
        <v>3720</v>
      </c>
      <c r="C3344" s="43" t="s">
        <v>289</v>
      </c>
      <c r="D3344" s="43" t="s">
        <v>327</v>
      </c>
      <c r="E3344" s="43" t="s">
        <v>230</v>
      </c>
    </row>
    <row r="3345" spans="1:5" x14ac:dyDescent="0.25">
      <c r="A3345" s="41">
        <v>11807</v>
      </c>
      <c r="B3345" s="42" t="s">
        <v>3721</v>
      </c>
      <c r="C3345" s="43" t="s">
        <v>289</v>
      </c>
      <c r="D3345" s="43" t="s">
        <v>435</v>
      </c>
      <c r="E3345" s="43" t="s">
        <v>531</v>
      </c>
    </row>
    <row r="3346" spans="1:5" x14ac:dyDescent="0.25">
      <c r="A3346" s="41">
        <v>11810</v>
      </c>
      <c r="B3346" s="42" t="s">
        <v>3722</v>
      </c>
      <c r="C3346" s="43" t="s">
        <v>289</v>
      </c>
      <c r="D3346" s="43" t="s">
        <v>795</v>
      </c>
      <c r="E3346" s="43" t="s">
        <v>170</v>
      </c>
    </row>
    <row r="3347" spans="1:5" x14ac:dyDescent="0.25">
      <c r="A3347" s="41">
        <v>11817</v>
      </c>
      <c r="B3347" s="42" t="s">
        <v>3723</v>
      </c>
      <c r="C3347" s="43" t="s">
        <v>289</v>
      </c>
      <c r="D3347" s="43" t="s">
        <v>314</v>
      </c>
      <c r="E3347" s="43" t="s">
        <v>464</v>
      </c>
    </row>
    <row r="3348" spans="1:5" x14ac:dyDescent="0.25">
      <c r="A3348" s="41">
        <v>11822</v>
      </c>
      <c r="B3348" s="42" t="s">
        <v>3724</v>
      </c>
      <c r="C3348" s="43" t="s">
        <v>289</v>
      </c>
      <c r="D3348" s="43" t="s">
        <v>468</v>
      </c>
      <c r="E3348" s="43" t="s">
        <v>230</v>
      </c>
    </row>
    <row r="3349" spans="1:5" x14ac:dyDescent="0.25">
      <c r="A3349" s="41">
        <v>11824</v>
      </c>
      <c r="B3349" s="42" t="s">
        <v>3725</v>
      </c>
      <c r="C3349" s="43" t="s">
        <v>289</v>
      </c>
      <c r="D3349" s="43" t="s">
        <v>327</v>
      </c>
      <c r="E3349" s="43" t="s">
        <v>354</v>
      </c>
    </row>
    <row r="3350" spans="1:5" x14ac:dyDescent="0.25">
      <c r="A3350" s="41">
        <v>11825</v>
      </c>
      <c r="B3350" s="42" t="s">
        <v>3726</v>
      </c>
      <c r="C3350" s="43" t="s">
        <v>289</v>
      </c>
      <c r="D3350" s="43" t="s">
        <v>327</v>
      </c>
      <c r="E3350" s="43" t="s">
        <v>864</v>
      </c>
    </row>
    <row r="3351" spans="1:5" x14ac:dyDescent="0.25">
      <c r="A3351" s="41">
        <v>11833</v>
      </c>
      <c r="B3351" s="42" t="s">
        <v>3727</v>
      </c>
      <c r="C3351" s="43" t="s">
        <v>289</v>
      </c>
      <c r="D3351" s="43" t="s">
        <v>316</v>
      </c>
      <c r="E3351" s="43" t="s">
        <v>230</v>
      </c>
    </row>
    <row r="3352" spans="1:5" x14ac:dyDescent="0.25">
      <c r="A3352" s="41">
        <v>11834</v>
      </c>
      <c r="B3352" s="42" t="s">
        <v>3728</v>
      </c>
      <c r="C3352" s="43" t="s">
        <v>289</v>
      </c>
      <c r="D3352" s="43" t="s">
        <v>316</v>
      </c>
      <c r="E3352" s="43" t="s">
        <v>230</v>
      </c>
    </row>
    <row r="3353" spans="1:5" x14ac:dyDescent="0.25">
      <c r="A3353" s="41">
        <v>11835</v>
      </c>
      <c r="B3353" s="42" t="s">
        <v>3729</v>
      </c>
      <c r="C3353" s="43" t="s">
        <v>289</v>
      </c>
      <c r="D3353" s="43" t="s">
        <v>316</v>
      </c>
      <c r="E3353" s="43" t="s">
        <v>230</v>
      </c>
    </row>
    <row r="3354" spans="1:5" x14ac:dyDescent="0.25">
      <c r="A3354" s="41">
        <v>11836</v>
      </c>
      <c r="B3354" s="42" t="s">
        <v>3730</v>
      </c>
      <c r="C3354" s="43" t="s">
        <v>289</v>
      </c>
      <c r="D3354" s="43" t="s">
        <v>316</v>
      </c>
      <c r="E3354" s="43" t="s">
        <v>230</v>
      </c>
    </row>
    <row r="3355" spans="1:5" x14ac:dyDescent="0.25">
      <c r="A3355" s="41">
        <v>11840</v>
      </c>
      <c r="B3355" s="42" t="s">
        <v>3731</v>
      </c>
      <c r="C3355" s="43" t="s">
        <v>289</v>
      </c>
      <c r="D3355" s="43" t="s">
        <v>468</v>
      </c>
      <c r="E3355" s="43" t="s">
        <v>354</v>
      </c>
    </row>
    <row r="3356" spans="1:5" x14ac:dyDescent="0.25">
      <c r="A3356" s="41">
        <v>11842</v>
      </c>
      <c r="B3356" s="42" t="s">
        <v>3732</v>
      </c>
      <c r="C3356" s="43" t="s">
        <v>289</v>
      </c>
      <c r="D3356" s="43" t="s">
        <v>3733</v>
      </c>
      <c r="E3356" s="43" t="s">
        <v>336</v>
      </c>
    </row>
    <row r="3357" spans="1:5" x14ac:dyDescent="0.25">
      <c r="A3357" s="41">
        <v>11844</v>
      </c>
      <c r="B3357" s="42" t="s">
        <v>3734</v>
      </c>
      <c r="C3357" s="43" t="s">
        <v>289</v>
      </c>
      <c r="D3357" s="43" t="s">
        <v>3733</v>
      </c>
      <c r="E3357" s="43" t="s">
        <v>230</v>
      </c>
    </row>
    <row r="3358" spans="1:5" x14ac:dyDescent="0.25">
      <c r="A3358" s="41">
        <v>11851</v>
      </c>
      <c r="B3358" s="42" t="s">
        <v>3735</v>
      </c>
      <c r="C3358" s="43" t="s">
        <v>289</v>
      </c>
      <c r="D3358" s="43" t="s">
        <v>468</v>
      </c>
      <c r="E3358" s="43" t="s">
        <v>230</v>
      </c>
    </row>
    <row r="3359" spans="1:5" x14ac:dyDescent="0.25">
      <c r="A3359" s="41">
        <v>11852</v>
      </c>
      <c r="B3359" s="42" t="s">
        <v>3736</v>
      </c>
      <c r="C3359" s="43" t="s">
        <v>289</v>
      </c>
      <c r="D3359" s="43" t="s">
        <v>811</v>
      </c>
      <c r="E3359" s="43" t="s">
        <v>230</v>
      </c>
    </row>
    <row r="3360" spans="1:5" x14ac:dyDescent="0.25">
      <c r="A3360" s="41">
        <v>11853</v>
      </c>
      <c r="B3360" s="42" t="s">
        <v>3737</v>
      </c>
      <c r="C3360" s="43" t="s">
        <v>289</v>
      </c>
      <c r="D3360" s="43" t="s">
        <v>996</v>
      </c>
      <c r="E3360" s="43" t="s">
        <v>336</v>
      </c>
    </row>
    <row r="3361" spans="1:5" x14ac:dyDescent="0.25">
      <c r="A3361" s="41">
        <v>11869</v>
      </c>
      <c r="B3361" s="42" t="s">
        <v>3738</v>
      </c>
      <c r="C3361" s="43" t="s">
        <v>289</v>
      </c>
      <c r="D3361" s="43" t="s">
        <v>327</v>
      </c>
      <c r="E3361" s="43" t="s">
        <v>230</v>
      </c>
    </row>
    <row r="3362" spans="1:5" x14ac:dyDescent="0.25">
      <c r="A3362" s="41">
        <v>11870</v>
      </c>
      <c r="B3362" s="42" t="s">
        <v>3739</v>
      </c>
      <c r="C3362" s="43" t="s">
        <v>289</v>
      </c>
      <c r="D3362" s="43" t="s">
        <v>327</v>
      </c>
      <c r="E3362" s="43" t="s">
        <v>864</v>
      </c>
    </row>
    <row r="3363" spans="1:5" x14ac:dyDescent="0.25">
      <c r="A3363" s="41">
        <v>11873</v>
      </c>
      <c r="B3363" s="42" t="s">
        <v>3740</v>
      </c>
      <c r="C3363" s="43" t="s">
        <v>289</v>
      </c>
      <c r="D3363" s="43" t="s">
        <v>523</v>
      </c>
      <c r="E3363" s="43" t="s">
        <v>464</v>
      </c>
    </row>
    <row r="3364" spans="1:5" x14ac:dyDescent="0.25">
      <c r="A3364" s="41">
        <v>11874</v>
      </c>
      <c r="B3364" s="42" t="s">
        <v>3741</v>
      </c>
      <c r="C3364" s="43" t="s">
        <v>289</v>
      </c>
      <c r="D3364" s="43" t="s">
        <v>694</v>
      </c>
      <c r="E3364" s="43" t="s">
        <v>464</v>
      </c>
    </row>
    <row r="3365" spans="1:5" x14ac:dyDescent="0.25">
      <c r="A3365" s="41">
        <v>11885</v>
      </c>
      <c r="B3365" s="42" t="s">
        <v>3742</v>
      </c>
      <c r="C3365" s="43" t="s">
        <v>289</v>
      </c>
      <c r="D3365" s="43" t="s">
        <v>314</v>
      </c>
      <c r="E3365" s="43" t="s">
        <v>230</v>
      </c>
    </row>
    <row r="3366" spans="1:5" x14ac:dyDescent="0.25">
      <c r="A3366" s="41">
        <v>11887</v>
      </c>
      <c r="B3366" s="42" t="s">
        <v>3743</v>
      </c>
      <c r="C3366" s="43" t="s">
        <v>289</v>
      </c>
      <c r="D3366" s="43" t="s">
        <v>314</v>
      </c>
      <c r="E3366" s="43" t="s">
        <v>230</v>
      </c>
    </row>
    <row r="3367" spans="1:5" x14ac:dyDescent="0.25">
      <c r="A3367" s="41">
        <v>11890</v>
      </c>
      <c r="B3367" s="42" t="s">
        <v>3744</v>
      </c>
      <c r="C3367" s="43" t="s">
        <v>289</v>
      </c>
      <c r="D3367" s="43" t="s">
        <v>314</v>
      </c>
      <c r="E3367" s="43" t="s">
        <v>230</v>
      </c>
    </row>
    <row r="3368" spans="1:5" x14ac:dyDescent="0.25">
      <c r="A3368" s="41">
        <v>11894</v>
      </c>
      <c r="B3368" s="42" t="s">
        <v>3745</v>
      </c>
      <c r="C3368" s="43" t="s">
        <v>289</v>
      </c>
      <c r="D3368" s="43" t="s">
        <v>314</v>
      </c>
      <c r="E3368" s="43" t="s">
        <v>230</v>
      </c>
    </row>
    <row r="3369" spans="1:5" x14ac:dyDescent="0.25">
      <c r="A3369" s="41">
        <v>11895</v>
      </c>
      <c r="B3369" s="42" t="s">
        <v>3746</v>
      </c>
      <c r="C3369" s="43" t="s">
        <v>289</v>
      </c>
      <c r="D3369" s="43" t="s">
        <v>314</v>
      </c>
      <c r="E3369" s="43" t="s">
        <v>230</v>
      </c>
    </row>
    <row r="3370" spans="1:5" x14ac:dyDescent="0.25">
      <c r="A3370" s="41">
        <v>11901</v>
      </c>
      <c r="B3370" s="42" t="s">
        <v>3747</v>
      </c>
      <c r="C3370" s="43" t="s">
        <v>289</v>
      </c>
      <c r="D3370" s="43" t="s">
        <v>314</v>
      </c>
      <c r="E3370" s="43" t="s">
        <v>230</v>
      </c>
    </row>
    <row r="3371" spans="1:5" x14ac:dyDescent="0.25">
      <c r="A3371" s="41">
        <v>11912</v>
      </c>
      <c r="B3371" s="42" t="s">
        <v>3748</v>
      </c>
      <c r="C3371" s="43" t="s">
        <v>289</v>
      </c>
      <c r="D3371" s="43" t="s">
        <v>314</v>
      </c>
      <c r="E3371" s="43" t="s">
        <v>230</v>
      </c>
    </row>
    <row r="3372" spans="1:5" x14ac:dyDescent="0.25">
      <c r="A3372" s="41">
        <v>11917</v>
      </c>
      <c r="B3372" s="42" t="s">
        <v>3749</v>
      </c>
      <c r="C3372" s="43" t="s">
        <v>289</v>
      </c>
      <c r="D3372" s="43" t="s">
        <v>314</v>
      </c>
      <c r="E3372" s="43" t="s">
        <v>230</v>
      </c>
    </row>
    <row r="3373" spans="1:5" x14ac:dyDescent="0.25">
      <c r="A3373" s="41">
        <v>11922</v>
      </c>
      <c r="B3373" s="42" t="s">
        <v>3750</v>
      </c>
      <c r="C3373" s="43" t="s">
        <v>289</v>
      </c>
      <c r="D3373" s="43" t="s">
        <v>433</v>
      </c>
      <c r="E3373" s="43" t="s">
        <v>230</v>
      </c>
    </row>
    <row r="3374" spans="1:5" x14ac:dyDescent="0.25">
      <c r="A3374" s="41">
        <v>11924</v>
      </c>
      <c r="B3374" s="42" t="s">
        <v>3751</v>
      </c>
      <c r="C3374" s="43" t="s">
        <v>289</v>
      </c>
      <c r="D3374" s="43" t="s">
        <v>314</v>
      </c>
      <c r="E3374" s="43" t="s">
        <v>230</v>
      </c>
    </row>
    <row r="3375" spans="1:5" x14ac:dyDescent="0.25">
      <c r="A3375" s="41">
        <v>11931</v>
      </c>
      <c r="B3375" s="42" t="s">
        <v>3752</v>
      </c>
      <c r="C3375" s="43" t="s">
        <v>289</v>
      </c>
      <c r="D3375" s="43" t="s">
        <v>433</v>
      </c>
      <c r="E3375" s="43" t="s">
        <v>230</v>
      </c>
    </row>
    <row r="3376" spans="1:5" x14ac:dyDescent="0.25">
      <c r="A3376" s="41">
        <v>11944</v>
      </c>
      <c r="B3376" s="42" t="s">
        <v>3753</v>
      </c>
      <c r="C3376" s="43" t="s">
        <v>289</v>
      </c>
      <c r="D3376" s="43" t="s">
        <v>3754</v>
      </c>
      <c r="E3376" s="43" t="s">
        <v>769</v>
      </c>
    </row>
    <row r="3377" spans="1:5" x14ac:dyDescent="0.25">
      <c r="A3377" s="41">
        <v>11948</v>
      </c>
      <c r="B3377" s="42" t="s">
        <v>3755</v>
      </c>
      <c r="C3377" s="43" t="s">
        <v>289</v>
      </c>
      <c r="D3377" s="43" t="s">
        <v>996</v>
      </c>
      <c r="E3377" s="43" t="s">
        <v>3254</v>
      </c>
    </row>
    <row r="3378" spans="1:5" x14ac:dyDescent="0.25">
      <c r="A3378" s="41">
        <v>11952</v>
      </c>
      <c r="B3378" s="42" t="s">
        <v>3756</v>
      </c>
      <c r="C3378" s="43" t="s">
        <v>289</v>
      </c>
      <c r="D3378" s="43" t="s">
        <v>327</v>
      </c>
      <c r="E3378" s="43" t="s">
        <v>454</v>
      </c>
    </row>
    <row r="3379" spans="1:5" x14ac:dyDescent="0.25">
      <c r="A3379" s="41">
        <v>11964</v>
      </c>
      <c r="B3379" s="42" t="s">
        <v>3757</v>
      </c>
      <c r="C3379" s="43" t="s">
        <v>289</v>
      </c>
      <c r="D3379" s="43" t="s">
        <v>327</v>
      </c>
      <c r="E3379" s="43" t="s">
        <v>464</v>
      </c>
    </row>
    <row r="3380" spans="1:5" x14ac:dyDescent="0.25">
      <c r="A3380" s="41">
        <v>11975</v>
      </c>
      <c r="B3380" s="42" t="s">
        <v>3758</v>
      </c>
      <c r="C3380" s="43" t="s">
        <v>289</v>
      </c>
      <c r="D3380" s="43" t="s">
        <v>314</v>
      </c>
      <c r="E3380" s="43" t="s">
        <v>230</v>
      </c>
    </row>
    <row r="3381" spans="1:5" x14ac:dyDescent="0.25">
      <c r="A3381" s="41">
        <v>11984</v>
      </c>
      <c r="B3381" s="42" t="s">
        <v>3759</v>
      </c>
      <c r="C3381" s="43" t="s">
        <v>289</v>
      </c>
      <c r="D3381" s="43" t="s">
        <v>438</v>
      </c>
      <c r="E3381" s="43" t="s">
        <v>230</v>
      </c>
    </row>
    <row r="3382" spans="1:5" x14ac:dyDescent="0.25">
      <c r="A3382" s="41">
        <v>11990</v>
      </c>
      <c r="B3382" s="42" t="s">
        <v>3760</v>
      </c>
      <c r="C3382" s="43" t="s">
        <v>289</v>
      </c>
      <c r="D3382" s="43" t="s">
        <v>410</v>
      </c>
      <c r="E3382" s="43" t="s">
        <v>464</v>
      </c>
    </row>
    <row r="3383" spans="1:5" x14ac:dyDescent="0.25">
      <c r="A3383" s="41">
        <v>11992</v>
      </c>
      <c r="B3383" s="42" t="s">
        <v>3761</v>
      </c>
      <c r="C3383" s="43" t="s">
        <v>289</v>
      </c>
      <c r="D3383" s="43" t="s">
        <v>327</v>
      </c>
      <c r="E3383" s="43" t="s">
        <v>230</v>
      </c>
    </row>
    <row r="3384" spans="1:5" x14ac:dyDescent="0.25">
      <c r="A3384" s="41">
        <v>11993</v>
      </c>
      <c r="B3384" s="42" t="s">
        <v>3762</v>
      </c>
      <c r="C3384" s="43" t="s">
        <v>289</v>
      </c>
      <c r="D3384" s="43" t="s">
        <v>327</v>
      </c>
      <c r="E3384" s="43" t="s">
        <v>230</v>
      </c>
    </row>
    <row r="3385" spans="1:5" x14ac:dyDescent="0.25">
      <c r="A3385" s="41">
        <v>11994</v>
      </c>
      <c r="B3385" s="42" t="s">
        <v>3763</v>
      </c>
      <c r="C3385" s="43" t="s">
        <v>289</v>
      </c>
      <c r="D3385" s="43" t="s">
        <v>327</v>
      </c>
      <c r="E3385" s="43" t="s">
        <v>230</v>
      </c>
    </row>
    <row r="3386" spans="1:5" x14ac:dyDescent="0.25">
      <c r="A3386" s="41">
        <v>11995</v>
      </c>
      <c r="B3386" s="42" t="s">
        <v>3764</v>
      </c>
      <c r="C3386" s="43" t="s">
        <v>289</v>
      </c>
      <c r="D3386" s="43" t="s">
        <v>327</v>
      </c>
      <c r="E3386" s="43" t="s">
        <v>230</v>
      </c>
    </row>
    <row r="3387" spans="1:5" x14ac:dyDescent="0.25">
      <c r="A3387" s="41">
        <v>12001</v>
      </c>
      <c r="B3387" s="42" t="s">
        <v>3765</v>
      </c>
      <c r="C3387" s="43" t="s">
        <v>289</v>
      </c>
      <c r="D3387" s="43" t="s">
        <v>410</v>
      </c>
      <c r="E3387" s="43" t="s">
        <v>464</v>
      </c>
    </row>
    <row r="3388" spans="1:5" x14ac:dyDescent="0.25">
      <c r="A3388" s="41">
        <v>12013</v>
      </c>
      <c r="B3388" s="42" t="s">
        <v>3766</v>
      </c>
      <c r="C3388" s="43" t="s">
        <v>289</v>
      </c>
      <c r="D3388" s="43" t="s">
        <v>333</v>
      </c>
      <c r="E3388" s="43" t="s">
        <v>170</v>
      </c>
    </row>
    <row r="3389" spans="1:5" x14ac:dyDescent="0.25">
      <c r="A3389" s="41">
        <v>12015</v>
      </c>
      <c r="B3389" s="42" t="s">
        <v>3767</v>
      </c>
      <c r="C3389" s="43" t="s">
        <v>289</v>
      </c>
      <c r="D3389" s="43" t="s">
        <v>3768</v>
      </c>
      <c r="E3389" s="43" t="s">
        <v>454</v>
      </c>
    </row>
    <row r="3390" spans="1:5" x14ac:dyDescent="0.25">
      <c r="A3390" s="41">
        <v>12021</v>
      </c>
      <c r="B3390" s="42" t="s">
        <v>3769</v>
      </c>
      <c r="C3390" s="43" t="s">
        <v>289</v>
      </c>
      <c r="D3390" s="43" t="s">
        <v>996</v>
      </c>
      <c r="E3390" s="43" t="s">
        <v>464</v>
      </c>
    </row>
    <row r="3391" spans="1:5" x14ac:dyDescent="0.25">
      <c r="A3391" s="41">
        <v>12032</v>
      </c>
      <c r="B3391" s="42" t="s">
        <v>3770</v>
      </c>
      <c r="C3391" s="43" t="s">
        <v>289</v>
      </c>
      <c r="D3391" s="43" t="s">
        <v>996</v>
      </c>
      <c r="E3391" s="43" t="s">
        <v>464</v>
      </c>
    </row>
    <row r="3392" spans="1:5" x14ac:dyDescent="0.25">
      <c r="A3392" s="41">
        <v>12035</v>
      </c>
      <c r="B3392" s="42" t="s">
        <v>3771</v>
      </c>
      <c r="C3392" s="43" t="s">
        <v>289</v>
      </c>
      <c r="D3392" s="43" t="s">
        <v>316</v>
      </c>
      <c r="E3392" s="43" t="s">
        <v>864</v>
      </c>
    </row>
    <row r="3393" spans="1:5" x14ac:dyDescent="0.25">
      <c r="A3393" s="41">
        <v>12037</v>
      </c>
      <c r="B3393" s="42" t="s">
        <v>3772</v>
      </c>
      <c r="C3393" s="43" t="s">
        <v>289</v>
      </c>
      <c r="D3393" s="43" t="s">
        <v>433</v>
      </c>
      <c r="E3393" s="43" t="s">
        <v>454</v>
      </c>
    </row>
    <row r="3394" spans="1:5" x14ac:dyDescent="0.25">
      <c r="A3394" s="41">
        <v>12038</v>
      </c>
      <c r="B3394" s="42" t="s">
        <v>3773</v>
      </c>
      <c r="C3394" s="43" t="s">
        <v>289</v>
      </c>
      <c r="D3394" s="43" t="s">
        <v>314</v>
      </c>
      <c r="E3394" s="43" t="s">
        <v>230</v>
      </c>
    </row>
    <row r="3395" spans="1:5" x14ac:dyDescent="0.25">
      <c r="A3395" s="41">
        <v>12039</v>
      </c>
      <c r="B3395" s="42" t="s">
        <v>3774</v>
      </c>
      <c r="C3395" s="43" t="s">
        <v>289</v>
      </c>
      <c r="D3395" s="43" t="s">
        <v>327</v>
      </c>
      <c r="E3395" s="43" t="s">
        <v>336</v>
      </c>
    </row>
    <row r="3396" spans="1:5" x14ac:dyDescent="0.25">
      <c r="A3396" s="41">
        <v>12053</v>
      </c>
      <c r="B3396" s="42" t="s">
        <v>3775</v>
      </c>
      <c r="C3396" s="43" t="s">
        <v>289</v>
      </c>
      <c r="D3396" s="43" t="s">
        <v>523</v>
      </c>
      <c r="E3396" s="43" t="s">
        <v>230</v>
      </c>
    </row>
    <row r="3397" spans="1:5" x14ac:dyDescent="0.25">
      <c r="A3397" s="41">
        <v>12055</v>
      </c>
      <c r="B3397" s="42" t="s">
        <v>3776</v>
      </c>
      <c r="C3397" s="43" t="s">
        <v>289</v>
      </c>
      <c r="D3397" s="43" t="s">
        <v>327</v>
      </c>
      <c r="E3397" s="43" t="s">
        <v>230</v>
      </c>
    </row>
    <row r="3398" spans="1:5" x14ac:dyDescent="0.25">
      <c r="A3398" s="41">
        <v>12057</v>
      </c>
      <c r="B3398" s="42" t="s">
        <v>3777</v>
      </c>
      <c r="C3398" s="43" t="s">
        <v>289</v>
      </c>
      <c r="D3398" s="43" t="s">
        <v>327</v>
      </c>
      <c r="E3398" s="43" t="s">
        <v>230</v>
      </c>
    </row>
    <row r="3399" spans="1:5" x14ac:dyDescent="0.25">
      <c r="A3399" s="41">
        <v>12067</v>
      </c>
      <c r="B3399" s="42" t="s">
        <v>3778</v>
      </c>
      <c r="C3399" s="43" t="s">
        <v>289</v>
      </c>
      <c r="D3399" s="43" t="s">
        <v>468</v>
      </c>
      <c r="E3399" s="43" t="s">
        <v>230</v>
      </c>
    </row>
    <row r="3400" spans="1:5" x14ac:dyDescent="0.25">
      <c r="A3400" s="41">
        <v>12074</v>
      </c>
      <c r="B3400" s="42" t="s">
        <v>3779</v>
      </c>
      <c r="C3400" s="43" t="s">
        <v>289</v>
      </c>
      <c r="D3400" s="43" t="s">
        <v>468</v>
      </c>
      <c r="E3400" s="43" t="s">
        <v>230</v>
      </c>
    </row>
    <row r="3401" spans="1:5" x14ac:dyDescent="0.25">
      <c r="A3401" s="41">
        <v>12076</v>
      </c>
      <c r="B3401" s="42" t="s">
        <v>3780</v>
      </c>
      <c r="C3401" s="43" t="s">
        <v>289</v>
      </c>
      <c r="D3401" s="43" t="s">
        <v>327</v>
      </c>
      <c r="E3401" s="43" t="s">
        <v>766</v>
      </c>
    </row>
    <row r="3402" spans="1:5" x14ac:dyDescent="0.25">
      <c r="A3402" s="41">
        <v>12092</v>
      </c>
      <c r="B3402" s="42" t="s">
        <v>3781</v>
      </c>
      <c r="C3402" s="43" t="s">
        <v>289</v>
      </c>
      <c r="D3402" s="43" t="s">
        <v>996</v>
      </c>
      <c r="E3402" s="43" t="s">
        <v>864</v>
      </c>
    </row>
    <row r="3403" spans="1:5" x14ac:dyDescent="0.25">
      <c r="A3403" s="41">
        <v>12094</v>
      </c>
      <c r="B3403" s="42" t="s">
        <v>3782</v>
      </c>
      <c r="C3403" s="43" t="s">
        <v>289</v>
      </c>
      <c r="D3403" s="43" t="s">
        <v>996</v>
      </c>
      <c r="E3403" s="43" t="s">
        <v>766</v>
      </c>
    </row>
    <row r="3404" spans="1:5" x14ac:dyDescent="0.25">
      <c r="A3404" s="41">
        <v>12105</v>
      </c>
      <c r="B3404" s="42" t="s">
        <v>3783</v>
      </c>
      <c r="C3404" s="43" t="s">
        <v>289</v>
      </c>
      <c r="D3404" s="43" t="s">
        <v>327</v>
      </c>
      <c r="E3404" s="43" t="s">
        <v>230</v>
      </c>
    </row>
    <row r="3405" spans="1:5" x14ac:dyDescent="0.25">
      <c r="A3405" s="41">
        <v>12110</v>
      </c>
      <c r="B3405" s="42" t="s">
        <v>3784</v>
      </c>
      <c r="C3405" s="43" t="s">
        <v>289</v>
      </c>
      <c r="D3405" s="43" t="s">
        <v>474</v>
      </c>
      <c r="E3405" s="43" t="s">
        <v>464</v>
      </c>
    </row>
    <row r="3406" spans="1:5" x14ac:dyDescent="0.25">
      <c r="A3406" s="41">
        <v>12120</v>
      </c>
      <c r="B3406" s="42" t="s">
        <v>3785</v>
      </c>
      <c r="C3406" s="43" t="s">
        <v>289</v>
      </c>
      <c r="D3406" s="43" t="s">
        <v>1100</v>
      </c>
      <c r="E3406" s="43" t="s">
        <v>230</v>
      </c>
    </row>
    <row r="3407" spans="1:5" x14ac:dyDescent="0.25">
      <c r="A3407" s="41">
        <v>12130</v>
      </c>
      <c r="B3407" s="42" t="s">
        <v>3786</v>
      </c>
      <c r="C3407" s="43" t="s">
        <v>289</v>
      </c>
      <c r="D3407" s="43" t="s">
        <v>474</v>
      </c>
      <c r="E3407" s="43" t="s">
        <v>373</v>
      </c>
    </row>
    <row r="3408" spans="1:5" x14ac:dyDescent="0.25">
      <c r="A3408" s="41">
        <v>12139</v>
      </c>
      <c r="B3408" s="42" t="s">
        <v>3787</v>
      </c>
      <c r="C3408" s="43" t="s">
        <v>289</v>
      </c>
      <c r="D3408" s="43" t="s">
        <v>327</v>
      </c>
      <c r="E3408" s="43" t="s">
        <v>230</v>
      </c>
    </row>
    <row r="3409" spans="1:5" x14ac:dyDescent="0.25">
      <c r="A3409" s="41">
        <v>12140</v>
      </c>
      <c r="B3409" s="42" t="s">
        <v>3788</v>
      </c>
      <c r="C3409" s="43" t="s">
        <v>289</v>
      </c>
      <c r="D3409" s="43" t="s">
        <v>327</v>
      </c>
      <c r="E3409" s="43" t="s">
        <v>230</v>
      </c>
    </row>
    <row r="3410" spans="1:5" x14ac:dyDescent="0.25">
      <c r="A3410" s="41">
        <v>12141</v>
      </c>
      <c r="B3410" s="42" t="s">
        <v>3789</v>
      </c>
      <c r="C3410" s="43" t="s">
        <v>289</v>
      </c>
      <c r="D3410" s="43" t="s">
        <v>1100</v>
      </c>
      <c r="E3410" s="43" t="s">
        <v>230</v>
      </c>
    </row>
    <row r="3411" spans="1:5" x14ac:dyDescent="0.25">
      <c r="A3411" s="41">
        <v>12142</v>
      </c>
      <c r="B3411" s="42" t="s">
        <v>3790</v>
      </c>
      <c r="C3411" s="43" t="s">
        <v>289</v>
      </c>
      <c r="D3411" s="43" t="s">
        <v>1100</v>
      </c>
      <c r="E3411" s="43" t="s">
        <v>230</v>
      </c>
    </row>
    <row r="3412" spans="1:5" x14ac:dyDescent="0.25">
      <c r="A3412" s="41">
        <v>12143</v>
      </c>
      <c r="B3412" s="42" t="s">
        <v>3791</v>
      </c>
      <c r="C3412" s="43" t="s">
        <v>289</v>
      </c>
      <c r="D3412" s="43" t="s">
        <v>327</v>
      </c>
      <c r="E3412" s="43" t="s">
        <v>336</v>
      </c>
    </row>
    <row r="3413" spans="1:5" x14ac:dyDescent="0.25">
      <c r="A3413" s="41">
        <v>12152</v>
      </c>
      <c r="B3413" s="42" t="s">
        <v>3792</v>
      </c>
      <c r="C3413" s="43" t="s">
        <v>289</v>
      </c>
      <c r="D3413" s="43" t="s">
        <v>327</v>
      </c>
      <c r="E3413" s="43" t="s">
        <v>1244</v>
      </c>
    </row>
    <row r="3414" spans="1:5" x14ac:dyDescent="0.25">
      <c r="A3414" s="41">
        <v>12154</v>
      </c>
      <c r="B3414" s="42" t="s">
        <v>3793</v>
      </c>
      <c r="C3414" s="43" t="s">
        <v>289</v>
      </c>
      <c r="D3414" s="43" t="s">
        <v>327</v>
      </c>
      <c r="E3414" s="43" t="s">
        <v>1093</v>
      </c>
    </row>
    <row r="3415" spans="1:5" x14ac:dyDescent="0.25">
      <c r="A3415" s="41">
        <v>12156</v>
      </c>
      <c r="B3415" s="42" t="s">
        <v>3794</v>
      </c>
      <c r="C3415" s="43" t="s">
        <v>289</v>
      </c>
      <c r="D3415" s="43" t="s">
        <v>316</v>
      </c>
      <c r="E3415" s="43" t="s">
        <v>230</v>
      </c>
    </row>
    <row r="3416" spans="1:5" x14ac:dyDescent="0.25">
      <c r="A3416" s="41">
        <v>12157</v>
      </c>
      <c r="B3416" s="42" t="s">
        <v>3795</v>
      </c>
      <c r="C3416" s="43" t="s">
        <v>289</v>
      </c>
      <c r="D3416" s="43" t="s">
        <v>996</v>
      </c>
      <c r="E3416" s="43" t="s">
        <v>454</v>
      </c>
    </row>
    <row r="3417" spans="1:5" x14ac:dyDescent="0.25">
      <c r="A3417" s="41">
        <v>12158</v>
      </c>
      <c r="B3417" s="42" t="s">
        <v>3796</v>
      </c>
      <c r="C3417" s="43" t="s">
        <v>289</v>
      </c>
      <c r="D3417" s="43" t="s">
        <v>996</v>
      </c>
      <c r="E3417" s="43" t="s">
        <v>230</v>
      </c>
    </row>
    <row r="3418" spans="1:5" x14ac:dyDescent="0.25">
      <c r="A3418" s="41">
        <v>12163</v>
      </c>
      <c r="B3418" s="42" t="s">
        <v>3797</v>
      </c>
      <c r="C3418" s="43" t="s">
        <v>289</v>
      </c>
      <c r="D3418" s="43" t="s">
        <v>763</v>
      </c>
      <c r="E3418" s="43" t="s">
        <v>230</v>
      </c>
    </row>
    <row r="3419" spans="1:5" x14ac:dyDescent="0.25">
      <c r="A3419" s="41">
        <v>12166</v>
      </c>
      <c r="B3419" s="42" t="s">
        <v>3798</v>
      </c>
      <c r="C3419" s="43" t="s">
        <v>289</v>
      </c>
      <c r="D3419" s="43" t="s">
        <v>327</v>
      </c>
      <c r="E3419" s="43" t="s">
        <v>230</v>
      </c>
    </row>
    <row r="3420" spans="1:5" x14ac:dyDescent="0.25">
      <c r="A3420" s="41">
        <v>12178</v>
      </c>
      <c r="B3420" s="42" t="s">
        <v>3799</v>
      </c>
      <c r="C3420" s="43" t="s">
        <v>289</v>
      </c>
      <c r="D3420" s="43" t="s">
        <v>811</v>
      </c>
      <c r="E3420" s="43" t="s">
        <v>230</v>
      </c>
    </row>
    <row r="3421" spans="1:5" x14ac:dyDescent="0.25">
      <c r="A3421" s="41">
        <v>12189</v>
      </c>
      <c r="B3421" s="42" t="s">
        <v>3800</v>
      </c>
      <c r="C3421" s="43" t="s">
        <v>289</v>
      </c>
      <c r="D3421" s="43" t="s">
        <v>635</v>
      </c>
      <c r="E3421" s="43" t="s">
        <v>230</v>
      </c>
    </row>
    <row r="3422" spans="1:5" x14ac:dyDescent="0.25">
      <c r="A3422" s="41">
        <v>12191</v>
      </c>
      <c r="B3422" s="42" t="s">
        <v>3801</v>
      </c>
      <c r="C3422" s="43" t="s">
        <v>289</v>
      </c>
      <c r="D3422" s="43" t="s">
        <v>290</v>
      </c>
      <c r="E3422" s="43" t="s">
        <v>230</v>
      </c>
    </row>
    <row r="3423" spans="1:5" x14ac:dyDescent="0.25">
      <c r="A3423" s="41">
        <v>12192</v>
      </c>
      <c r="B3423" s="42" t="s">
        <v>3802</v>
      </c>
      <c r="C3423" s="43" t="s">
        <v>289</v>
      </c>
      <c r="D3423" s="43" t="s">
        <v>290</v>
      </c>
      <c r="E3423" s="43" t="s">
        <v>230</v>
      </c>
    </row>
    <row r="3424" spans="1:5" x14ac:dyDescent="0.25">
      <c r="A3424" s="41">
        <v>12197</v>
      </c>
      <c r="B3424" s="42" t="s">
        <v>3803</v>
      </c>
      <c r="C3424" s="43" t="s">
        <v>289</v>
      </c>
      <c r="D3424" s="43" t="s">
        <v>314</v>
      </c>
      <c r="E3424" s="43" t="s">
        <v>230</v>
      </c>
    </row>
    <row r="3425" spans="1:5" x14ac:dyDescent="0.25">
      <c r="A3425" s="41">
        <v>12202</v>
      </c>
      <c r="B3425" s="42" t="s">
        <v>3804</v>
      </c>
      <c r="C3425" s="43" t="s">
        <v>289</v>
      </c>
      <c r="D3425" s="43" t="s">
        <v>635</v>
      </c>
      <c r="E3425" s="43" t="s">
        <v>230</v>
      </c>
    </row>
    <row r="3426" spans="1:5" x14ac:dyDescent="0.25">
      <c r="A3426" s="41">
        <v>12220</v>
      </c>
      <c r="B3426" s="42" t="s">
        <v>3805</v>
      </c>
      <c r="C3426" s="43" t="s">
        <v>289</v>
      </c>
      <c r="D3426" s="43" t="s">
        <v>333</v>
      </c>
      <c r="E3426" s="43" t="s">
        <v>230</v>
      </c>
    </row>
    <row r="3427" spans="1:5" x14ac:dyDescent="0.25">
      <c r="A3427" s="41">
        <v>12223</v>
      </c>
      <c r="B3427" s="42" t="s">
        <v>3806</v>
      </c>
      <c r="C3427" s="43" t="s">
        <v>289</v>
      </c>
      <c r="D3427" s="43" t="s">
        <v>468</v>
      </c>
      <c r="E3427" s="43" t="s">
        <v>230</v>
      </c>
    </row>
    <row r="3428" spans="1:5" x14ac:dyDescent="0.25">
      <c r="A3428" s="41">
        <v>12230</v>
      </c>
      <c r="B3428" s="42" t="s">
        <v>3807</v>
      </c>
      <c r="C3428" s="43" t="s">
        <v>289</v>
      </c>
      <c r="D3428" s="43" t="s">
        <v>410</v>
      </c>
      <c r="E3428" s="43" t="s">
        <v>464</v>
      </c>
    </row>
    <row r="3429" spans="1:5" x14ac:dyDescent="0.25">
      <c r="A3429" s="41">
        <v>12235</v>
      </c>
      <c r="B3429" s="42" t="s">
        <v>3808</v>
      </c>
      <c r="C3429" s="43" t="s">
        <v>289</v>
      </c>
      <c r="D3429" s="43" t="s">
        <v>996</v>
      </c>
      <c r="E3429" s="43" t="s">
        <v>230</v>
      </c>
    </row>
    <row r="3430" spans="1:5" x14ac:dyDescent="0.25">
      <c r="A3430" s="41">
        <v>12239</v>
      </c>
      <c r="B3430" s="42" t="s">
        <v>3809</v>
      </c>
      <c r="C3430" s="43" t="s">
        <v>289</v>
      </c>
      <c r="D3430" s="43" t="s">
        <v>1326</v>
      </c>
      <c r="E3430" s="43" t="s">
        <v>336</v>
      </c>
    </row>
    <row r="3431" spans="1:5" x14ac:dyDescent="0.25">
      <c r="A3431" s="41">
        <v>12242</v>
      </c>
      <c r="B3431" s="42" t="s">
        <v>3810</v>
      </c>
      <c r="C3431" s="43" t="s">
        <v>289</v>
      </c>
      <c r="D3431" s="43" t="s">
        <v>996</v>
      </c>
      <c r="E3431" s="43" t="s">
        <v>336</v>
      </c>
    </row>
    <row r="3432" spans="1:5" x14ac:dyDescent="0.25">
      <c r="A3432" s="41">
        <v>12245</v>
      </c>
      <c r="B3432" s="42" t="s">
        <v>3811</v>
      </c>
      <c r="C3432" s="43" t="s">
        <v>289</v>
      </c>
      <c r="D3432" s="43" t="s">
        <v>327</v>
      </c>
      <c r="E3432" s="43" t="s">
        <v>454</v>
      </c>
    </row>
    <row r="3433" spans="1:5" x14ac:dyDescent="0.25">
      <c r="A3433" s="41">
        <v>12246</v>
      </c>
      <c r="B3433" s="42" t="s">
        <v>3812</v>
      </c>
      <c r="C3433" s="43" t="s">
        <v>289</v>
      </c>
      <c r="D3433" s="43" t="s">
        <v>327</v>
      </c>
      <c r="E3433" s="43" t="s">
        <v>454</v>
      </c>
    </row>
    <row r="3434" spans="1:5" x14ac:dyDescent="0.25">
      <c r="A3434" s="41">
        <v>12247</v>
      </c>
      <c r="B3434" s="42" t="s">
        <v>3813</v>
      </c>
      <c r="C3434" s="43" t="s">
        <v>289</v>
      </c>
      <c r="D3434" s="43" t="s">
        <v>316</v>
      </c>
      <c r="E3434" s="43" t="s">
        <v>454</v>
      </c>
    </row>
    <row r="3435" spans="1:5" x14ac:dyDescent="0.25">
      <c r="A3435" s="41">
        <v>12288</v>
      </c>
      <c r="B3435" s="42" t="s">
        <v>3814</v>
      </c>
      <c r="C3435" s="43" t="s">
        <v>289</v>
      </c>
      <c r="D3435" s="43" t="s">
        <v>977</v>
      </c>
      <c r="E3435" s="43" t="s">
        <v>464</v>
      </c>
    </row>
    <row r="3436" spans="1:5" x14ac:dyDescent="0.25">
      <c r="A3436" s="41">
        <v>12300</v>
      </c>
      <c r="B3436" s="42" t="s">
        <v>3815</v>
      </c>
      <c r="C3436" s="43" t="s">
        <v>289</v>
      </c>
      <c r="D3436" s="43" t="s">
        <v>335</v>
      </c>
      <c r="E3436" s="43" t="s">
        <v>464</v>
      </c>
    </row>
    <row r="3437" spans="1:5" x14ac:dyDescent="0.25">
      <c r="A3437" s="41">
        <v>12312</v>
      </c>
      <c r="B3437" s="42" t="s">
        <v>3816</v>
      </c>
      <c r="C3437" s="43" t="s">
        <v>289</v>
      </c>
      <c r="D3437" s="43" t="s">
        <v>327</v>
      </c>
      <c r="E3437" s="43" t="s">
        <v>454</v>
      </c>
    </row>
    <row r="3438" spans="1:5" x14ac:dyDescent="0.25">
      <c r="A3438" s="41">
        <v>12315</v>
      </c>
      <c r="B3438" s="42" t="s">
        <v>3817</v>
      </c>
      <c r="C3438" s="43" t="s">
        <v>289</v>
      </c>
      <c r="D3438" s="43" t="s">
        <v>327</v>
      </c>
      <c r="E3438" s="43" t="s">
        <v>454</v>
      </c>
    </row>
    <row r="3439" spans="1:5" x14ac:dyDescent="0.25">
      <c r="A3439" s="41">
        <v>12320</v>
      </c>
      <c r="B3439" s="42" t="s">
        <v>3818</v>
      </c>
      <c r="C3439" s="43" t="s">
        <v>289</v>
      </c>
      <c r="D3439" s="43" t="s">
        <v>474</v>
      </c>
      <c r="E3439" s="43" t="s">
        <v>531</v>
      </c>
    </row>
    <row r="3440" spans="1:5" x14ac:dyDescent="0.25">
      <c r="A3440" s="41">
        <v>12329</v>
      </c>
      <c r="B3440" s="42" t="s">
        <v>3819</v>
      </c>
      <c r="C3440" s="43" t="s">
        <v>289</v>
      </c>
      <c r="D3440" s="43" t="s">
        <v>996</v>
      </c>
      <c r="E3440" s="43" t="s">
        <v>170</v>
      </c>
    </row>
    <row r="3441" spans="1:5" x14ac:dyDescent="0.25">
      <c r="A3441" s="41">
        <v>12337</v>
      </c>
      <c r="B3441" s="42" t="s">
        <v>3820</v>
      </c>
      <c r="C3441" s="43" t="s">
        <v>289</v>
      </c>
      <c r="D3441" s="43" t="s">
        <v>763</v>
      </c>
      <c r="E3441" s="43" t="s">
        <v>230</v>
      </c>
    </row>
    <row r="3442" spans="1:5" x14ac:dyDescent="0.25">
      <c r="A3442" s="41">
        <v>12346</v>
      </c>
      <c r="B3442" s="42" t="s">
        <v>3821</v>
      </c>
      <c r="C3442" s="43" t="s">
        <v>289</v>
      </c>
      <c r="D3442" s="43" t="s">
        <v>1981</v>
      </c>
      <c r="E3442" s="43" t="s">
        <v>464</v>
      </c>
    </row>
    <row r="3443" spans="1:5" x14ac:dyDescent="0.25">
      <c r="A3443" s="41">
        <v>12347</v>
      </c>
      <c r="B3443" s="42" t="s">
        <v>3822</v>
      </c>
      <c r="C3443" s="43" t="s">
        <v>289</v>
      </c>
      <c r="D3443" s="43" t="s">
        <v>795</v>
      </c>
      <c r="E3443" s="43" t="s">
        <v>464</v>
      </c>
    </row>
    <row r="3444" spans="1:5" x14ac:dyDescent="0.25">
      <c r="A3444" s="41">
        <v>12348</v>
      </c>
      <c r="B3444" s="42" t="s">
        <v>3823</v>
      </c>
      <c r="C3444" s="43" t="s">
        <v>289</v>
      </c>
      <c r="D3444" s="43" t="s">
        <v>1981</v>
      </c>
      <c r="E3444" s="43" t="s">
        <v>464</v>
      </c>
    </row>
    <row r="3445" spans="1:5" x14ac:dyDescent="0.25">
      <c r="A3445" s="41">
        <v>12351</v>
      </c>
      <c r="B3445" s="42" t="s">
        <v>3824</v>
      </c>
      <c r="C3445" s="43" t="s">
        <v>289</v>
      </c>
      <c r="D3445" s="43" t="s">
        <v>811</v>
      </c>
      <c r="E3445" s="43" t="s">
        <v>230</v>
      </c>
    </row>
    <row r="3446" spans="1:5" x14ac:dyDescent="0.25">
      <c r="A3446" s="41">
        <v>12352</v>
      </c>
      <c r="B3446" s="42" t="s">
        <v>3825</v>
      </c>
      <c r="C3446" s="43" t="s">
        <v>289</v>
      </c>
      <c r="D3446" s="43" t="s">
        <v>811</v>
      </c>
      <c r="E3446" s="43" t="s">
        <v>230</v>
      </c>
    </row>
    <row r="3447" spans="1:5" x14ac:dyDescent="0.25">
      <c r="A3447" s="41">
        <v>12361</v>
      </c>
      <c r="B3447" s="42" t="s">
        <v>3826</v>
      </c>
      <c r="C3447" s="43" t="s">
        <v>289</v>
      </c>
      <c r="D3447" s="43" t="s">
        <v>996</v>
      </c>
      <c r="E3447" s="43" t="s">
        <v>170</v>
      </c>
    </row>
    <row r="3448" spans="1:5" x14ac:dyDescent="0.25">
      <c r="A3448" s="41">
        <v>12362</v>
      </c>
      <c r="B3448" s="42" t="s">
        <v>3827</v>
      </c>
      <c r="C3448" s="43" t="s">
        <v>289</v>
      </c>
      <c r="D3448" s="43" t="s">
        <v>996</v>
      </c>
      <c r="E3448" s="43" t="s">
        <v>230</v>
      </c>
    </row>
    <row r="3449" spans="1:5" x14ac:dyDescent="0.25">
      <c r="A3449" s="41">
        <v>12363</v>
      </c>
      <c r="B3449" s="42" t="s">
        <v>3828</v>
      </c>
      <c r="C3449" s="43" t="s">
        <v>289</v>
      </c>
      <c r="D3449" s="43" t="s">
        <v>996</v>
      </c>
      <c r="E3449" s="43" t="s">
        <v>230</v>
      </c>
    </row>
    <row r="3450" spans="1:5" x14ac:dyDescent="0.25">
      <c r="A3450" s="41">
        <v>12364</v>
      </c>
      <c r="B3450" s="42" t="s">
        <v>3829</v>
      </c>
      <c r="C3450" s="43" t="s">
        <v>289</v>
      </c>
      <c r="D3450" s="43" t="s">
        <v>996</v>
      </c>
      <c r="E3450" s="43" t="s">
        <v>230</v>
      </c>
    </row>
    <row r="3451" spans="1:5" x14ac:dyDescent="0.25">
      <c r="A3451" s="41">
        <v>12372</v>
      </c>
      <c r="B3451" s="42" t="s">
        <v>3830</v>
      </c>
      <c r="C3451" s="43" t="s">
        <v>289</v>
      </c>
      <c r="D3451" s="43" t="s">
        <v>468</v>
      </c>
      <c r="E3451" s="43" t="s">
        <v>230</v>
      </c>
    </row>
    <row r="3452" spans="1:5" x14ac:dyDescent="0.25">
      <c r="A3452" s="41">
        <v>12381</v>
      </c>
      <c r="B3452" s="42" t="s">
        <v>3831</v>
      </c>
      <c r="C3452" s="43" t="s">
        <v>289</v>
      </c>
      <c r="D3452" s="43" t="s">
        <v>3668</v>
      </c>
      <c r="E3452" s="43" t="s">
        <v>230</v>
      </c>
    </row>
    <row r="3453" spans="1:5" x14ac:dyDescent="0.25">
      <c r="A3453" s="41">
        <v>12393</v>
      </c>
      <c r="B3453" s="42" t="s">
        <v>3832</v>
      </c>
      <c r="C3453" s="43" t="s">
        <v>289</v>
      </c>
      <c r="D3453" s="43" t="s">
        <v>327</v>
      </c>
      <c r="E3453" s="43" t="s">
        <v>464</v>
      </c>
    </row>
    <row r="3454" spans="1:5" x14ac:dyDescent="0.25">
      <c r="A3454" s="41">
        <v>12394</v>
      </c>
      <c r="B3454" s="42" t="s">
        <v>3833</v>
      </c>
      <c r="C3454" s="43" t="s">
        <v>289</v>
      </c>
      <c r="D3454" s="43" t="s">
        <v>327</v>
      </c>
      <c r="E3454" s="43" t="s">
        <v>354</v>
      </c>
    </row>
    <row r="3455" spans="1:5" x14ac:dyDescent="0.25">
      <c r="A3455" s="41">
        <v>12402</v>
      </c>
      <c r="B3455" s="42" t="s">
        <v>3834</v>
      </c>
      <c r="C3455" s="43" t="s">
        <v>289</v>
      </c>
      <c r="D3455" s="43" t="s">
        <v>996</v>
      </c>
      <c r="E3455" s="43" t="s">
        <v>464</v>
      </c>
    </row>
    <row r="3456" spans="1:5" x14ac:dyDescent="0.25">
      <c r="A3456" s="41">
        <v>12406</v>
      </c>
      <c r="B3456" s="42" t="s">
        <v>3835</v>
      </c>
      <c r="C3456" s="43" t="s">
        <v>289</v>
      </c>
      <c r="D3456" s="43" t="s">
        <v>327</v>
      </c>
      <c r="E3456" s="43" t="s">
        <v>230</v>
      </c>
    </row>
    <row r="3457" spans="1:5" x14ac:dyDescent="0.25">
      <c r="A3457" s="41">
        <v>12425</v>
      </c>
      <c r="B3457" s="42" t="s">
        <v>3836</v>
      </c>
      <c r="C3457" s="43" t="s">
        <v>289</v>
      </c>
      <c r="D3457" s="43" t="s">
        <v>468</v>
      </c>
      <c r="E3457" s="43" t="s">
        <v>230</v>
      </c>
    </row>
    <row r="3458" spans="1:5" x14ac:dyDescent="0.25">
      <c r="A3458" s="41">
        <v>12426</v>
      </c>
      <c r="B3458" s="42" t="s">
        <v>3837</v>
      </c>
      <c r="C3458" s="43" t="s">
        <v>289</v>
      </c>
      <c r="D3458" s="43" t="s">
        <v>468</v>
      </c>
      <c r="E3458" s="43" t="s">
        <v>230</v>
      </c>
    </row>
    <row r="3459" spans="1:5" x14ac:dyDescent="0.25">
      <c r="A3459" s="41">
        <v>12430</v>
      </c>
      <c r="B3459" s="42" t="s">
        <v>3838</v>
      </c>
      <c r="C3459" s="43" t="s">
        <v>289</v>
      </c>
      <c r="D3459" s="43" t="s">
        <v>468</v>
      </c>
      <c r="E3459" s="43" t="s">
        <v>230</v>
      </c>
    </row>
    <row r="3460" spans="1:5" x14ac:dyDescent="0.25">
      <c r="A3460" s="41">
        <v>12443</v>
      </c>
      <c r="B3460" s="42" t="s">
        <v>3839</v>
      </c>
      <c r="C3460" s="43" t="s">
        <v>289</v>
      </c>
      <c r="D3460" s="43" t="s">
        <v>327</v>
      </c>
      <c r="E3460" s="43" t="s">
        <v>230</v>
      </c>
    </row>
    <row r="3461" spans="1:5" x14ac:dyDescent="0.25">
      <c r="A3461" s="41">
        <v>12444</v>
      </c>
      <c r="B3461" s="42" t="s">
        <v>3840</v>
      </c>
      <c r="C3461" s="43" t="s">
        <v>289</v>
      </c>
      <c r="D3461" s="43" t="s">
        <v>327</v>
      </c>
      <c r="E3461" s="43" t="s">
        <v>230</v>
      </c>
    </row>
    <row r="3462" spans="1:5" x14ac:dyDescent="0.25">
      <c r="A3462" s="41">
        <v>12446</v>
      </c>
      <c r="B3462" s="42" t="s">
        <v>3841</v>
      </c>
      <c r="C3462" s="43" t="s">
        <v>289</v>
      </c>
      <c r="D3462" s="43" t="s">
        <v>327</v>
      </c>
      <c r="E3462" s="43" t="s">
        <v>230</v>
      </c>
    </row>
    <row r="3463" spans="1:5" x14ac:dyDescent="0.25">
      <c r="A3463" s="41">
        <v>12447</v>
      </c>
      <c r="B3463" s="42" t="s">
        <v>3842</v>
      </c>
      <c r="C3463" s="43" t="s">
        <v>289</v>
      </c>
      <c r="D3463" s="43" t="s">
        <v>327</v>
      </c>
      <c r="E3463" s="43" t="s">
        <v>230</v>
      </c>
    </row>
    <row r="3464" spans="1:5" x14ac:dyDescent="0.25">
      <c r="A3464" s="41">
        <v>12452</v>
      </c>
      <c r="B3464" s="42" t="s">
        <v>3843</v>
      </c>
      <c r="C3464" s="43" t="s">
        <v>289</v>
      </c>
      <c r="D3464" s="43" t="s">
        <v>333</v>
      </c>
      <c r="E3464" s="43" t="s">
        <v>230</v>
      </c>
    </row>
    <row r="3465" spans="1:5" x14ac:dyDescent="0.25">
      <c r="A3465" s="41">
        <v>12461</v>
      </c>
      <c r="B3465" s="42" t="s">
        <v>3844</v>
      </c>
      <c r="C3465" s="43" t="s">
        <v>289</v>
      </c>
      <c r="D3465" s="43" t="s">
        <v>996</v>
      </c>
      <c r="E3465" s="43" t="s">
        <v>230</v>
      </c>
    </row>
    <row r="3466" spans="1:5" x14ac:dyDescent="0.25">
      <c r="A3466" s="41">
        <v>12462</v>
      </c>
      <c r="B3466" s="42" t="s">
        <v>3845</v>
      </c>
      <c r="C3466" s="43" t="s">
        <v>289</v>
      </c>
      <c r="D3466" s="43" t="s">
        <v>316</v>
      </c>
      <c r="E3466" s="43" t="s">
        <v>354</v>
      </c>
    </row>
    <row r="3467" spans="1:5" x14ac:dyDescent="0.25">
      <c r="A3467" s="41">
        <v>12463</v>
      </c>
      <c r="B3467" s="42" t="s">
        <v>3846</v>
      </c>
      <c r="C3467" s="43" t="s">
        <v>289</v>
      </c>
      <c r="D3467" s="43" t="s">
        <v>316</v>
      </c>
      <c r="E3467" s="43" t="s">
        <v>230</v>
      </c>
    </row>
    <row r="3468" spans="1:5" x14ac:dyDescent="0.25">
      <c r="A3468" s="41">
        <v>12466</v>
      </c>
      <c r="B3468" s="42" t="s">
        <v>3847</v>
      </c>
      <c r="C3468" s="43" t="s">
        <v>289</v>
      </c>
      <c r="D3468" s="43" t="s">
        <v>327</v>
      </c>
      <c r="E3468" s="43" t="s">
        <v>373</v>
      </c>
    </row>
    <row r="3469" spans="1:5" x14ac:dyDescent="0.25">
      <c r="A3469" s="41">
        <v>12467</v>
      </c>
      <c r="B3469" s="42" t="s">
        <v>3848</v>
      </c>
      <c r="C3469" s="43" t="s">
        <v>289</v>
      </c>
      <c r="D3469" s="43" t="s">
        <v>327</v>
      </c>
      <c r="E3469" s="43" t="s">
        <v>864</v>
      </c>
    </row>
    <row r="3470" spans="1:5" x14ac:dyDescent="0.25">
      <c r="A3470" s="41">
        <v>12469</v>
      </c>
      <c r="B3470" s="42" t="s">
        <v>3849</v>
      </c>
      <c r="C3470" s="43" t="s">
        <v>289</v>
      </c>
      <c r="D3470" s="43" t="s">
        <v>811</v>
      </c>
      <c r="E3470" s="43" t="s">
        <v>230</v>
      </c>
    </row>
    <row r="3471" spans="1:5" x14ac:dyDescent="0.25">
      <c r="A3471" s="41">
        <v>12493</v>
      </c>
      <c r="B3471" s="42" t="s">
        <v>3850</v>
      </c>
      <c r="C3471" s="43" t="s">
        <v>289</v>
      </c>
      <c r="D3471" s="43" t="s">
        <v>435</v>
      </c>
      <c r="E3471" s="43" t="s">
        <v>373</v>
      </c>
    </row>
    <row r="3472" spans="1:5" x14ac:dyDescent="0.25">
      <c r="A3472" s="41">
        <v>12500</v>
      </c>
      <c r="B3472" s="42" t="s">
        <v>3851</v>
      </c>
      <c r="C3472" s="43" t="s">
        <v>289</v>
      </c>
      <c r="D3472" s="43" t="s">
        <v>433</v>
      </c>
      <c r="E3472" s="43" t="s">
        <v>230</v>
      </c>
    </row>
    <row r="3473" spans="1:5" x14ac:dyDescent="0.25">
      <c r="A3473" s="41">
        <v>12515</v>
      </c>
      <c r="B3473" s="42" t="s">
        <v>3852</v>
      </c>
      <c r="C3473" s="43" t="s">
        <v>289</v>
      </c>
      <c r="D3473" s="43" t="s">
        <v>327</v>
      </c>
      <c r="E3473" s="43" t="s">
        <v>230</v>
      </c>
    </row>
    <row r="3474" spans="1:5" x14ac:dyDescent="0.25">
      <c r="A3474" s="41">
        <v>12517</v>
      </c>
      <c r="B3474" s="42" t="s">
        <v>3853</v>
      </c>
      <c r="C3474" s="43" t="s">
        <v>289</v>
      </c>
      <c r="D3474" s="43" t="s">
        <v>327</v>
      </c>
      <c r="E3474" s="43" t="s">
        <v>230</v>
      </c>
    </row>
    <row r="3475" spans="1:5" x14ac:dyDescent="0.25">
      <c r="A3475" s="41">
        <v>12525</v>
      </c>
      <c r="B3475" s="42" t="s">
        <v>3854</v>
      </c>
      <c r="C3475" s="43" t="s">
        <v>289</v>
      </c>
      <c r="D3475" s="43" t="s">
        <v>327</v>
      </c>
      <c r="E3475" s="43" t="s">
        <v>230</v>
      </c>
    </row>
    <row r="3476" spans="1:5" x14ac:dyDescent="0.25">
      <c r="A3476" s="41">
        <v>12535</v>
      </c>
      <c r="B3476" s="42" t="s">
        <v>3855</v>
      </c>
      <c r="C3476" s="43" t="s">
        <v>289</v>
      </c>
      <c r="D3476" s="43" t="s">
        <v>327</v>
      </c>
      <c r="E3476" s="43" t="s">
        <v>230</v>
      </c>
    </row>
    <row r="3477" spans="1:5" x14ac:dyDescent="0.25">
      <c r="A3477" s="41">
        <v>12536</v>
      </c>
      <c r="B3477" s="42" t="s">
        <v>3856</v>
      </c>
      <c r="C3477" s="43" t="s">
        <v>289</v>
      </c>
      <c r="D3477" s="43" t="s">
        <v>327</v>
      </c>
      <c r="E3477" s="43" t="s">
        <v>464</v>
      </c>
    </row>
    <row r="3478" spans="1:5" x14ac:dyDescent="0.25">
      <c r="A3478" s="41">
        <v>12538</v>
      </c>
      <c r="B3478" s="42" t="s">
        <v>3857</v>
      </c>
      <c r="C3478" s="43" t="s">
        <v>289</v>
      </c>
      <c r="D3478" s="43" t="s">
        <v>316</v>
      </c>
      <c r="E3478" s="43" t="s">
        <v>230</v>
      </c>
    </row>
    <row r="3479" spans="1:5" x14ac:dyDescent="0.25">
      <c r="A3479" s="41">
        <v>12542</v>
      </c>
      <c r="B3479" s="42" t="s">
        <v>3858</v>
      </c>
      <c r="C3479" s="43" t="s">
        <v>289</v>
      </c>
      <c r="D3479" s="43" t="s">
        <v>996</v>
      </c>
      <c r="E3479" s="43" t="s">
        <v>230</v>
      </c>
    </row>
    <row r="3480" spans="1:5" x14ac:dyDescent="0.25">
      <c r="A3480" s="41">
        <v>12543</v>
      </c>
      <c r="B3480" s="42" t="s">
        <v>3859</v>
      </c>
      <c r="C3480" s="43" t="s">
        <v>289</v>
      </c>
      <c r="D3480" s="43" t="s">
        <v>996</v>
      </c>
      <c r="E3480" s="43" t="s">
        <v>230</v>
      </c>
    </row>
    <row r="3481" spans="1:5" x14ac:dyDescent="0.25">
      <c r="A3481" s="41">
        <v>12544</v>
      </c>
      <c r="B3481" s="42" t="s">
        <v>3860</v>
      </c>
      <c r="C3481" s="43" t="s">
        <v>289</v>
      </c>
      <c r="D3481" s="43" t="s">
        <v>474</v>
      </c>
      <c r="E3481" s="43" t="s">
        <v>336</v>
      </c>
    </row>
    <row r="3482" spans="1:5" x14ac:dyDescent="0.25">
      <c r="A3482" s="41">
        <v>12545</v>
      </c>
      <c r="B3482" s="42" t="s">
        <v>3861</v>
      </c>
      <c r="C3482" s="43" t="s">
        <v>289</v>
      </c>
      <c r="D3482" s="43" t="s">
        <v>327</v>
      </c>
      <c r="E3482" s="43" t="s">
        <v>230</v>
      </c>
    </row>
    <row r="3483" spans="1:5" x14ac:dyDescent="0.25">
      <c r="A3483" s="41">
        <v>12548</v>
      </c>
      <c r="B3483" s="42" t="s">
        <v>3862</v>
      </c>
      <c r="C3483" s="43" t="s">
        <v>289</v>
      </c>
      <c r="D3483" s="43" t="s">
        <v>474</v>
      </c>
      <c r="E3483" s="43" t="s">
        <v>230</v>
      </c>
    </row>
    <row r="3484" spans="1:5" x14ac:dyDescent="0.25">
      <c r="A3484" s="41">
        <v>12565</v>
      </c>
      <c r="B3484" s="42" t="s">
        <v>3863</v>
      </c>
      <c r="C3484" s="43" t="s">
        <v>289</v>
      </c>
      <c r="D3484" s="43" t="s">
        <v>316</v>
      </c>
      <c r="E3484" s="43" t="s">
        <v>454</v>
      </c>
    </row>
    <row r="3485" spans="1:5" x14ac:dyDescent="0.25">
      <c r="A3485" s="41">
        <v>12572</v>
      </c>
      <c r="B3485" s="42" t="s">
        <v>3864</v>
      </c>
      <c r="C3485" s="43" t="s">
        <v>289</v>
      </c>
      <c r="D3485" s="43" t="s">
        <v>468</v>
      </c>
      <c r="E3485" s="43" t="s">
        <v>464</v>
      </c>
    </row>
    <row r="3486" spans="1:5" x14ac:dyDescent="0.25">
      <c r="A3486" s="41">
        <v>12575</v>
      </c>
      <c r="B3486" s="42" t="s">
        <v>3865</v>
      </c>
      <c r="C3486" s="43" t="s">
        <v>289</v>
      </c>
      <c r="D3486" s="43" t="s">
        <v>468</v>
      </c>
      <c r="E3486" s="43" t="s">
        <v>464</v>
      </c>
    </row>
    <row r="3487" spans="1:5" x14ac:dyDescent="0.25">
      <c r="A3487" s="41">
        <v>12578</v>
      </c>
      <c r="B3487" s="42" t="s">
        <v>3866</v>
      </c>
      <c r="C3487" s="43" t="s">
        <v>289</v>
      </c>
      <c r="D3487" s="43" t="s">
        <v>1981</v>
      </c>
      <c r="E3487" s="43" t="s">
        <v>464</v>
      </c>
    </row>
    <row r="3488" spans="1:5" x14ac:dyDescent="0.25">
      <c r="A3488" s="41">
        <v>12586</v>
      </c>
      <c r="B3488" s="42" t="s">
        <v>3867</v>
      </c>
      <c r="C3488" s="43" t="s">
        <v>289</v>
      </c>
      <c r="D3488" s="43" t="s">
        <v>468</v>
      </c>
      <c r="E3488" s="43" t="s">
        <v>230</v>
      </c>
    </row>
    <row r="3489" spans="1:5" x14ac:dyDescent="0.25">
      <c r="A3489" s="41">
        <v>12640</v>
      </c>
      <c r="B3489" s="42" t="s">
        <v>3868</v>
      </c>
      <c r="C3489" s="43" t="s">
        <v>289</v>
      </c>
      <c r="D3489" s="43" t="s">
        <v>996</v>
      </c>
      <c r="E3489" s="43" t="s">
        <v>230</v>
      </c>
    </row>
    <row r="3490" spans="1:5" x14ac:dyDescent="0.25">
      <c r="A3490" s="41">
        <v>12659</v>
      </c>
      <c r="B3490" s="42" t="s">
        <v>3869</v>
      </c>
      <c r="C3490" s="43" t="s">
        <v>289</v>
      </c>
      <c r="D3490" s="43" t="s">
        <v>327</v>
      </c>
      <c r="E3490" s="43" t="s">
        <v>230</v>
      </c>
    </row>
    <row r="3491" spans="1:5" x14ac:dyDescent="0.25">
      <c r="A3491" s="41">
        <v>12682</v>
      </c>
      <c r="B3491" s="42" t="s">
        <v>3870</v>
      </c>
      <c r="C3491" s="43" t="s">
        <v>289</v>
      </c>
      <c r="D3491" s="43" t="s">
        <v>435</v>
      </c>
      <c r="E3491" s="43" t="s">
        <v>464</v>
      </c>
    </row>
    <row r="3492" spans="1:5" x14ac:dyDescent="0.25">
      <c r="A3492" s="41">
        <v>12701</v>
      </c>
      <c r="B3492" s="42" t="s">
        <v>3871</v>
      </c>
      <c r="C3492" s="43" t="s">
        <v>289</v>
      </c>
      <c r="D3492" s="43" t="s">
        <v>996</v>
      </c>
      <c r="E3492" s="43" t="s">
        <v>230</v>
      </c>
    </row>
    <row r="3493" spans="1:5" x14ac:dyDescent="0.25">
      <c r="A3493" s="41">
        <v>12711</v>
      </c>
      <c r="B3493" s="42" t="s">
        <v>3872</v>
      </c>
      <c r="C3493" s="43" t="s">
        <v>289</v>
      </c>
      <c r="D3493" s="43" t="s">
        <v>327</v>
      </c>
      <c r="E3493" s="43" t="s">
        <v>230</v>
      </c>
    </row>
    <row r="3494" spans="1:5" x14ac:dyDescent="0.25">
      <c r="A3494" s="41">
        <v>12712</v>
      </c>
      <c r="B3494" s="42" t="s">
        <v>3873</v>
      </c>
      <c r="C3494" s="43" t="s">
        <v>289</v>
      </c>
      <c r="D3494" s="43" t="s">
        <v>327</v>
      </c>
      <c r="E3494" s="43" t="s">
        <v>230</v>
      </c>
    </row>
    <row r="3495" spans="1:5" x14ac:dyDescent="0.25">
      <c r="A3495" s="41">
        <v>12727</v>
      </c>
      <c r="B3495" s="42" t="s">
        <v>3874</v>
      </c>
      <c r="C3495" s="43" t="s">
        <v>289</v>
      </c>
      <c r="D3495" s="43" t="s">
        <v>316</v>
      </c>
      <c r="E3495" s="43" t="s">
        <v>230</v>
      </c>
    </row>
    <row r="3496" spans="1:5" x14ac:dyDescent="0.25">
      <c r="A3496" s="41">
        <v>12728</v>
      </c>
      <c r="B3496" s="42" t="s">
        <v>3875</v>
      </c>
      <c r="C3496" s="43" t="s">
        <v>289</v>
      </c>
      <c r="D3496" s="43" t="s">
        <v>316</v>
      </c>
      <c r="E3496" s="43" t="s">
        <v>230</v>
      </c>
    </row>
    <row r="3497" spans="1:5" x14ac:dyDescent="0.25">
      <c r="A3497" s="41">
        <v>12729</v>
      </c>
      <c r="B3497" s="42" t="s">
        <v>3876</v>
      </c>
      <c r="C3497" s="43" t="s">
        <v>289</v>
      </c>
      <c r="D3497" s="43" t="s">
        <v>316</v>
      </c>
      <c r="E3497" s="43" t="s">
        <v>230</v>
      </c>
    </row>
    <row r="3498" spans="1:5" x14ac:dyDescent="0.25">
      <c r="A3498" s="41">
        <v>12741</v>
      </c>
      <c r="B3498" s="42" t="s">
        <v>3877</v>
      </c>
      <c r="C3498" s="43" t="s">
        <v>289</v>
      </c>
      <c r="D3498" s="43" t="s">
        <v>316</v>
      </c>
      <c r="E3498" s="43" t="s">
        <v>230</v>
      </c>
    </row>
    <row r="3499" spans="1:5" x14ac:dyDescent="0.25">
      <c r="A3499" s="41">
        <v>12742</v>
      </c>
      <c r="B3499" s="42" t="s">
        <v>3878</v>
      </c>
      <c r="C3499" s="43" t="s">
        <v>289</v>
      </c>
      <c r="D3499" s="43" t="s">
        <v>316</v>
      </c>
      <c r="E3499" s="43" t="s">
        <v>230</v>
      </c>
    </row>
    <row r="3500" spans="1:5" x14ac:dyDescent="0.25">
      <c r="A3500" s="41">
        <v>12743</v>
      </c>
      <c r="B3500" s="42" t="s">
        <v>3879</v>
      </c>
      <c r="C3500" s="43" t="s">
        <v>289</v>
      </c>
      <c r="D3500" s="43" t="s">
        <v>316</v>
      </c>
      <c r="E3500" s="43" t="s">
        <v>230</v>
      </c>
    </row>
    <row r="3501" spans="1:5" x14ac:dyDescent="0.25">
      <c r="A3501" s="41">
        <v>12744</v>
      </c>
      <c r="B3501" s="42" t="s">
        <v>3880</v>
      </c>
      <c r="C3501" s="43" t="s">
        <v>289</v>
      </c>
      <c r="D3501" s="43" t="s">
        <v>316</v>
      </c>
      <c r="E3501" s="43" t="s">
        <v>230</v>
      </c>
    </row>
    <row r="3502" spans="1:5" x14ac:dyDescent="0.25">
      <c r="A3502" s="41">
        <v>12746</v>
      </c>
      <c r="B3502" s="42" t="s">
        <v>3881</v>
      </c>
      <c r="C3502" s="43" t="s">
        <v>289</v>
      </c>
      <c r="D3502" s="43" t="s">
        <v>316</v>
      </c>
      <c r="E3502" s="43" t="s">
        <v>230</v>
      </c>
    </row>
    <row r="3503" spans="1:5" x14ac:dyDescent="0.25">
      <c r="A3503" s="41">
        <v>12747</v>
      </c>
      <c r="B3503" s="42" t="s">
        <v>3882</v>
      </c>
      <c r="C3503" s="43" t="s">
        <v>289</v>
      </c>
      <c r="D3503" s="43" t="s">
        <v>316</v>
      </c>
      <c r="E3503" s="43" t="s">
        <v>230</v>
      </c>
    </row>
    <row r="3504" spans="1:5" x14ac:dyDescent="0.25">
      <c r="A3504" s="41">
        <v>12751</v>
      </c>
      <c r="B3504" s="42" t="s">
        <v>3883</v>
      </c>
      <c r="C3504" s="43" t="s">
        <v>289</v>
      </c>
      <c r="D3504" s="43" t="s">
        <v>316</v>
      </c>
      <c r="E3504" s="43" t="s">
        <v>336</v>
      </c>
    </row>
    <row r="3505" spans="1:5" x14ac:dyDescent="0.25">
      <c r="A3505" s="41">
        <v>12760</v>
      </c>
      <c r="B3505" s="42" t="s">
        <v>3884</v>
      </c>
      <c r="C3505" s="43" t="s">
        <v>289</v>
      </c>
      <c r="D3505" s="43" t="s">
        <v>327</v>
      </c>
      <c r="E3505" s="43" t="s">
        <v>230</v>
      </c>
    </row>
    <row r="3506" spans="1:5" x14ac:dyDescent="0.25">
      <c r="A3506" s="41">
        <v>12786</v>
      </c>
      <c r="B3506" s="42" t="s">
        <v>3885</v>
      </c>
      <c r="C3506" s="43" t="s">
        <v>289</v>
      </c>
      <c r="D3506" s="43" t="s">
        <v>327</v>
      </c>
      <c r="E3506" s="43" t="s">
        <v>230</v>
      </c>
    </row>
    <row r="3507" spans="1:5" x14ac:dyDescent="0.25">
      <c r="A3507" s="41">
        <v>12788</v>
      </c>
      <c r="B3507" s="42" t="s">
        <v>3886</v>
      </c>
      <c r="C3507" s="43" t="s">
        <v>289</v>
      </c>
      <c r="D3507" s="43" t="s">
        <v>327</v>
      </c>
      <c r="E3507" s="43" t="s">
        <v>230</v>
      </c>
    </row>
    <row r="3508" spans="1:5" x14ac:dyDescent="0.25">
      <c r="A3508" s="41">
        <v>12795</v>
      </c>
      <c r="B3508" s="42" t="s">
        <v>3887</v>
      </c>
      <c r="C3508" s="43" t="s">
        <v>289</v>
      </c>
      <c r="D3508" s="43" t="s">
        <v>316</v>
      </c>
      <c r="E3508" s="43" t="s">
        <v>230</v>
      </c>
    </row>
    <row r="3509" spans="1:5" x14ac:dyDescent="0.25">
      <c r="A3509" s="41">
        <v>12796</v>
      </c>
      <c r="B3509" s="42" t="s">
        <v>3888</v>
      </c>
      <c r="C3509" s="43" t="s">
        <v>289</v>
      </c>
      <c r="D3509" s="43" t="s">
        <v>316</v>
      </c>
      <c r="E3509" s="43" t="s">
        <v>230</v>
      </c>
    </row>
    <row r="3510" spans="1:5" x14ac:dyDescent="0.25">
      <c r="A3510" s="41">
        <v>12804</v>
      </c>
      <c r="B3510" s="42" t="s">
        <v>3889</v>
      </c>
      <c r="C3510" s="43" t="s">
        <v>289</v>
      </c>
      <c r="D3510" s="43" t="s">
        <v>327</v>
      </c>
      <c r="E3510" s="43" t="s">
        <v>230</v>
      </c>
    </row>
    <row r="3511" spans="1:5" x14ac:dyDescent="0.25">
      <c r="A3511" s="41">
        <v>12816</v>
      </c>
      <c r="B3511" s="42" t="s">
        <v>3890</v>
      </c>
      <c r="C3511" s="43" t="s">
        <v>289</v>
      </c>
      <c r="D3511" s="43" t="s">
        <v>316</v>
      </c>
      <c r="E3511" s="43" t="s">
        <v>170</v>
      </c>
    </row>
    <row r="3512" spans="1:5" x14ac:dyDescent="0.25">
      <c r="A3512" s="41">
        <v>12818</v>
      </c>
      <c r="B3512" s="42" t="s">
        <v>3891</v>
      </c>
      <c r="C3512" s="43" t="s">
        <v>289</v>
      </c>
      <c r="D3512" s="43" t="s">
        <v>316</v>
      </c>
      <c r="E3512" s="43" t="s">
        <v>1244</v>
      </c>
    </row>
    <row r="3513" spans="1:5" x14ac:dyDescent="0.25">
      <c r="A3513" s="41">
        <v>12820</v>
      </c>
      <c r="B3513" s="42" t="s">
        <v>3892</v>
      </c>
      <c r="C3513" s="43" t="s">
        <v>289</v>
      </c>
      <c r="D3513" s="43" t="s">
        <v>996</v>
      </c>
      <c r="E3513" s="43" t="s">
        <v>336</v>
      </c>
    </row>
    <row r="3514" spans="1:5" x14ac:dyDescent="0.25">
      <c r="A3514" s="41">
        <v>12822</v>
      </c>
      <c r="B3514" s="42" t="s">
        <v>3893</v>
      </c>
      <c r="C3514" s="43" t="s">
        <v>289</v>
      </c>
      <c r="D3514" s="43" t="s">
        <v>410</v>
      </c>
      <c r="E3514" s="43" t="s">
        <v>531</v>
      </c>
    </row>
    <row r="3515" spans="1:5" x14ac:dyDescent="0.25">
      <c r="A3515" s="41">
        <v>12826</v>
      </c>
      <c r="B3515" s="42" t="s">
        <v>3894</v>
      </c>
      <c r="C3515" s="43" t="s">
        <v>289</v>
      </c>
      <c r="D3515" s="43" t="s">
        <v>327</v>
      </c>
      <c r="E3515" s="43" t="s">
        <v>230</v>
      </c>
    </row>
    <row r="3516" spans="1:5" x14ac:dyDescent="0.25">
      <c r="A3516" s="41">
        <v>12828</v>
      </c>
      <c r="B3516" s="42" t="s">
        <v>3895</v>
      </c>
      <c r="C3516" s="43" t="s">
        <v>289</v>
      </c>
      <c r="D3516" s="43" t="s">
        <v>327</v>
      </c>
      <c r="E3516" s="43" t="s">
        <v>230</v>
      </c>
    </row>
    <row r="3517" spans="1:5" x14ac:dyDescent="0.25">
      <c r="A3517" s="41">
        <v>12829</v>
      </c>
      <c r="B3517" s="42" t="s">
        <v>3896</v>
      </c>
      <c r="C3517" s="43" t="s">
        <v>289</v>
      </c>
      <c r="D3517" s="43" t="s">
        <v>327</v>
      </c>
      <c r="E3517" s="43" t="s">
        <v>230</v>
      </c>
    </row>
    <row r="3518" spans="1:5" x14ac:dyDescent="0.25">
      <c r="A3518" s="41">
        <v>12830</v>
      </c>
      <c r="B3518" s="42" t="s">
        <v>3897</v>
      </c>
      <c r="C3518" s="43" t="s">
        <v>289</v>
      </c>
      <c r="D3518" s="43" t="s">
        <v>327</v>
      </c>
      <c r="E3518" s="43" t="s">
        <v>230</v>
      </c>
    </row>
    <row r="3519" spans="1:5" x14ac:dyDescent="0.25">
      <c r="A3519" s="41">
        <v>12836</v>
      </c>
      <c r="B3519" s="42" t="s">
        <v>3898</v>
      </c>
      <c r="C3519" s="43" t="s">
        <v>289</v>
      </c>
      <c r="D3519" s="43" t="s">
        <v>327</v>
      </c>
      <c r="E3519" s="43" t="s">
        <v>454</v>
      </c>
    </row>
    <row r="3520" spans="1:5" x14ac:dyDescent="0.25">
      <c r="A3520" s="41">
        <v>12854</v>
      </c>
      <c r="B3520" s="42" t="s">
        <v>3899</v>
      </c>
      <c r="C3520" s="43" t="s">
        <v>289</v>
      </c>
      <c r="D3520" s="43" t="s">
        <v>327</v>
      </c>
      <c r="E3520" s="43" t="s">
        <v>230</v>
      </c>
    </row>
    <row r="3521" spans="1:5" x14ac:dyDescent="0.25">
      <c r="A3521" s="41">
        <v>12858</v>
      </c>
      <c r="B3521" s="42" t="s">
        <v>3900</v>
      </c>
      <c r="C3521" s="43" t="s">
        <v>289</v>
      </c>
      <c r="D3521" s="43" t="s">
        <v>316</v>
      </c>
      <c r="E3521" s="43" t="s">
        <v>230</v>
      </c>
    </row>
    <row r="3522" spans="1:5" x14ac:dyDescent="0.25">
      <c r="A3522" s="41">
        <v>12864</v>
      </c>
      <c r="B3522" s="42" t="s">
        <v>3901</v>
      </c>
      <c r="C3522" s="43" t="s">
        <v>289</v>
      </c>
      <c r="D3522" s="43" t="s">
        <v>316</v>
      </c>
      <c r="E3522" s="43" t="s">
        <v>230</v>
      </c>
    </row>
    <row r="3523" spans="1:5" x14ac:dyDescent="0.25">
      <c r="A3523" s="41">
        <v>12887</v>
      </c>
      <c r="B3523" s="42" t="s">
        <v>3902</v>
      </c>
      <c r="C3523" s="43" t="s">
        <v>289</v>
      </c>
      <c r="D3523" s="43" t="s">
        <v>996</v>
      </c>
      <c r="E3523" s="43" t="s">
        <v>230</v>
      </c>
    </row>
    <row r="3524" spans="1:5" x14ac:dyDescent="0.25">
      <c r="A3524" s="41">
        <v>12888</v>
      </c>
      <c r="B3524" s="42" t="s">
        <v>3903</v>
      </c>
      <c r="C3524" s="43" t="s">
        <v>289</v>
      </c>
      <c r="D3524" s="43" t="s">
        <v>290</v>
      </c>
      <c r="E3524" s="43" t="s">
        <v>230</v>
      </c>
    </row>
    <row r="3525" spans="1:5" x14ac:dyDescent="0.25">
      <c r="A3525" s="41">
        <v>12892</v>
      </c>
      <c r="B3525" s="42" t="s">
        <v>3904</v>
      </c>
      <c r="C3525" s="43" t="s">
        <v>289</v>
      </c>
      <c r="D3525" s="43" t="s">
        <v>327</v>
      </c>
      <c r="E3525" s="43" t="s">
        <v>230</v>
      </c>
    </row>
    <row r="3526" spans="1:5" x14ac:dyDescent="0.25">
      <c r="A3526" s="41">
        <v>12895</v>
      </c>
      <c r="B3526" s="42" t="s">
        <v>3905</v>
      </c>
      <c r="C3526" s="43" t="s">
        <v>289</v>
      </c>
      <c r="D3526" s="43" t="s">
        <v>433</v>
      </c>
      <c r="E3526" s="43" t="s">
        <v>230</v>
      </c>
    </row>
    <row r="3527" spans="1:5" x14ac:dyDescent="0.25">
      <c r="A3527" s="41">
        <v>12901</v>
      </c>
      <c r="B3527" s="42" t="s">
        <v>3906</v>
      </c>
      <c r="C3527" s="43" t="s">
        <v>289</v>
      </c>
      <c r="D3527" s="43" t="s">
        <v>996</v>
      </c>
      <c r="E3527" s="43" t="s">
        <v>464</v>
      </c>
    </row>
    <row r="3528" spans="1:5" x14ac:dyDescent="0.25">
      <c r="A3528" s="41">
        <v>12902</v>
      </c>
      <c r="B3528" s="42" t="s">
        <v>3907</v>
      </c>
      <c r="C3528" s="43" t="s">
        <v>289</v>
      </c>
      <c r="D3528" s="43" t="s">
        <v>327</v>
      </c>
      <c r="E3528" s="43" t="s">
        <v>464</v>
      </c>
    </row>
    <row r="3529" spans="1:5" x14ac:dyDescent="0.25">
      <c r="A3529" s="41">
        <v>12903</v>
      </c>
      <c r="B3529" s="42" t="s">
        <v>3908</v>
      </c>
      <c r="C3529" s="43" t="s">
        <v>289</v>
      </c>
      <c r="D3529" s="43" t="s">
        <v>327</v>
      </c>
      <c r="E3529" s="43" t="s">
        <v>230</v>
      </c>
    </row>
    <row r="3530" spans="1:5" x14ac:dyDescent="0.25">
      <c r="A3530" s="41">
        <v>12912</v>
      </c>
      <c r="B3530" s="42" t="s">
        <v>3909</v>
      </c>
      <c r="C3530" s="43" t="s">
        <v>289</v>
      </c>
      <c r="D3530" s="43" t="s">
        <v>333</v>
      </c>
      <c r="E3530" s="43" t="s">
        <v>464</v>
      </c>
    </row>
    <row r="3531" spans="1:5" x14ac:dyDescent="0.25">
      <c r="A3531" s="41">
        <v>12924</v>
      </c>
      <c r="B3531" s="42" t="s">
        <v>3910</v>
      </c>
      <c r="C3531" s="43" t="s">
        <v>289</v>
      </c>
      <c r="D3531" s="43" t="s">
        <v>333</v>
      </c>
      <c r="E3531" s="43" t="s">
        <v>230</v>
      </c>
    </row>
    <row r="3532" spans="1:5" x14ac:dyDescent="0.25">
      <c r="A3532" s="41">
        <v>12931</v>
      </c>
      <c r="B3532" s="42" t="s">
        <v>3911</v>
      </c>
      <c r="C3532" s="43" t="s">
        <v>289</v>
      </c>
      <c r="D3532" s="43" t="s">
        <v>474</v>
      </c>
      <c r="E3532" s="43" t="s">
        <v>464</v>
      </c>
    </row>
    <row r="3533" spans="1:5" x14ac:dyDescent="0.25">
      <c r="A3533" s="41">
        <v>12937</v>
      </c>
      <c r="B3533" s="42" t="s">
        <v>3912</v>
      </c>
      <c r="C3533" s="43" t="s">
        <v>289</v>
      </c>
      <c r="D3533" s="43" t="s">
        <v>499</v>
      </c>
      <c r="E3533" s="43" t="s">
        <v>472</v>
      </c>
    </row>
    <row r="3534" spans="1:5" x14ac:dyDescent="0.25">
      <c r="A3534" s="41">
        <v>12943</v>
      </c>
      <c r="B3534" s="42" t="s">
        <v>3913</v>
      </c>
      <c r="C3534" s="43" t="s">
        <v>289</v>
      </c>
      <c r="D3534" s="43" t="s">
        <v>474</v>
      </c>
      <c r="E3534" s="43" t="s">
        <v>230</v>
      </c>
    </row>
    <row r="3535" spans="1:5" x14ac:dyDescent="0.25">
      <c r="A3535" s="41">
        <v>12946</v>
      </c>
      <c r="B3535" s="42" t="s">
        <v>3914</v>
      </c>
      <c r="C3535" s="43" t="s">
        <v>289</v>
      </c>
      <c r="D3535" s="43" t="s">
        <v>316</v>
      </c>
      <c r="E3535" s="43" t="s">
        <v>230</v>
      </c>
    </row>
    <row r="3536" spans="1:5" x14ac:dyDescent="0.25">
      <c r="A3536" s="41">
        <v>12948</v>
      </c>
      <c r="B3536" s="42" t="s">
        <v>3915</v>
      </c>
      <c r="C3536" s="43" t="s">
        <v>289</v>
      </c>
      <c r="D3536" s="43" t="s">
        <v>523</v>
      </c>
      <c r="E3536" s="43" t="s">
        <v>230</v>
      </c>
    </row>
    <row r="3537" spans="1:5" x14ac:dyDescent="0.25">
      <c r="A3537" s="41">
        <v>12949</v>
      </c>
      <c r="B3537" s="42" t="s">
        <v>3916</v>
      </c>
      <c r="C3537" s="43" t="s">
        <v>289</v>
      </c>
      <c r="D3537" s="43" t="s">
        <v>314</v>
      </c>
      <c r="E3537" s="43" t="s">
        <v>230</v>
      </c>
    </row>
    <row r="3538" spans="1:5" x14ac:dyDescent="0.25">
      <c r="A3538" s="41">
        <v>12957</v>
      </c>
      <c r="B3538" s="42" t="s">
        <v>3917</v>
      </c>
      <c r="C3538" s="43" t="s">
        <v>289</v>
      </c>
      <c r="D3538" s="43" t="s">
        <v>2461</v>
      </c>
      <c r="E3538" s="43" t="s">
        <v>230</v>
      </c>
    </row>
    <row r="3539" spans="1:5" x14ac:dyDescent="0.25">
      <c r="A3539" s="41">
        <v>12964</v>
      </c>
      <c r="B3539" s="42" t="s">
        <v>3918</v>
      </c>
      <c r="C3539" s="43" t="s">
        <v>289</v>
      </c>
      <c r="D3539" s="43" t="s">
        <v>845</v>
      </c>
      <c r="E3539" s="43" t="s">
        <v>464</v>
      </c>
    </row>
    <row r="3540" spans="1:5" x14ac:dyDescent="0.25">
      <c r="A3540" s="41">
        <v>12967</v>
      </c>
      <c r="B3540" s="42" t="s">
        <v>3919</v>
      </c>
      <c r="C3540" s="43" t="s">
        <v>289</v>
      </c>
      <c r="D3540" s="43" t="s">
        <v>327</v>
      </c>
      <c r="E3540" s="43" t="s">
        <v>230</v>
      </c>
    </row>
    <row r="3541" spans="1:5" x14ac:dyDescent="0.25">
      <c r="A3541" s="41">
        <v>12970</v>
      </c>
      <c r="B3541" s="42" t="s">
        <v>3920</v>
      </c>
      <c r="C3541" s="43" t="s">
        <v>289</v>
      </c>
      <c r="D3541" s="43" t="s">
        <v>314</v>
      </c>
      <c r="E3541" s="43" t="s">
        <v>404</v>
      </c>
    </row>
    <row r="3542" spans="1:5" x14ac:dyDescent="0.25">
      <c r="A3542" s="41">
        <v>12981</v>
      </c>
      <c r="B3542" s="42" t="s">
        <v>3921</v>
      </c>
      <c r="C3542" s="43" t="s">
        <v>289</v>
      </c>
      <c r="D3542" s="43" t="s">
        <v>996</v>
      </c>
      <c r="E3542" s="43" t="s">
        <v>230</v>
      </c>
    </row>
    <row r="3543" spans="1:5" x14ac:dyDescent="0.25">
      <c r="A3543" s="41">
        <v>12982</v>
      </c>
      <c r="B3543" s="42" t="s">
        <v>3922</v>
      </c>
      <c r="C3543" s="43" t="s">
        <v>289</v>
      </c>
      <c r="D3543" s="43" t="s">
        <v>996</v>
      </c>
      <c r="E3543" s="43" t="s">
        <v>230</v>
      </c>
    </row>
    <row r="3544" spans="1:5" x14ac:dyDescent="0.25">
      <c r="A3544" s="41">
        <v>12983</v>
      </c>
      <c r="B3544" s="42" t="s">
        <v>3923</v>
      </c>
      <c r="C3544" s="43" t="s">
        <v>289</v>
      </c>
      <c r="D3544" s="43" t="s">
        <v>329</v>
      </c>
      <c r="E3544" s="43" t="s">
        <v>373</v>
      </c>
    </row>
    <row r="3545" spans="1:5" x14ac:dyDescent="0.25">
      <c r="A3545" s="41">
        <v>12986</v>
      </c>
      <c r="B3545" s="42" t="s">
        <v>3924</v>
      </c>
      <c r="C3545" s="43" t="s">
        <v>289</v>
      </c>
      <c r="D3545" s="43" t="s">
        <v>327</v>
      </c>
      <c r="E3545" s="43" t="s">
        <v>230</v>
      </c>
    </row>
    <row r="3546" spans="1:5" x14ac:dyDescent="0.25">
      <c r="A3546" s="41">
        <v>12987</v>
      </c>
      <c r="B3546" s="42" t="s">
        <v>3925</v>
      </c>
      <c r="C3546" s="43" t="s">
        <v>289</v>
      </c>
      <c r="D3546" s="43" t="s">
        <v>327</v>
      </c>
      <c r="E3546" s="43" t="s">
        <v>230</v>
      </c>
    </row>
    <row r="3547" spans="1:5" x14ac:dyDescent="0.25">
      <c r="A3547" s="41">
        <v>12988</v>
      </c>
      <c r="B3547" s="42" t="s">
        <v>3926</v>
      </c>
      <c r="C3547" s="43" t="s">
        <v>289</v>
      </c>
      <c r="D3547" s="43" t="s">
        <v>474</v>
      </c>
      <c r="E3547" s="43" t="s">
        <v>230</v>
      </c>
    </row>
    <row r="3548" spans="1:5" x14ac:dyDescent="0.25">
      <c r="A3548" s="41">
        <v>12989</v>
      </c>
      <c r="B3548" s="42" t="s">
        <v>3927</v>
      </c>
      <c r="C3548" s="43" t="s">
        <v>289</v>
      </c>
      <c r="D3548" s="43" t="s">
        <v>316</v>
      </c>
      <c r="E3548" s="43" t="s">
        <v>336</v>
      </c>
    </row>
    <row r="3549" spans="1:5" x14ac:dyDescent="0.25">
      <c r="A3549" s="41">
        <v>12992</v>
      </c>
      <c r="B3549" s="42" t="s">
        <v>3928</v>
      </c>
      <c r="C3549" s="43" t="s">
        <v>289</v>
      </c>
      <c r="D3549" s="43" t="s">
        <v>314</v>
      </c>
      <c r="E3549" s="43" t="s">
        <v>3929</v>
      </c>
    </row>
    <row r="3550" spans="1:5" x14ac:dyDescent="0.25">
      <c r="A3550" s="41">
        <v>12993</v>
      </c>
      <c r="B3550" s="42" t="s">
        <v>3930</v>
      </c>
      <c r="C3550" s="43" t="s">
        <v>289</v>
      </c>
      <c r="D3550" s="43" t="s">
        <v>468</v>
      </c>
      <c r="E3550" s="43" t="s">
        <v>230</v>
      </c>
    </row>
    <row r="3551" spans="1:5" x14ac:dyDescent="0.25">
      <c r="A3551" s="41">
        <v>13001</v>
      </c>
      <c r="B3551" s="42" t="s">
        <v>3931</v>
      </c>
      <c r="C3551" s="43" t="s">
        <v>289</v>
      </c>
      <c r="D3551" s="43" t="s">
        <v>327</v>
      </c>
      <c r="E3551" s="43" t="s">
        <v>230</v>
      </c>
    </row>
    <row r="3552" spans="1:5" x14ac:dyDescent="0.25">
      <c r="A3552" s="41">
        <v>13005</v>
      </c>
      <c r="B3552" s="42" t="s">
        <v>3932</v>
      </c>
      <c r="C3552" s="43" t="s">
        <v>289</v>
      </c>
      <c r="D3552" s="43" t="s">
        <v>327</v>
      </c>
      <c r="E3552" s="43" t="s">
        <v>230</v>
      </c>
    </row>
    <row r="3553" spans="1:5" x14ac:dyDescent="0.25">
      <c r="A3553" s="41">
        <v>13011</v>
      </c>
      <c r="B3553" s="42" t="s">
        <v>3933</v>
      </c>
      <c r="C3553" s="43" t="s">
        <v>289</v>
      </c>
      <c r="D3553" s="43" t="s">
        <v>468</v>
      </c>
      <c r="E3553" s="43" t="s">
        <v>230</v>
      </c>
    </row>
    <row r="3554" spans="1:5" x14ac:dyDescent="0.25">
      <c r="A3554" s="41">
        <v>13012</v>
      </c>
      <c r="B3554" s="42" t="s">
        <v>3934</v>
      </c>
      <c r="C3554" s="43" t="s">
        <v>289</v>
      </c>
      <c r="D3554" s="43" t="s">
        <v>314</v>
      </c>
      <c r="E3554" s="43" t="s">
        <v>170</v>
      </c>
    </row>
    <row r="3555" spans="1:5" x14ac:dyDescent="0.25">
      <c r="A3555" s="41">
        <v>13017</v>
      </c>
      <c r="B3555" s="42" t="s">
        <v>3935</v>
      </c>
      <c r="C3555" s="43" t="s">
        <v>289</v>
      </c>
      <c r="D3555" s="43" t="s">
        <v>327</v>
      </c>
      <c r="E3555" s="43" t="s">
        <v>230</v>
      </c>
    </row>
    <row r="3556" spans="1:5" x14ac:dyDescent="0.25">
      <c r="A3556" s="41">
        <v>13032</v>
      </c>
      <c r="B3556" s="42" t="s">
        <v>3936</v>
      </c>
      <c r="C3556" s="43" t="s">
        <v>289</v>
      </c>
      <c r="D3556" s="43" t="s">
        <v>499</v>
      </c>
      <c r="E3556" s="43" t="s">
        <v>472</v>
      </c>
    </row>
    <row r="3557" spans="1:5" x14ac:dyDescent="0.25">
      <c r="A3557" s="41">
        <v>13034</v>
      </c>
      <c r="B3557" s="42" t="s">
        <v>3937</v>
      </c>
      <c r="C3557" s="43" t="s">
        <v>289</v>
      </c>
      <c r="D3557" s="43" t="s">
        <v>314</v>
      </c>
      <c r="E3557" s="43" t="s">
        <v>336</v>
      </c>
    </row>
    <row r="3558" spans="1:5" x14ac:dyDescent="0.25">
      <c r="A3558" s="41">
        <v>13035</v>
      </c>
      <c r="B3558" s="42" t="s">
        <v>3938</v>
      </c>
      <c r="C3558" s="43" t="s">
        <v>289</v>
      </c>
      <c r="D3558" s="43" t="s">
        <v>314</v>
      </c>
      <c r="E3558" s="43" t="s">
        <v>230</v>
      </c>
    </row>
    <row r="3559" spans="1:5" x14ac:dyDescent="0.25">
      <c r="A3559" s="41">
        <v>13045</v>
      </c>
      <c r="B3559" s="42" t="s">
        <v>3939</v>
      </c>
      <c r="C3559" s="43" t="s">
        <v>289</v>
      </c>
      <c r="D3559" s="43" t="s">
        <v>433</v>
      </c>
      <c r="E3559" s="43" t="s">
        <v>454</v>
      </c>
    </row>
    <row r="3560" spans="1:5" x14ac:dyDescent="0.25">
      <c r="A3560" s="41">
        <v>13049</v>
      </c>
      <c r="B3560" s="42" t="s">
        <v>3940</v>
      </c>
      <c r="C3560" s="43" t="s">
        <v>289</v>
      </c>
      <c r="D3560" s="43" t="s">
        <v>1290</v>
      </c>
      <c r="E3560" s="43" t="s">
        <v>230</v>
      </c>
    </row>
    <row r="3561" spans="1:5" x14ac:dyDescent="0.25">
      <c r="A3561" s="41">
        <v>13054</v>
      </c>
      <c r="B3561" s="42" t="s">
        <v>3941</v>
      </c>
      <c r="C3561" s="43" t="s">
        <v>289</v>
      </c>
      <c r="D3561" s="43" t="s">
        <v>996</v>
      </c>
      <c r="E3561" s="43" t="s">
        <v>230</v>
      </c>
    </row>
    <row r="3562" spans="1:5" x14ac:dyDescent="0.25">
      <c r="A3562" s="41">
        <v>13061</v>
      </c>
      <c r="B3562" s="42" t="s">
        <v>3942</v>
      </c>
      <c r="C3562" s="43" t="s">
        <v>289</v>
      </c>
      <c r="D3562" s="43" t="s">
        <v>333</v>
      </c>
      <c r="E3562" s="43" t="s">
        <v>385</v>
      </c>
    </row>
    <row r="3563" spans="1:5" x14ac:dyDescent="0.25">
      <c r="A3563" s="41">
        <v>13068</v>
      </c>
      <c r="B3563" s="42" t="s">
        <v>3943</v>
      </c>
      <c r="C3563" s="43" t="s">
        <v>289</v>
      </c>
      <c r="D3563" s="43" t="s">
        <v>327</v>
      </c>
      <c r="E3563" s="43" t="s">
        <v>230</v>
      </c>
    </row>
    <row r="3564" spans="1:5" x14ac:dyDescent="0.25">
      <c r="A3564" s="41">
        <v>13069</v>
      </c>
      <c r="B3564" s="42" t="s">
        <v>3944</v>
      </c>
      <c r="C3564" s="43" t="s">
        <v>289</v>
      </c>
      <c r="D3564" s="43" t="s">
        <v>996</v>
      </c>
      <c r="E3564" s="43" t="s">
        <v>230</v>
      </c>
    </row>
    <row r="3565" spans="1:5" x14ac:dyDescent="0.25">
      <c r="A3565" s="41">
        <v>13074</v>
      </c>
      <c r="B3565" s="42" t="s">
        <v>3945</v>
      </c>
      <c r="C3565" s="43" t="s">
        <v>289</v>
      </c>
      <c r="D3565" s="43" t="s">
        <v>327</v>
      </c>
      <c r="E3565" s="43" t="s">
        <v>230</v>
      </c>
    </row>
    <row r="3566" spans="1:5" x14ac:dyDescent="0.25">
      <c r="A3566" s="41">
        <v>13078</v>
      </c>
      <c r="B3566" s="42" t="s">
        <v>3946</v>
      </c>
      <c r="C3566" s="43" t="s">
        <v>289</v>
      </c>
      <c r="D3566" s="43" t="s">
        <v>327</v>
      </c>
      <c r="E3566" s="43" t="s">
        <v>230</v>
      </c>
    </row>
    <row r="3567" spans="1:5" x14ac:dyDescent="0.25">
      <c r="A3567" s="41">
        <v>13079</v>
      </c>
      <c r="B3567" s="42" t="s">
        <v>3947</v>
      </c>
      <c r="C3567" s="43" t="s">
        <v>289</v>
      </c>
      <c r="D3567" s="43" t="s">
        <v>327</v>
      </c>
      <c r="E3567" s="43" t="s">
        <v>230</v>
      </c>
    </row>
    <row r="3568" spans="1:5" x14ac:dyDescent="0.25">
      <c r="A3568" s="41">
        <v>13087</v>
      </c>
      <c r="B3568" s="42" t="s">
        <v>3948</v>
      </c>
      <c r="C3568" s="43" t="s">
        <v>289</v>
      </c>
      <c r="D3568" s="43" t="s">
        <v>290</v>
      </c>
      <c r="E3568" s="43" t="s">
        <v>230</v>
      </c>
    </row>
    <row r="3569" spans="1:5" x14ac:dyDescent="0.25">
      <c r="A3569" s="41">
        <v>13088</v>
      </c>
      <c r="B3569" s="42" t="s">
        <v>3949</v>
      </c>
      <c r="C3569" s="43" t="s">
        <v>289</v>
      </c>
      <c r="D3569" s="43" t="s">
        <v>290</v>
      </c>
      <c r="E3569" s="43" t="s">
        <v>230</v>
      </c>
    </row>
    <row r="3570" spans="1:5" x14ac:dyDescent="0.25">
      <c r="A3570" s="41">
        <v>13089</v>
      </c>
      <c r="B3570" s="42" t="s">
        <v>3950</v>
      </c>
      <c r="C3570" s="43" t="s">
        <v>289</v>
      </c>
      <c r="D3570" s="43" t="s">
        <v>290</v>
      </c>
      <c r="E3570" s="43" t="s">
        <v>230</v>
      </c>
    </row>
    <row r="3571" spans="1:5" x14ac:dyDescent="0.25">
      <c r="A3571" s="41">
        <v>13090</v>
      </c>
      <c r="B3571" s="42" t="s">
        <v>3951</v>
      </c>
      <c r="C3571" s="43" t="s">
        <v>289</v>
      </c>
      <c r="D3571" s="43" t="s">
        <v>290</v>
      </c>
      <c r="E3571" s="43" t="s">
        <v>230</v>
      </c>
    </row>
    <row r="3572" spans="1:5" x14ac:dyDescent="0.25">
      <c r="A3572" s="41">
        <v>13096</v>
      </c>
      <c r="B3572" s="42" t="s">
        <v>3952</v>
      </c>
      <c r="C3572" s="43" t="s">
        <v>289</v>
      </c>
      <c r="D3572" s="43" t="s">
        <v>327</v>
      </c>
      <c r="E3572" s="43" t="s">
        <v>230</v>
      </c>
    </row>
    <row r="3573" spans="1:5" x14ac:dyDescent="0.25">
      <c r="A3573" s="41">
        <v>13109</v>
      </c>
      <c r="B3573" s="42" t="s">
        <v>3953</v>
      </c>
      <c r="C3573" s="43" t="s">
        <v>289</v>
      </c>
      <c r="D3573" s="43" t="s">
        <v>327</v>
      </c>
      <c r="E3573" s="43" t="s">
        <v>464</v>
      </c>
    </row>
    <row r="3574" spans="1:5" x14ac:dyDescent="0.25">
      <c r="A3574" s="41">
        <v>13112</v>
      </c>
      <c r="B3574" s="42" t="s">
        <v>3954</v>
      </c>
      <c r="C3574" s="43" t="s">
        <v>289</v>
      </c>
      <c r="D3574" s="43" t="s">
        <v>453</v>
      </c>
      <c r="E3574" s="43" t="s">
        <v>230</v>
      </c>
    </row>
    <row r="3575" spans="1:5" x14ac:dyDescent="0.25">
      <c r="A3575" s="41">
        <v>13113</v>
      </c>
      <c r="B3575" s="42" t="s">
        <v>3955</v>
      </c>
      <c r="C3575" s="43" t="s">
        <v>289</v>
      </c>
      <c r="D3575" s="43" t="s">
        <v>453</v>
      </c>
      <c r="E3575" s="43" t="s">
        <v>230</v>
      </c>
    </row>
    <row r="3576" spans="1:5" x14ac:dyDescent="0.25">
      <c r="A3576" s="41">
        <v>13114</v>
      </c>
      <c r="B3576" s="42" t="s">
        <v>3956</v>
      </c>
      <c r="C3576" s="43" t="s">
        <v>289</v>
      </c>
      <c r="D3576" s="43" t="s">
        <v>453</v>
      </c>
      <c r="E3576" s="43" t="s">
        <v>230</v>
      </c>
    </row>
    <row r="3577" spans="1:5" x14ac:dyDescent="0.25">
      <c r="A3577" s="41">
        <v>13115</v>
      </c>
      <c r="B3577" s="42" t="s">
        <v>3957</v>
      </c>
      <c r="C3577" s="43" t="s">
        <v>289</v>
      </c>
      <c r="D3577" s="43" t="s">
        <v>453</v>
      </c>
      <c r="E3577" s="43" t="s">
        <v>230</v>
      </c>
    </row>
    <row r="3578" spans="1:5" x14ac:dyDescent="0.25">
      <c r="A3578" s="41">
        <v>13116</v>
      </c>
      <c r="B3578" s="42" t="s">
        <v>3958</v>
      </c>
      <c r="C3578" s="43" t="s">
        <v>289</v>
      </c>
      <c r="D3578" s="43" t="s">
        <v>1141</v>
      </c>
      <c r="E3578" s="43" t="s">
        <v>230</v>
      </c>
    </row>
    <row r="3579" spans="1:5" x14ac:dyDescent="0.25">
      <c r="A3579" s="41">
        <v>13117</v>
      </c>
      <c r="B3579" s="42" t="s">
        <v>3959</v>
      </c>
      <c r="C3579" s="43" t="s">
        <v>289</v>
      </c>
      <c r="D3579" s="43" t="s">
        <v>1141</v>
      </c>
      <c r="E3579" s="43" t="s">
        <v>230</v>
      </c>
    </row>
    <row r="3580" spans="1:5" x14ac:dyDescent="0.25">
      <c r="A3580" s="41">
        <v>13118</v>
      </c>
      <c r="B3580" s="42" t="s">
        <v>3960</v>
      </c>
      <c r="C3580" s="43" t="s">
        <v>289</v>
      </c>
      <c r="D3580" s="43" t="s">
        <v>996</v>
      </c>
      <c r="E3580" s="43" t="s">
        <v>454</v>
      </c>
    </row>
    <row r="3581" spans="1:5" x14ac:dyDescent="0.25">
      <c r="A3581" s="41">
        <v>13119</v>
      </c>
      <c r="B3581" s="42" t="s">
        <v>3961</v>
      </c>
      <c r="C3581" s="43" t="s">
        <v>289</v>
      </c>
      <c r="D3581" s="43" t="s">
        <v>996</v>
      </c>
      <c r="E3581" s="43" t="s">
        <v>230</v>
      </c>
    </row>
    <row r="3582" spans="1:5" x14ac:dyDescent="0.25">
      <c r="A3582" s="41">
        <v>13124</v>
      </c>
      <c r="B3582" s="42" t="s">
        <v>3962</v>
      </c>
      <c r="C3582" s="43" t="s">
        <v>289</v>
      </c>
      <c r="D3582" s="43" t="s">
        <v>290</v>
      </c>
      <c r="E3582" s="43" t="s">
        <v>230</v>
      </c>
    </row>
    <row r="3583" spans="1:5" x14ac:dyDescent="0.25">
      <c r="A3583" s="41">
        <v>13125</v>
      </c>
      <c r="B3583" s="42" t="s">
        <v>3963</v>
      </c>
      <c r="C3583" s="43" t="s">
        <v>289</v>
      </c>
      <c r="D3583" s="43" t="s">
        <v>290</v>
      </c>
      <c r="E3583" s="43" t="s">
        <v>230</v>
      </c>
    </row>
    <row r="3584" spans="1:5" x14ac:dyDescent="0.25">
      <c r="A3584" s="41">
        <v>13126</v>
      </c>
      <c r="B3584" s="42" t="s">
        <v>3964</v>
      </c>
      <c r="C3584" s="43" t="s">
        <v>289</v>
      </c>
      <c r="D3584" s="43" t="s">
        <v>335</v>
      </c>
      <c r="E3584" s="43" t="s">
        <v>230</v>
      </c>
    </row>
    <row r="3585" spans="1:5" x14ac:dyDescent="0.25">
      <c r="A3585" s="41">
        <v>13131</v>
      </c>
      <c r="B3585" s="42" t="s">
        <v>3965</v>
      </c>
      <c r="C3585" s="43" t="s">
        <v>289</v>
      </c>
      <c r="D3585" s="43" t="s">
        <v>996</v>
      </c>
      <c r="E3585" s="43" t="s">
        <v>170</v>
      </c>
    </row>
    <row r="3586" spans="1:5" x14ac:dyDescent="0.25">
      <c r="A3586" s="41">
        <v>13132</v>
      </c>
      <c r="B3586" s="42" t="s">
        <v>318</v>
      </c>
      <c r="C3586" s="43" t="s">
        <v>289</v>
      </c>
      <c r="D3586" s="43" t="s">
        <v>996</v>
      </c>
      <c r="E3586" s="43" t="s">
        <v>230</v>
      </c>
    </row>
    <row r="3587" spans="1:5" x14ac:dyDescent="0.25">
      <c r="A3587" s="41">
        <v>13139</v>
      </c>
      <c r="B3587" s="42" t="s">
        <v>3966</v>
      </c>
      <c r="C3587" s="43" t="s">
        <v>289</v>
      </c>
      <c r="D3587" s="43" t="s">
        <v>466</v>
      </c>
      <c r="E3587" s="43" t="s">
        <v>464</v>
      </c>
    </row>
    <row r="3588" spans="1:5" x14ac:dyDescent="0.25">
      <c r="A3588" s="41">
        <v>13142</v>
      </c>
      <c r="B3588" s="42" t="s">
        <v>3967</v>
      </c>
      <c r="C3588" s="43" t="s">
        <v>289</v>
      </c>
      <c r="D3588" s="43" t="s">
        <v>327</v>
      </c>
      <c r="E3588" s="43" t="s">
        <v>230</v>
      </c>
    </row>
    <row r="3589" spans="1:5" x14ac:dyDescent="0.25">
      <c r="A3589" s="41">
        <v>13143</v>
      </c>
      <c r="B3589" s="42" t="s">
        <v>3968</v>
      </c>
      <c r="C3589" s="43" t="s">
        <v>289</v>
      </c>
      <c r="D3589" s="43" t="s">
        <v>327</v>
      </c>
      <c r="E3589" s="43" t="s">
        <v>230</v>
      </c>
    </row>
    <row r="3590" spans="1:5" x14ac:dyDescent="0.25">
      <c r="A3590" s="41">
        <v>13145</v>
      </c>
      <c r="B3590" s="42" t="s">
        <v>3969</v>
      </c>
      <c r="C3590" s="43" t="s">
        <v>289</v>
      </c>
      <c r="D3590" s="43" t="s">
        <v>1377</v>
      </c>
      <c r="E3590" s="43" t="s">
        <v>336</v>
      </c>
    </row>
    <row r="3591" spans="1:5" x14ac:dyDescent="0.25">
      <c r="A3591" s="41">
        <v>13149</v>
      </c>
      <c r="B3591" s="42" t="s">
        <v>3970</v>
      </c>
      <c r="C3591" s="43" t="s">
        <v>289</v>
      </c>
      <c r="D3591" s="43" t="s">
        <v>523</v>
      </c>
      <c r="E3591" s="43" t="s">
        <v>336</v>
      </c>
    </row>
    <row r="3592" spans="1:5" x14ac:dyDescent="0.25">
      <c r="A3592" s="41">
        <v>13152</v>
      </c>
      <c r="B3592" s="42" t="s">
        <v>3971</v>
      </c>
      <c r="C3592" s="43" t="s">
        <v>289</v>
      </c>
      <c r="D3592" s="43" t="s">
        <v>1377</v>
      </c>
      <c r="E3592" s="43" t="s">
        <v>336</v>
      </c>
    </row>
    <row r="3593" spans="1:5" x14ac:dyDescent="0.25">
      <c r="A3593" s="41">
        <v>13153</v>
      </c>
      <c r="B3593" s="42" t="s">
        <v>3972</v>
      </c>
      <c r="C3593" s="43" t="s">
        <v>289</v>
      </c>
      <c r="D3593" s="43" t="s">
        <v>996</v>
      </c>
      <c r="E3593" s="43" t="s">
        <v>336</v>
      </c>
    </row>
    <row r="3594" spans="1:5" x14ac:dyDescent="0.25">
      <c r="A3594" s="41">
        <v>13155</v>
      </c>
      <c r="B3594" s="42" t="s">
        <v>3973</v>
      </c>
      <c r="C3594" s="43" t="s">
        <v>289</v>
      </c>
      <c r="D3594" s="43" t="s">
        <v>996</v>
      </c>
      <c r="E3594" s="43" t="s">
        <v>230</v>
      </c>
    </row>
    <row r="3595" spans="1:5" x14ac:dyDescent="0.25">
      <c r="A3595" s="41">
        <v>13163</v>
      </c>
      <c r="B3595" s="42" t="s">
        <v>3974</v>
      </c>
      <c r="C3595" s="43" t="s">
        <v>289</v>
      </c>
      <c r="D3595" s="43" t="s">
        <v>468</v>
      </c>
      <c r="E3595" s="43" t="s">
        <v>230</v>
      </c>
    </row>
    <row r="3596" spans="1:5" x14ac:dyDescent="0.25">
      <c r="A3596" s="41">
        <v>13164</v>
      </c>
      <c r="B3596" s="42" t="s">
        <v>3975</v>
      </c>
      <c r="C3596" s="43" t="s">
        <v>289</v>
      </c>
      <c r="D3596" s="43" t="s">
        <v>509</v>
      </c>
      <c r="E3596" s="43" t="s">
        <v>230</v>
      </c>
    </row>
    <row r="3597" spans="1:5" x14ac:dyDescent="0.25">
      <c r="A3597" s="41">
        <v>13165</v>
      </c>
      <c r="B3597" s="42" t="s">
        <v>3976</v>
      </c>
      <c r="C3597" s="43" t="s">
        <v>289</v>
      </c>
      <c r="D3597" s="43" t="s">
        <v>468</v>
      </c>
      <c r="E3597" s="43" t="s">
        <v>230</v>
      </c>
    </row>
    <row r="3598" spans="1:5" x14ac:dyDescent="0.25">
      <c r="A3598" s="41">
        <v>13167</v>
      </c>
      <c r="B3598" s="42" t="s">
        <v>3977</v>
      </c>
      <c r="C3598" s="43" t="s">
        <v>289</v>
      </c>
      <c r="D3598" s="43" t="s">
        <v>316</v>
      </c>
      <c r="E3598" s="43" t="s">
        <v>230</v>
      </c>
    </row>
    <row r="3599" spans="1:5" x14ac:dyDescent="0.25">
      <c r="A3599" s="41">
        <v>13172</v>
      </c>
      <c r="B3599" s="42" t="s">
        <v>3978</v>
      </c>
      <c r="C3599" s="43" t="s">
        <v>289</v>
      </c>
      <c r="D3599" s="43" t="s">
        <v>996</v>
      </c>
      <c r="E3599" s="43" t="s">
        <v>230</v>
      </c>
    </row>
    <row r="3600" spans="1:5" x14ac:dyDescent="0.25">
      <c r="A3600" s="41">
        <v>13185</v>
      </c>
      <c r="B3600" s="42" t="s">
        <v>3979</v>
      </c>
      <c r="C3600" s="43" t="s">
        <v>289</v>
      </c>
      <c r="D3600" s="43" t="s">
        <v>327</v>
      </c>
      <c r="E3600" s="43" t="s">
        <v>464</v>
      </c>
    </row>
    <row r="3601" spans="1:5" x14ac:dyDescent="0.25">
      <c r="A3601" s="41">
        <v>13186</v>
      </c>
      <c r="B3601" s="42" t="s">
        <v>3980</v>
      </c>
      <c r="C3601" s="43" t="s">
        <v>289</v>
      </c>
      <c r="D3601" s="43" t="s">
        <v>327</v>
      </c>
      <c r="E3601" s="43" t="s">
        <v>464</v>
      </c>
    </row>
    <row r="3602" spans="1:5" x14ac:dyDescent="0.25">
      <c r="A3602" s="41">
        <v>13192</v>
      </c>
      <c r="B3602" s="42" t="s">
        <v>3981</v>
      </c>
      <c r="C3602" s="43" t="s">
        <v>289</v>
      </c>
      <c r="D3602" s="43" t="s">
        <v>316</v>
      </c>
      <c r="E3602" s="43" t="s">
        <v>464</v>
      </c>
    </row>
    <row r="3603" spans="1:5" x14ac:dyDescent="0.25">
      <c r="A3603" s="41">
        <v>13194</v>
      </c>
      <c r="B3603" s="42" t="s">
        <v>3982</v>
      </c>
      <c r="C3603" s="43" t="s">
        <v>289</v>
      </c>
      <c r="D3603" s="43" t="s">
        <v>996</v>
      </c>
      <c r="E3603" s="43" t="s">
        <v>230</v>
      </c>
    </row>
    <row r="3604" spans="1:5" x14ac:dyDescent="0.25">
      <c r="A3604" s="41">
        <v>13211</v>
      </c>
      <c r="B3604" s="42" t="s">
        <v>3983</v>
      </c>
      <c r="C3604" s="43" t="s">
        <v>289</v>
      </c>
      <c r="D3604" s="43" t="s">
        <v>468</v>
      </c>
      <c r="E3604" s="43" t="s">
        <v>464</v>
      </c>
    </row>
    <row r="3605" spans="1:5" x14ac:dyDescent="0.25">
      <c r="A3605" s="41">
        <v>13212</v>
      </c>
      <c r="B3605" s="42" t="s">
        <v>3984</v>
      </c>
      <c r="C3605" s="43" t="s">
        <v>289</v>
      </c>
      <c r="D3605" s="43" t="s">
        <v>1227</v>
      </c>
      <c r="E3605" s="43" t="s">
        <v>454</v>
      </c>
    </row>
    <row r="3606" spans="1:5" x14ac:dyDescent="0.25">
      <c r="A3606" s="41">
        <v>13214</v>
      </c>
      <c r="B3606" s="42" t="s">
        <v>3985</v>
      </c>
      <c r="C3606" s="43" t="s">
        <v>289</v>
      </c>
      <c r="D3606" s="43" t="s">
        <v>996</v>
      </c>
      <c r="E3606" s="43" t="s">
        <v>230</v>
      </c>
    </row>
    <row r="3607" spans="1:5" x14ac:dyDescent="0.25">
      <c r="A3607" s="41">
        <v>13220</v>
      </c>
      <c r="B3607" s="42" t="s">
        <v>3986</v>
      </c>
      <c r="C3607" s="43" t="s">
        <v>289</v>
      </c>
      <c r="D3607" s="43" t="s">
        <v>327</v>
      </c>
      <c r="E3607" s="43" t="s">
        <v>230</v>
      </c>
    </row>
    <row r="3608" spans="1:5" x14ac:dyDescent="0.25">
      <c r="A3608" s="41">
        <v>13241</v>
      </c>
      <c r="B3608" s="42" t="s">
        <v>3987</v>
      </c>
      <c r="C3608" s="43" t="s">
        <v>289</v>
      </c>
      <c r="D3608" s="43" t="s">
        <v>327</v>
      </c>
      <c r="E3608" s="43" t="s">
        <v>230</v>
      </c>
    </row>
    <row r="3609" spans="1:5" x14ac:dyDescent="0.25">
      <c r="A3609" s="41">
        <v>13242</v>
      </c>
      <c r="B3609" s="42" t="s">
        <v>3988</v>
      </c>
      <c r="C3609" s="43" t="s">
        <v>289</v>
      </c>
      <c r="D3609" s="43" t="s">
        <v>327</v>
      </c>
      <c r="E3609" s="43" t="s">
        <v>230</v>
      </c>
    </row>
    <row r="3610" spans="1:5" x14ac:dyDescent="0.25">
      <c r="A3610" s="41">
        <v>13244</v>
      </c>
      <c r="B3610" s="42" t="s">
        <v>3989</v>
      </c>
      <c r="C3610" s="43" t="s">
        <v>289</v>
      </c>
      <c r="D3610" s="43" t="s">
        <v>327</v>
      </c>
      <c r="E3610" s="43" t="s">
        <v>230</v>
      </c>
    </row>
    <row r="3611" spans="1:5" x14ac:dyDescent="0.25">
      <c r="A3611" s="41">
        <v>13283</v>
      </c>
      <c r="B3611" s="42" t="s">
        <v>3990</v>
      </c>
      <c r="C3611" s="43" t="s">
        <v>289</v>
      </c>
      <c r="D3611" s="43" t="s">
        <v>316</v>
      </c>
      <c r="E3611" s="43" t="s">
        <v>230</v>
      </c>
    </row>
    <row r="3612" spans="1:5" x14ac:dyDescent="0.25">
      <c r="A3612" s="41">
        <v>13285</v>
      </c>
      <c r="B3612" s="42" t="s">
        <v>3991</v>
      </c>
      <c r="C3612" s="43" t="s">
        <v>289</v>
      </c>
      <c r="D3612" s="43" t="s">
        <v>314</v>
      </c>
      <c r="E3612" s="43" t="s">
        <v>230</v>
      </c>
    </row>
    <row r="3613" spans="1:5" x14ac:dyDescent="0.25">
      <c r="A3613" s="41">
        <v>13289</v>
      </c>
      <c r="B3613" s="42" t="s">
        <v>3992</v>
      </c>
      <c r="C3613" s="43" t="s">
        <v>289</v>
      </c>
      <c r="D3613" s="43" t="s">
        <v>316</v>
      </c>
      <c r="E3613" s="43" t="s">
        <v>454</v>
      </c>
    </row>
    <row r="3614" spans="1:5" x14ac:dyDescent="0.25">
      <c r="A3614" s="41">
        <v>13290</v>
      </c>
      <c r="B3614" s="42" t="s">
        <v>3993</v>
      </c>
      <c r="C3614" s="43" t="s">
        <v>289</v>
      </c>
      <c r="D3614" s="43" t="s">
        <v>2281</v>
      </c>
      <c r="E3614" s="43" t="s">
        <v>454</v>
      </c>
    </row>
    <row r="3615" spans="1:5" x14ac:dyDescent="0.25">
      <c r="A3615" s="41">
        <v>13299</v>
      </c>
      <c r="B3615" s="42" t="s">
        <v>3994</v>
      </c>
      <c r="C3615" s="43" t="s">
        <v>289</v>
      </c>
      <c r="D3615" s="43" t="s">
        <v>327</v>
      </c>
      <c r="E3615" s="43" t="s">
        <v>230</v>
      </c>
    </row>
    <row r="3616" spans="1:5" x14ac:dyDescent="0.25">
      <c r="A3616" s="41">
        <v>13304</v>
      </c>
      <c r="B3616" s="42" t="s">
        <v>3995</v>
      </c>
      <c r="C3616" s="43" t="s">
        <v>289</v>
      </c>
      <c r="D3616" s="43" t="s">
        <v>996</v>
      </c>
      <c r="E3616" s="43" t="s">
        <v>454</v>
      </c>
    </row>
    <row r="3617" spans="1:5" x14ac:dyDescent="0.25">
      <c r="A3617" s="41">
        <v>13310</v>
      </c>
      <c r="B3617" s="42" t="s">
        <v>3996</v>
      </c>
      <c r="C3617" s="43" t="s">
        <v>289</v>
      </c>
      <c r="D3617" s="43" t="s">
        <v>333</v>
      </c>
      <c r="E3617" s="43" t="s">
        <v>170</v>
      </c>
    </row>
    <row r="3618" spans="1:5" x14ac:dyDescent="0.25">
      <c r="A3618" s="41">
        <v>13315</v>
      </c>
      <c r="B3618" s="42" t="s">
        <v>3997</v>
      </c>
      <c r="C3618" s="43" t="s">
        <v>289</v>
      </c>
      <c r="D3618" s="43" t="s">
        <v>327</v>
      </c>
      <c r="E3618" s="43" t="s">
        <v>230</v>
      </c>
    </row>
    <row r="3619" spans="1:5" x14ac:dyDescent="0.25">
      <c r="A3619" s="41">
        <v>13318</v>
      </c>
      <c r="B3619" s="42" t="s">
        <v>3998</v>
      </c>
      <c r="C3619" s="43" t="s">
        <v>289</v>
      </c>
      <c r="D3619" s="43" t="s">
        <v>327</v>
      </c>
      <c r="E3619" s="43" t="s">
        <v>230</v>
      </c>
    </row>
    <row r="3620" spans="1:5" x14ac:dyDescent="0.25">
      <c r="A3620" s="41">
        <v>13319</v>
      </c>
      <c r="B3620" s="42" t="s">
        <v>3999</v>
      </c>
      <c r="C3620" s="43" t="s">
        <v>289</v>
      </c>
      <c r="D3620" s="43" t="s">
        <v>314</v>
      </c>
      <c r="E3620" s="43" t="s">
        <v>230</v>
      </c>
    </row>
    <row r="3621" spans="1:5" x14ac:dyDescent="0.25">
      <c r="A3621" s="41">
        <v>13321</v>
      </c>
      <c r="B3621" s="42" t="s">
        <v>4000</v>
      </c>
      <c r="C3621" s="43" t="s">
        <v>289</v>
      </c>
      <c r="D3621" s="43" t="s">
        <v>327</v>
      </c>
      <c r="E3621" s="43" t="s">
        <v>230</v>
      </c>
    </row>
    <row r="3622" spans="1:5" x14ac:dyDescent="0.25">
      <c r="A3622" s="41">
        <v>13322</v>
      </c>
      <c r="B3622" s="42" t="s">
        <v>4001</v>
      </c>
      <c r="C3622" s="43" t="s">
        <v>289</v>
      </c>
      <c r="D3622" s="43" t="s">
        <v>316</v>
      </c>
      <c r="E3622" s="43" t="s">
        <v>230</v>
      </c>
    </row>
    <row r="3623" spans="1:5" x14ac:dyDescent="0.25">
      <c r="A3623" s="41">
        <v>13325</v>
      </c>
      <c r="B3623" s="42" t="s">
        <v>4002</v>
      </c>
      <c r="C3623" s="43" t="s">
        <v>289</v>
      </c>
      <c r="D3623" s="43" t="s">
        <v>314</v>
      </c>
      <c r="E3623" s="43" t="s">
        <v>336</v>
      </c>
    </row>
    <row r="3624" spans="1:5" x14ac:dyDescent="0.25">
      <c r="A3624" s="41">
        <v>13337</v>
      </c>
      <c r="B3624" s="42" t="s">
        <v>4003</v>
      </c>
      <c r="C3624" s="43" t="s">
        <v>289</v>
      </c>
      <c r="D3624" s="43" t="s">
        <v>694</v>
      </c>
      <c r="E3624" s="43" t="s">
        <v>230</v>
      </c>
    </row>
    <row r="3625" spans="1:5" x14ac:dyDescent="0.25">
      <c r="A3625" s="41">
        <v>13338</v>
      </c>
      <c r="B3625" s="42" t="s">
        <v>4004</v>
      </c>
      <c r="C3625" s="43" t="s">
        <v>289</v>
      </c>
      <c r="D3625" s="43" t="s">
        <v>694</v>
      </c>
      <c r="E3625" s="43" t="s">
        <v>170</v>
      </c>
    </row>
    <row r="3626" spans="1:5" x14ac:dyDescent="0.25">
      <c r="A3626" s="41">
        <v>13340</v>
      </c>
      <c r="B3626" s="42" t="s">
        <v>4005</v>
      </c>
      <c r="C3626" s="43" t="s">
        <v>289</v>
      </c>
      <c r="D3626" s="43" t="s">
        <v>327</v>
      </c>
      <c r="E3626" s="43" t="s">
        <v>230</v>
      </c>
    </row>
    <row r="3627" spans="1:5" x14ac:dyDescent="0.25">
      <c r="A3627" s="41">
        <v>13342</v>
      </c>
      <c r="B3627" s="42" t="s">
        <v>4006</v>
      </c>
      <c r="C3627" s="43" t="s">
        <v>289</v>
      </c>
      <c r="D3627" s="43" t="s">
        <v>433</v>
      </c>
      <c r="E3627" s="43" t="s">
        <v>230</v>
      </c>
    </row>
    <row r="3628" spans="1:5" x14ac:dyDescent="0.25">
      <c r="A3628" s="41">
        <v>13343</v>
      </c>
      <c r="B3628" s="42" t="s">
        <v>4007</v>
      </c>
      <c r="C3628" s="43" t="s">
        <v>289</v>
      </c>
      <c r="D3628" s="43" t="s">
        <v>996</v>
      </c>
      <c r="E3628" s="43" t="s">
        <v>454</v>
      </c>
    </row>
    <row r="3629" spans="1:5" x14ac:dyDescent="0.25">
      <c r="A3629" s="41">
        <v>13344</v>
      </c>
      <c r="B3629" s="42" t="s">
        <v>4008</v>
      </c>
      <c r="C3629" s="43" t="s">
        <v>289</v>
      </c>
      <c r="D3629" s="43" t="s">
        <v>996</v>
      </c>
      <c r="E3629" s="43" t="s">
        <v>454</v>
      </c>
    </row>
    <row r="3630" spans="1:5" x14ac:dyDescent="0.25">
      <c r="A3630" s="41">
        <v>13350</v>
      </c>
      <c r="B3630" s="42" t="s">
        <v>4009</v>
      </c>
      <c r="C3630" s="43" t="s">
        <v>289</v>
      </c>
      <c r="D3630" s="43" t="s">
        <v>314</v>
      </c>
      <c r="E3630" s="43" t="s">
        <v>230</v>
      </c>
    </row>
    <row r="3631" spans="1:5" x14ac:dyDescent="0.25">
      <c r="A3631" s="41">
        <v>13353</v>
      </c>
      <c r="B3631" s="42" t="s">
        <v>4010</v>
      </c>
      <c r="C3631" s="43" t="s">
        <v>289</v>
      </c>
      <c r="D3631" s="43" t="s">
        <v>2281</v>
      </c>
      <c r="E3631" s="43" t="s">
        <v>230</v>
      </c>
    </row>
    <row r="3632" spans="1:5" x14ac:dyDescent="0.25">
      <c r="A3632" s="41">
        <v>13360</v>
      </c>
      <c r="B3632" s="42" t="s">
        <v>4011</v>
      </c>
      <c r="C3632" s="43" t="s">
        <v>289</v>
      </c>
      <c r="D3632" s="43" t="s">
        <v>996</v>
      </c>
      <c r="E3632" s="43" t="s">
        <v>230</v>
      </c>
    </row>
    <row r="3633" spans="1:5" x14ac:dyDescent="0.25">
      <c r="A3633" s="41">
        <v>13362</v>
      </c>
      <c r="B3633" s="42" t="s">
        <v>4012</v>
      </c>
      <c r="C3633" s="43" t="s">
        <v>289</v>
      </c>
      <c r="D3633" s="43" t="s">
        <v>4013</v>
      </c>
      <c r="E3633" s="43" t="s">
        <v>454</v>
      </c>
    </row>
    <row r="3634" spans="1:5" x14ac:dyDescent="0.25">
      <c r="A3634" s="41">
        <v>13364</v>
      </c>
      <c r="B3634" s="42" t="s">
        <v>4014</v>
      </c>
      <c r="C3634" s="43" t="s">
        <v>289</v>
      </c>
      <c r="D3634" s="43" t="s">
        <v>327</v>
      </c>
      <c r="E3634" s="43" t="s">
        <v>531</v>
      </c>
    </row>
    <row r="3635" spans="1:5" x14ac:dyDescent="0.25">
      <c r="A3635" s="41">
        <v>13366</v>
      </c>
      <c r="B3635" s="42" t="s">
        <v>4015</v>
      </c>
      <c r="C3635" s="43" t="s">
        <v>289</v>
      </c>
      <c r="D3635" s="43" t="s">
        <v>327</v>
      </c>
      <c r="E3635" s="43" t="s">
        <v>531</v>
      </c>
    </row>
    <row r="3636" spans="1:5" x14ac:dyDescent="0.25">
      <c r="A3636" s="41">
        <v>13369</v>
      </c>
      <c r="B3636" s="42" t="s">
        <v>4016</v>
      </c>
      <c r="C3636" s="43" t="s">
        <v>289</v>
      </c>
      <c r="D3636" s="43" t="s">
        <v>327</v>
      </c>
      <c r="E3636" s="43" t="s">
        <v>230</v>
      </c>
    </row>
    <row r="3637" spans="1:5" x14ac:dyDescent="0.25">
      <c r="A3637" s="41">
        <v>13370</v>
      </c>
      <c r="B3637" s="42" t="s">
        <v>4017</v>
      </c>
      <c r="C3637" s="43" t="s">
        <v>289</v>
      </c>
      <c r="D3637" s="43" t="s">
        <v>327</v>
      </c>
      <c r="E3637" s="43" t="s">
        <v>230</v>
      </c>
    </row>
    <row r="3638" spans="1:5" x14ac:dyDescent="0.25">
      <c r="A3638" s="41">
        <v>13372</v>
      </c>
      <c r="B3638" s="42" t="s">
        <v>4018</v>
      </c>
      <c r="C3638" s="43" t="s">
        <v>289</v>
      </c>
      <c r="D3638" s="43" t="s">
        <v>327</v>
      </c>
      <c r="E3638" s="43" t="s">
        <v>230</v>
      </c>
    </row>
    <row r="3639" spans="1:5" x14ac:dyDescent="0.25">
      <c r="A3639" s="41">
        <v>13374</v>
      </c>
      <c r="B3639" s="42" t="s">
        <v>4019</v>
      </c>
      <c r="C3639" s="43" t="s">
        <v>289</v>
      </c>
      <c r="D3639" s="43" t="s">
        <v>1141</v>
      </c>
      <c r="E3639" s="43" t="s">
        <v>230</v>
      </c>
    </row>
    <row r="3640" spans="1:5" x14ac:dyDescent="0.25">
      <c r="A3640" s="41">
        <v>13375</v>
      </c>
      <c r="B3640" s="42" t="s">
        <v>4020</v>
      </c>
      <c r="C3640" s="43" t="s">
        <v>289</v>
      </c>
      <c r="D3640" s="43" t="s">
        <v>316</v>
      </c>
      <c r="E3640" s="43" t="s">
        <v>230</v>
      </c>
    </row>
    <row r="3641" spans="1:5" x14ac:dyDescent="0.25">
      <c r="A3641" s="41">
        <v>13386</v>
      </c>
      <c r="B3641" s="42" t="s">
        <v>4021</v>
      </c>
      <c r="C3641" s="43" t="s">
        <v>289</v>
      </c>
      <c r="D3641" s="43" t="s">
        <v>996</v>
      </c>
      <c r="E3641" s="43" t="s">
        <v>230</v>
      </c>
    </row>
    <row r="3642" spans="1:5" x14ac:dyDescent="0.25">
      <c r="A3642" s="41">
        <v>13391</v>
      </c>
      <c r="B3642" s="42" t="s">
        <v>4022</v>
      </c>
      <c r="C3642" s="43" t="s">
        <v>289</v>
      </c>
      <c r="D3642" s="43" t="s">
        <v>996</v>
      </c>
      <c r="E3642" s="43" t="s">
        <v>230</v>
      </c>
    </row>
    <row r="3643" spans="1:5" x14ac:dyDescent="0.25">
      <c r="A3643" s="41">
        <v>13402</v>
      </c>
      <c r="B3643" s="42" t="s">
        <v>4023</v>
      </c>
      <c r="C3643" s="43" t="s">
        <v>289</v>
      </c>
      <c r="D3643" s="43" t="s">
        <v>996</v>
      </c>
      <c r="E3643" s="43" t="s">
        <v>230</v>
      </c>
    </row>
    <row r="3644" spans="1:5" x14ac:dyDescent="0.25">
      <c r="A3644" s="41">
        <v>13419</v>
      </c>
      <c r="B3644" s="42" t="s">
        <v>4024</v>
      </c>
      <c r="C3644" s="43" t="s">
        <v>289</v>
      </c>
      <c r="D3644" s="43" t="s">
        <v>327</v>
      </c>
      <c r="E3644" s="43" t="s">
        <v>230</v>
      </c>
    </row>
    <row r="3645" spans="1:5" x14ac:dyDescent="0.25">
      <c r="A3645" s="41">
        <v>13422</v>
      </c>
      <c r="B3645" s="42" t="s">
        <v>4025</v>
      </c>
      <c r="C3645" s="43" t="s">
        <v>289</v>
      </c>
      <c r="D3645" s="43" t="s">
        <v>316</v>
      </c>
      <c r="E3645" s="43" t="s">
        <v>230</v>
      </c>
    </row>
    <row r="3646" spans="1:5" x14ac:dyDescent="0.25">
      <c r="A3646" s="41">
        <v>13424</v>
      </c>
      <c r="B3646" s="42" t="s">
        <v>4026</v>
      </c>
      <c r="C3646" s="43" t="s">
        <v>289</v>
      </c>
      <c r="D3646" s="43" t="s">
        <v>474</v>
      </c>
      <c r="E3646" s="43" t="s">
        <v>230</v>
      </c>
    </row>
    <row r="3647" spans="1:5" x14ac:dyDescent="0.25">
      <c r="A3647" s="41">
        <v>13427</v>
      </c>
      <c r="B3647" s="42" t="s">
        <v>4027</v>
      </c>
      <c r="C3647" s="43" t="s">
        <v>289</v>
      </c>
      <c r="D3647" s="43" t="s">
        <v>327</v>
      </c>
      <c r="E3647" s="43" t="s">
        <v>230</v>
      </c>
    </row>
    <row r="3648" spans="1:5" x14ac:dyDescent="0.25">
      <c r="A3648" s="41">
        <v>13428</v>
      </c>
      <c r="B3648" s="42" t="s">
        <v>4028</v>
      </c>
      <c r="C3648" s="43" t="s">
        <v>289</v>
      </c>
      <c r="D3648" s="43" t="s">
        <v>327</v>
      </c>
      <c r="E3648" s="43" t="s">
        <v>230</v>
      </c>
    </row>
    <row r="3649" spans="1:5" x14ac:dyDescent="0.25">
      <c r="A3649" s="41">
        <v>13432</v>
      </c>
      <c r="B3649" s="42" t="s">
        <v>4029</v>
      </c>
      <c r="C3649" s="43" t="s">
        <v>289</v>
      </c>
      <c r="D3649" s="43" t="s">
        <v>327</v>
      </c>
      <c r="E3649" s="43" t="s">
        <v>230</v>
      </c>
    </row>
    <row r="3650" spans="1:5" x14ac:dyDescent="0.25">
      <c r="A3650" s="41">
        <v>13435</v>
      </c>
      <c r="B3650" s="42" t="s">
        <v>4030</v>
      </c>
      <c r="C3650" s="43" t="s">
        <v>289</v>
      </c>
      <c r="D3650" s="43" t="s">
        <v>327</v>
      </c>
      <c r="E3650" s="43" t="s">
        <v>230</v>
      </c>
    </row>
    <row r="3651" spans="1:5" x14ac:dyDescent="0.25">
      <c r="A3651" s="41">
        <v>13436</v>
      </c>
      <c r="B3651" s="42" t="s">
        <v>4031</v>
      </c>
      <c r="C3651" s="43" t="s">
        <v>289</v>
      </c>
      <c r="D3651" s="43" t="s">
        <v>996</v>
      </c>
      <c r="E3651" s="43" t="s">
        <v>454</v>
      </c>
    </row>
    <row r="3652" spans="1:5" x14ac:dyDescent="0.25">
      <c r="A3652" s="41">
        <v>13443</v>
      </c>
      <c r="B3652" s="42" t="s">
        <v>4032</v>
      </c>
      <c r="C3652" s="43" t="s">
        <v>289</v>
      </c>
      <c r="D3652" s="43" t="s">
        <v>996</v>
      </c>
      <c r="E3652" s="43" t="s">
        <v>230</v>
      </c>
    </row>
    <row r="3653" spans="1:5" x14ac:dyDescent="0.25">
      <c r="A3653" s="41">
        <v>13446</v>
      </c>
      <c r="B3653" s="42" t="s">
        <v>4033</v>
      </c>
      <c r="C3653" s="43" t="s">
        <v>289</v>
      </c>
      <c r="D3653" s="43" t="s">
        <v>327</v>
      </c>
      <c r="E3653" s="43" t="s">
        <v>230</v>
      </c>
    </row>
    <row r="3654" spans="1:5" x14ac:dyDescent="0.25">
      <c r="A3654" s="41">
        <v>13447</v>
      </c>
      <c r="B3654" s="42" t="s">
        <v>4034</v>
      </c>
      <c r="C3654" s="43" t="s">
        <v>289</v>
      </c>
      <c r="D3654" s="43" t="s">
        <v>327</v>
      </c>
      <c r="E3654" s="43" t="s">
        <v>230</v>
      </c>
    </row>
    <row r="3655" spans="1:5" x14ac:dyDescent="0.25">
      <c r="A3655" s="41">
        <v>13451</v>
      </c>
      <c r="B3655" s="42" t="s">
        <v>4035</v>
      </c>
      <c r="C3655" s="43" t="s">
        <v>289</v>
      </c>
      <c r="D3655" s="43" t="s">
        <v>314</v>
      </c>
      <c r="E3655" s="43" t="s">
        <v>385</v>
      </c>
    </row>
    <row r="3656" spans="1:5" x14ac:dyDescent="0.25">
      <c r="A3656" s="41">
        <v>13454</v>
      </c>
      <c r="B3656" s="42" t="s">
        <v>4036</v>
      </c>
      <c r="C3656" s="43" t="s">
        <v>289</v>
      </c>
      <c r="D3656" s="43" t="s">
        <v>314</v>
      </c>
      <c r="E3656" s="43" t="s">
        <v>230</v>
      </c>
    </row>
    <row r="3657" spans="1:5" x14ac:dyDescent="0.25">
      <c r="A3657" s="41">
        <v>13466</v>
      </c>
      <c r="B3657" s="42" t="s">
        <v>4037</v>
      </c>
      <c r="C3657" s="43" t="s">
        <v>289</v>
      </c>
      <c r="D3657" s="43" t="s">
        <v>438</v>
      </c>
      <c r="E3657" s="43" t="s">
        <v>454</v>
      </c>
    </row>
    <row r="3658" spans="1:5" x14ac:dyDescent="0.25">
      <c r="A3658" s="41">
        <v>13469</v>
      </c>
      <c r="B3658" s="42" t="s">
        <v>4038</v>
      </c>
      <c r="C3658" s="43" t="s">
        <v>289</v>
      </c>
      <c r="D3658" s="43" t="s">
        <v>316</v>
      </c>
      <c r="E3658" s="43" t="s">
        <v>230</v>
      </c>
    </row>
    <row r="3659" spans="1:5" x14ac:dyDescent="0.25">
      <c r="A3659" s="41">
        <v>13470</v>
      </c>
      <c r="B3659" s="42" t="s">
        <v>4039</v>
      </c>
      <c r="C3659" s="43" t="s">
        <v>289</v>
      </c>
      <c r="D3659" s="43" t="s">
        <v>316</v>
      </c>
      <c r="E3659" s="43" t="s">
        <v>230</v>
      </c>
    </row>
    <row r="3660" spans="1:5" x14ac:dyDescent="0.25">
      <c r="A3660" s="41">
        <v>13473</v>
      </c>
      <c r="B3660" s="42" t="s">
        <v>4040</v>
      </c>
      <c r="C3660" s="43" t="s">
        <v>289</v>
      </c>
      <c r="D3660" s="43" t="s">
        <v>335</v>
      </c>
      <c r="E3660" s="43" t="s">
        <v>230</v>
      </c>
    </row>
    <row r="3661" spans="1:5" x14ac:dyDescent="0.25">
      <c r="A3661" s="41">
        <v>13481</v>
      </c>
      <c r="B3661" s="42" t="s">
        <v>4041</v>
      </c>
      <c r="C3661" s="43" t="s">
        <v>289</v>
      </c>
      <c r="D3661" s="43" t="s">
        <v>1100</v>
      </c>
      <c r="E3661" s="43" t="s">
        <v>454</v>
      </c>
    </row>
    <row r="3662" spans="1:5" x14ac:dyDescent="0.25">
      <c r="A3662" s="41">
        <v>13506</v>
      </c>
      <c r="B3662" s="42" t="s">
        <v>4042</v>
      </c>
      <c r="C3662" s="43" t="s">
        <v>289</v>
      </c>
      <c r="D3662" s="43" t="s">
        <v>1100</v>
      </c>
      <c r="E3662" s="43" t="s">
        <v>230</v>
      </c>
    </row>
    <row r="3663" spans="1:5" x14ac:dyDescent="0.25">
      <c r="A3663" s="41">
        <v>13511</v>
      </c>
      <c r="B3663" s="42" t="s">
        <v>4043</v>
      </c>
      <c r="C3663" s="43" t="s">
        <v>289</v>
      </c>
      <c r="D3663" s="43" t="s">
        <v>433</v>
      </c>
      <c r="E3663" s="43" t="s">
        <v>230</v>
      </c>
    </row>
    <row r="3664" spans="1:5" x14ac:dyDescent="0.25">
      <c r="A3664" s="41">
        <v>13516</v>
      </c>
      <c r="B3664" s="42" t="s">
        <v>4044</v>
      </c>
      <c r="C3664" s="43" t="s">
        <v>289</v>
      </c>
      <c r="D3664" s="43" t="s">
        <v>1290</v>
      </c>
      <c r="E3664" s="43" t="s">
        <v>336</v>
      </c>
    </row>
    <row r="3665" spans="1:5" x14ac:dyDescent="0.25">
      <c r="A3665" s="41">
        <v>13519</v>
      </c>
      <c r="B3665" s="42" t="s">
        <v>4045</v>
      </c>
      <c r="C3665" s="43" t="s">
        <v>289</v>
      </c>
      <c r="D3665" s="43" t="s">
        <v>366</v>
      </c>
      <c r="E3665" s="43" t="s">
        <v>373</v>
      </c>
    </row>
    <row r="3666" spans="1:5" x14ac:dyDescent="0.25">
      <c r="A3666" s="41">
        <v>13522</v>
      </c>
      <c r="B3666" s="42" t="s">
        <v>4046</v>
      </c>
      <c r="C3666" s="43" t="s">
        <v>289</v>
      </c>
      <c r="D3666" s="43" t="s">
        <v>474</v>
      </c>
      <c r="E3666" s="43" t="s">
        <v>464</v>
      </c>
    </row>
    <row r="3667" spans="1:5" x14ac:dyDescent="0.25">
      <c r="A3667" s="41">
        <v>13524</v>
      </c>
      <c r="B3667" s="42" t="s">
        <v>4047</v>
      </c>
      <c r="C3667" s="43" t="s">
        <v>289</v>
      </c>
      <c r="D3667" s="43" t="s">
        <v>316</v>
      </c>
      <c r="E3667" s="43" t="s">
        <v>230</v>
      </c>
    </row>
    <row r="3668" spans="1:5" x14ac:dyDescent="0.25">
      <c r="A3668" s="41">
        <v>13526</v>
      </c>
      <c r="B3668" s="42" t="s">
        <v>4048</v>
      </c>
      <c r="C3668" s="43" t="s">
        <v>289</v>
      </c>
      <c r="D3668" s="43" t="s">
        <v>327</v>
      </c>
      <c r="E3668" s="43" t="s">
        <v>230</v>
      </c>
    </row>
    <row r="3669" spans="1:5" x14ac:dyDescent="0.25">
      <c r="A3669" s="41">
        <v>13534</v>
      </c>
      <c r="B3669" s="42" t="s">
        <v>4049</v>
      </c>
      <c r="C3669" s="43" t="s">
        <v>289</v>
      </c>
      <c r="D3669" s="43" t="s">
        <v>1100</v>
      </c>
      <c r="E3669" s="43" t="s">
        <v>454</v>
      </c>
    </row>
    <row r="3670" spans="1:5" x14ac:dyDescent="0.25">
      <c r="A3670" s="41">
        <v>13541</v>
      </c>
      <c r="B3670" s="42" t="s">
        <v>4050</v>
      </c>
      <c r="C3670" s="43" t="s">
        <v>289</v>
      </c>
      <c r="D3670" s="43" t="s">
        <v>694</v>
      </c>
      <c r="E3670" s="43" t="s">
        <v>483</v>
      </c>
    </row>
    <row r="3671" spans="1:5" x14ac:dyDescent="0.25">
      <c r="A3671" s="41">
        <v>13553</v>
      </c>
      <c r="B3671" s="42" t="s">
        <v>4051</v>
      </c>
      <c r="C3671" s="43" t="s">
        <v>289</v>
      </c>
      <c r="D3671" s="43" t="s">
        <v>996</v>
      </c>
      <c r="E3671" s="43" t="s">
        <v>230</v>
      </c>
    </row>
    <row r="3672" spans="1:5" x14ac:dyDescent="0.25">
      <c r="A3672" s="41">
        <v>13555</v>
      </c>
      <c r="B3672" s="42" t="s">
        <v>4052</v>
      </c>
      <c r="C3672" s="43" t="s">
        <v>289</v>
      </c>
      <c r="D3672" s="43" t="s">
        <v>327</v>
      </c>
      <c r="E3672" s="43" t="s">
        <v>354</v>
      </c>
    </row>
    <row r="3673" spans="1:5" x14ac:dyDescent="0.25">
      <c r="A3673" s="41">
        <v>13556</v>
      </c>
      <c r="B3673" s="42" t="s">
        <v>4053</v>
      </c>
      <c r="C3673" s="43" t="s">
        <v>289</v>
      </c>
      <c r="D3673" s="43" t="s">
        <v>327</v>
      </c>
      <c r="E3673" s="43" t="s">
        <v>354</v>
      </c>
    </row>
    <row r="3674" spans="1:5" x14ac:dyDescent="0.25">
      <c r="A3674" s="41">
        <v>13559</v>
      </c>
      <c r="B3674" s="42" t="s">
        <v>4054</v>
      </c>
      <c r="C3674" s="43" t="s">
        <v>289</v>
      </c>
      <c r="D3674" s="43" t="s">
        <v>327</v>
      </c>
      <c r="E3674" s="43" t="s">
        <v>230</v>
      </c>
    </row>
    <row r="3675" spans="1:5" x14ac:dyDescent="0.25">
      <c r="A3675" s="41">
        <v>13560</v>
      </c>
      <c r="B3675" s="42" t="s">
        <v>4055</v>
      </c>
      <c r="C3675" s="43" t="s">
        <v>289</v>
      </c>
      <c r="D3675" s="43" t="s">
        <v>316</v>
      </c>
      <c r="E3675" s="43" t="s">
        <v>230</v>
      </c>
    </row>
    <row r="3676" spans="1:5" x14ac:dyDescent="0.25">
      <c r="A3676" s="41">
        <v>13562</v>
      </c>
      <c r="B3676" s="42" t="s">
        <v>4056</v>
      </c>
      <c r="C3676" s="43" t="s">
        <v>289</v>
      </c>
      <c r="D3676" s="43" t="s">
        <v>327</v>
      </c>
      <c r="E3676" s="43" t="s">
        <v>230</v>
      </c>
    </row>
    <row r="3677" spans="1:5" x14ac:dyDescent="0.25">
      <c r="A3677" s="41">
        <v>13564</v>
      </c>
      <c r="B3677" s="42" t="s">
        <v>4057</v>
      </c>
      <c r="C3677" s="43" t="s">
        <v>289</v>
      </c>
      <c r="D3677" s="43" t="s">
        <v>694</v>
      </c>
      <c r="E3677" s="43" t="s">
        <v>454</v>
      </c>
    </row>
    <row r="3678" spans="1:5" x14ac:dyDescent="0.25">
      <c r="A3678" s="41">
        <v>13565</v>
      </c>
      <c r="B3678" s="42" t="s">
        <v>4058</v>
      </c>
      <c r="C3678" s="43" t="s">
        <v>289</v>
      </c>
      <c r="D3678" s="43" t="s">
        <v>694</v>
      </c>
      <c r="E3678" s="43" t="s">
        <v>454</v>
      </c>
    </row>
    <row r="3679" spans="1:5" x14ac:dyDescent="0.25">
      <c r="A3679" s="41">
        <v>13566</v>
      </c>
      <c r="B3679" s="42" t="s">
        <v>4059</v>
      </c>
      <c r="C3679" s="43" t="s">
        <v>289</v>
      </c>
      <c r="D3679" s="43" t="s">
        <v>327</v>
      </c>
      <c r="E3679" s="43" t="s">
        <v>230</v>
      </c>
    </row>
    <row r="3680" spans="1:5" x14ac:dyDescent="0.25">
      <c r="A3680" s="41">
        <v>13577</v>
      </c>
      <c r="B3680" s="42" t="s">
        <v>4060</v>
      </c>
      <c r="C3680" s="43" t="s">
        <v>289</v>
      </c>
      <c r="D3680" s="43" t="s">
        <v>316</v>
      </c>
      <c r="E3680" s="43" t="s">
        <v>230</v>
      </c>
    </row>
    <row r="3681" spans="1:5" x14ac:dyDescent="0.25">
      <c r="A3681" s="41">
        <v>13581</v>
      </c>
      <c r="B3681" s="42" t="s">
        <v>4061</v>
      </c>
      <c r="C3681" s="43" t="s">
        <v>289</v>
      </c>
      <c r="D3681" s="43" t="s">
        <v>316</v>
      </c>
      <c r="E3681" s="43" t="s">
        <v>230</v>
      </c>
    </row>
    <row r="3682" spans="1:5" x14ac:dyDescent="0.25">
      <c r="A3682" s="41">
        <v>13582</v>
      </c>
      <c r="B3682" s="42" t="s">
        <v>4062</v>
      </c>
      <c r="C3682" s="43" t="s">
        <v>289</v>
      </c>
      <c r="D3682" s="43" t="s">
        <v>316</v>
      </c>
      <c r="E3682" s="43" t="s">
        <v>230</v>
      </c>
    </row>
    <row r="3683" spans="1:5" x14ac:dyDescent="0.25">
      <c r="A3683" s="41">
        <v>13584</v>
      </c>
      <c r="B3683" s="42" t="s">
        <v>4063</v>
      </c>
      <c r="C3683" s="43" t="s">
        <v>289</v>
      </c>
      <c r="D3683" s="43" t="s">
        <v>1100</v>
      </c>
      <c r="E3683" s="43" t="s">
        <v>230</v>
      </c>
    </row>
    <row r="3684" spans="1:5" x14ac:dyDescent="0.25">
      <c r="A3684" s="41">
        <v>13585</v>
      </c>
      <c r="B3684" s="42" t="s">
        <v>4064</v>
      </c>
      <c r="C3684" s="43" t="s">
        <v>289</v>
      </c>
      <c r="D3684" s="43" t="s">
        <v>290</v>
      </c>
      <c r="E3684" s="43" t="s">
        <v>230</v>
      </c>
    </row>
    <row r="3685" spans="1:5" x14ac:dyDescent="0.25">
      <c r="A3685" s="41">
        <v>13587</v>
      </c>
      <c r="B3685" s="42" t="s">
        <v>4065</v>
      </c>
      <c r="C3685" s="43" t="s">
        <v>289</v>
      </c>
      <c r="D3685" s="43" t="s">
        <v>327</v>
      </c>
      <c r="E3685" s="43" t="s">
        <v>230</v>
      </c>
    </row>
    <row r="3686" spans="1:5" x14ac:dyDescent="0.25">
      <c r="A3686" s="41">
        <v>13591</v>
      </c>
      <c r="B3686" s="42" t="s">
        <v>4066</v>
      </c>
      <c r="C3686" s="43" t="s">
        <v>289</v>
      </c>
      <c r="D3686" s="43" t="s">
        <v>327</v>
      </c>
      <c r="E3686" s="43" t="s">
        <v>864</v>
      </c>
    </row>
    <row r="3687" spans="1:5" x14ac:dyDescent="0.25">
      <c r="A3687" s="41">
        <v>13592</v>
      </c>
      <c r="B3687" s="42" t="s">
        <v>4067</v>
      </c>
      <c r="C3687" s="43" t="s">
        <v>289</v>
      </c>
      <c r="D3687" s="43" t="s">
        <v>316</v>
      </c>
      <c r="E3687" s="43" t="s">
        <v>230</v>
      </c>
    </row>
    <row r="3688" spans="1:5" x14ac:dyDescent="0.25">
      <c r="A3688" s="41">
        <v>13603</v>
      </c>
      <c r="B3688" s="42" t="s">
        <v>4068</v>
      </c>
      <c r="C3688" s="43" t="s">
        <v>289</v>
      </c>
      <c r="D3688" s="43" t="s">
        <v>316</v>
      </c>
      <c r="E3688" s="43" t="s">
        <v>230</v>
      </c>
    </row>
    <row r="3689" spans="1:5" x14ac:dyDescent="0.25">
      <c r="A3689" s="41">
        <v>13609</v>
      </c>
      <c r="B3689" s="42" t="s">
        <v>4069</v>
      </c>
      <c r="C3689" s="43" t="s">
        <v>289</v>
      </c>
      <c r="D3689" s="43" t="s">
        <v>327</v>
      </c>
      <c r="E3689" s="43" t="s">
        <v>1120</v>
      </c>
    </row>
    <row r="3690" spans="1:5" x14ac:dyDescent="0.25">
      <c r="A3690" s="41">
        <v>13612</v>
      </c>
      <c r="B3690" s="42" t="s">
        <v>4070</v>
      </c>
      <c r="C3690" s="43" t="s">
        <v>289</v>
      </c>
      <c r="D3690" s="43" t="s">
        <v>3668</v>
      </c>
      <c r="E3690" s="43" t="s">
        <v>472</v>
      </c>
    </row>
    <row r="3691" spans="1:5" x14ac:dyDescent="0.25">
      <c r="A3691" s="41">
        <v>13613</v>
      </c>
      <c r="B3691" s="42" t="s">
        <v>4071</v>
      </c>
      <c r="C3691" s="43" t="s">
        <v>289</v>
      </c>
      <c r="D3691" s="43" t="s">
        <v>329</v>
      </c>
      <c r="E3691" s="43" t="s">
        <v>230</v>
      </c>
    </row>
    <row r="3692" spans="1:5" x14ac:dyDescent="0.25">
      <c r="A3692" s="41">
        <v>13614</v>
      </c>
      <c r="B3692" s="42" t="s">
        <v>4072</v>
      </c>
      <c r="C3692" s="43" t="s">
        <v>289</v>
      </c>
      <c r="D3692" s="43" t="s">
        <v>442</v>
      </c>
      <c r="E3692" s="43" t="s">
        <v>230</v>
      </c>
    </row>
    <row r="3693" spans="1:5" x14ac:dyDescent="0.25">
      <c r="A3693" s="41">
        <v>13618</v>
      </c>
      <c r="B3693" s="42" t="s">
        <v>4073</v>
      </c>
      <c r="C3693" s="43" t="s">
        <v>289</v>
      </c>
      <c r="D3693" s="43" t="s">
        <v>996</v>
      </c>
      <c r="E3693" s="43" t="s">
        <v>230</v>
      </c>
    </row>
    <row r="3694" spans="1:5" x14ac:dyDescent="0.25">
      <c r="A3694" s="41">
        <v>13619</v>
      </c>
      <c r="B3694" s="42" t="s">
        <v>4074</v>
      </c>
      <c r="C3694" s="43" t="s">
        <v>289</v>
      </c>
      <c r="D3694" s="43" t="s">
        <v>327</v>
      </c>
      <c r="E3694" s="43" t="s">
        <v>230</v>
      </c>
    </row>
    <row r="3695" spans="1:5" x14ac:dyDescent="0.25">
      <c r="A3695" s="41">
        <v>13621</v>
      </c>
      <c r="B3695" s="42" t="s">
        <v>4075</v>
      </c>
      <c r="C3695" s="43" t="s">
        <v>289</v>
      </c>
      <c r="D3695" s="43" t="s">
        <v>316</v>
      </c>
      <c r="E3695" s="43" t="s">
        <v>230</v>
      </c>
    </row>
    <row r="3696" spans="1:5" x14ac:dyDescent="0.25">
      <c r="A3696" s="41">
        <v>13626</v>
      </c>
      <c r="B3696" s="42" t="s">
        <v>4076</v>
      </c>
      <c r="C3696" s="43" t="s">
        <v>289</v>
      </c>
      <c r="D3696" s="43" t="s">
        <v>996</v>
      </c>
      <c r="E3696" s="43" t="s">
        <v>373</v>
      </c>
    </row>
    <row r="3697" spans="1:5" x14ac:dyDescent="0.25">
      <c r="A3697" s="41">
        <v>13628</v>
      </c>
      <c r="B3697" s="42" t="s">
        <v>4077</v>
      </c>
      <c r="C3697" s="43" t="s">
        <v>289</v>
      </c>
      <c r="D3697" s="43" t="s">
        <v>316</v>
      </c>
      <c r="E3697" s="43" t="s">
        <v>464</v>
      </c>
    </row>
    <row r="3698" spans="1:5" x14ac:dyDescent="0.25">
      <c r="A3698" s="41">
        <v>13629</v>
      </c>
      <c r="B3698" s="42" t="s">
        <v>4078</v>
      </c>
      <c r="C3698" s="43" t="s">
        <v>289</v>
      </c>
      <c r="D3698" s="43" t="s">
        <v>327</v>
      </c>
      <c r="E3698" s="43" t="s">
        <v>454</v>
      </c>
    </row>
    <row r="3699" spans="1:5" x14ac:dyDescent="0.25">
      <c r="A3699" s="41">
        <v>13634</v>
      </c>
      <c r="B3699" s="42" t="s">
        <v>4079</v>
      </c>
      <c r="C3699" s="43" t="s">
        <v>289</v>
      </c>
      <c r="D3699" s="43" t="s">
        <v>316</v>
      </c>
      <c r="E3699" s="43" t="s">
        <v>230</v>
      </c>
    </row>
    <row r="3700" spans="1:5" x14ac:dyDescent="0.25">
      <c r="A3700" s="41">
        <v>13635</v>
      </c>
      <c r="B3700" s="42" t="s">
        <v>4080</v>
      </c>
      <c r="C3700" s="43" t="s">
        <v>289</v>
      </c>
      <c r="D3700" s="43" t="s">
        <v>327</v>
      </c>
      <c r="E3700" s="43" t="s">
        <v>230</v>
      </c>
    </row>
    <row r="3701" spans="1:5" x14ac:dyDescent="0.25">
      <c r="A3701" s="41">
        <v>13636</v>
      </c>
      <c r="B3701" s="42" t="s">
        <v>4081</v>
      </c>
      <c r="C3701" s="43" t="s">
        <v>289</v>
      </c>
      <c r="D3701" s="43" t="s">
        <v>327</v>
      </c>
      <c r="E3701" s="43" t="s">
        <v>230</v>
      </c>
    </row>
    <row r="3702" spans="1:5" x14ac:dyDescent="0.25">
      <c r="A3702" s="41">
        <v>13638</v>
      </c>
      <c r="B3702" s="42" t="s">
        <v>4082</v>
      </c>
      <c r="C3702" s="43" t="s">
        <v>289</v>
      </c>
      <c r="D3702" s="43" t="s">
        <v>327</v>
      </c>
      <c r="E3702" s="43" t="s">
        <v>230</v>
      </c>
    </row>
    <row r="3703" spans="1:5" x14ac:dyDescent="0.25">
      <c r="A3703" s="41">
        <v>13642</v>
      </c>
      <c r="B3703" s="42" t="s">
        <v>4083</v>
      </c>
      <c r="C3703" s="43" t="s">
        <v>289</v>
      </c>
      <c r="D3703" s="43" t="s">
        <v>4084</v>
      </c>
      <c r="E3703" s="43" t="s">
        <v>454</v>
      </c>
    </row>
    <row r="3704" spans="1:5" x14ac:dyDescent="0.25">
      <c r="A3704" s="41">
        <v>13648</v>
      </c>
      <c r="B3704" s="42" t="s">
        <v>4085</v>
      </c>
      <c r="C3704" s="43" t="s">
        <v>289</v>
      </c>
      <c r="D3704" s="43" t="s">
        <v>316</v>
      </c>
      <c r="E3704" s="43" t="s">
        <v>230</v>
      </c>
    </row>
    <row r="3705" spans="1:5" x14ac:dyDescent="0.25">
      <c r="A3705" s="41">
        <v>13649</v>
      </c>
      <c r="B3705" s="42" t="s">
        <v>4086</v>
      </c>
      <c r="C3705" s="43" t="s">
        <v>289</v>
      </c>
      <c r="D3705" s="43" t="s">
        <v>316</v>
      </c>
      <c r="E3705" s="43" t="s">
        <v>230</v>
      </c>
    </row>
    <row r="3706" spans="1:5" x14ac:dyDescent="0.25">
      <c r="A3706" s="41">
        <v>13652</v>
      </c>
      <c r="B3706" s="42" t="s">
        <v>4087</v>
      </c>
      <c r="C3706" s="43" t="s">
        <v>289</v>
      </c>
      <c r="D3706" s="43" t="s">
        <v>316</v>
      </c>
      <c r="E3706" s="43" t="s">
        <v>230</v>
      </c>
    </row>
    <row r="3707" spans="1:5" x14ac:dyDescent="0.25">
      <c r="A3707" s="41">
        <v>13654</v>
      </c>
      <c r="B3707" s="42" t="s">
        <v>4088</v>
      </c>
      <c r="C3707" s="43" t="s">
        <v>289</v>
      </c>
      <c r="D3707" s="43" t="s">
        <v>316</v>
      </c>
      <c r="E3707" s="43" t="s">
        <v>230</v>
      </c>
    </row>
    <row r="3708" spans="1:5" x14ac:dyDescent="0.25">
      <c r="A3708" s="41">
        <v>13655</v>
      </c>
      <c r="B3708" s="42" t="s">
        <v>4089</v>
      </c>
      <c r="C3708" s="43" t="s">
        <v>289</v>
      </c>
      <c r="D3708" s="43" t="s">
        <v>316</v>
      </c>
      <c r="E3708" s="43" t="s">
        <v>230</v>
      </c>
    </row>
    <row r="3709" spans="1:5" x14ac:dyDescent="0.25">
      <c r="A3709" s="41">
        <v>13656</v>
      </c>
      <c r="B3709" s="42" t="s">
        <v>4090</v>
      </c>
      <c r="C3709" s="43" t="s">
        <v>289</v>
      </c>
      <c r="D3709" s="43" t="s">
        <v>316</v>
      </c>
      <c r="E3709" s="43" t="s">
        <v>230</v>
      </c>
    </row>
    <row r="3710" spans="1:5" x14ac:dyDescent="0.25">
      <c r="A3710" s="41">
        <v>13657</v>
      </c>
      <c r="B3710" s="42" t="s">
        <v>4091</v>
      </c>
      <c r="C3710" s="43" t="s">
        <v>289</v>
      </c>
      <c r="D3710" s="43" t="s">
        <v>316</v>
      </c>
      <c r="E3710" s="43" t="s">
        <v>230</v>
      </c>
    </row>
    <row r="3711" spans="1:5" x14ac:dyDescent="0.25">
      <c r="A3711" s="41">
        <v>13661</v>
      </c>
      <c r="B3711" s="42" t="s">
        <v>4092</v>
      </c>
      <c r="C3711" s="43" t="s">
        <v>289</v>
      </c>
      <c r="D3711" s="43" t="s">
        <v>316</v>
      </c>
      <c r="E3711" s="43" t="s">
        <v>230</v>
      </c>
    </row>
    <row r="3712" spans="1:5" x14ac:dyDescent="0.25">
      <c r="A3712" s="41">
        <v>13664</v>
      </c>
      <c r="B3712" s="42" t="s">
        <v>4093</v>
      </c>
      <c r="C3712" s="43" t="s">
        <v>289</v>
      </c>
      <c r="D3712" s="43" t="s">
        <v>468</v>
      </c>
      <c r="E3712" s="43" t="s">
        <v>230</v>
      </c>
    </row>
    <row r="3713" spans="1:5" x14ac:dyDescent="0.25">
      <c r="A3713" s="41">
        <v>13675</v>
      </c>
      <c r="B3713" s="42" t="s">
        <v>4094</v>
      </c>
      <c r="C3713" s="43" t="s">
        <v>289</v>
      </c>
      <c r="D3713" s="43" t="s">
        <v>327</v>
      </c>
      <c r="E3713" s="43" t="s">
        <v>230</v>
      </c>
    </row>
    <row r="3714" spans="1:5" x14ac:dyDescent="0.25">
      <c r="A3714" s="41">
        <v>13676</v>
      </c>
      <c r="B3714" s="42" t="s">
        <v>4095</v>
      </c>
      <c r="C3714" s="43" t="s">
        <v>289</v>
      </c>
      <c r="D3714" s="43" t="s">
        <v>327</v>
      </c>
      <c r="E3714" s="43" t="s">
        <v>230</v>
      </c>
    </row>
    <row r="3715" spans="1:5" x14ac:dyDescent="0.25">
      <c r="A3715" s="41">
        <v>13677</v>
      </c>
      <c r="B3715" s="42" t="s">
        <v>4096</v>
      </c>
      <c r="C3715" s="43" t="s">
        <v>289</v>
      </c>
      <c r="D3715" s="43" t="s">
        <v>327</v>
      </c>
      <c r="E3715" s="43" t="s">
        <v>230</v>
      </c>
    </row>
    <row r="3716" spans="1:5" x14ac:dyDescent="0.25">
      <c r="A3716" s="41">
        <v>13681</v>
      </c>
      <c r="B3716" s="42" t="s">
        <v>4097</v>
      </c>
      <c r="C3716" s="43" t="s">
        <v>289</v>
      </c>
      <c r="D3716" s="43" t="s">
        <v>763</v>
      </c>
      <c r="E3716" s="43" t="s">
        <v>230</v>
      </c>
    </row>
    <row r="3717" spans="1:5" x14ac:dyDescent="0.25">
      <c r="A3717" s="41">
        <v>13684</v>
      </c>
      <c r="B3717" s="42" t="s">
        <v>4098</v>
      </c>
      <c r="C3717" s="43" t="s">
        <v>289</v>
      </c>
      <c r="D3717" s="43" t="s">
        <v>314</v>
      </c>
      <c r="E3717" s="43" t="s">
        <v>464</v>
      </c>
    </row>
    <row r="3718" spans="1:5" x14ac:dyDescent="0.25">
      <c r="A3718" s="41">
        <v>13691</v>
      </c>
      <c r="B3718" s="42" t="s">
        <v>4099</v>
      </c>
      <c r="C3718" s="43" t="s">
        <v>289</v>
      </c>
      <c r="D3718" s="43" t="s">
        <v>1290</v>
      </c>
      <c r="E3718" s="43" t="s">
        <v>230</v>
      </c>
    </row>
    <row r="3719" spans="1:5" x14ac:dyDescent="0.25">
      <c r="A3719" s="41">
        <v>13692</v>
      </c>
      <c r="B3719" s="42" t="s">
        <v>4100</v>
      </c>
      <c r="C3719" s="43" t="s">
        <v>289</v>
      </c>
      <c r="D3719" s="43" t="s">
        <v>1290</v>
      </c>
      <c r="E3719" s="43" t="s">
        <v>230</v>
      </c>
    </row>
    <row r="3720" spans="1:5" x14ac:dyDescent="0.25">
      <c r="A3720" s="41">
        <v>13693</v>
      </c>
      <c r="B3720" s="42" t="s">
        <v>4101</v>
      </c>
      <c r="C3720" s="43" t="s">
        <v>289</v>
      </c>
      <c r="D3720" s="43" t="s">
        <v>327</v>
      </c>
      <c r="E3720" s="43" t="s">
        <v>766</v>
      </c>
    </row>
    <row r="3721" spans="1:5" x14ac:dyDescent="0.25">
      <c r="A3721" s="41">
        <v>13700</v>
      </c>
      <c r="B3721" s="42" t="s">
        <v>4102</v>
      </c>
      <c r="C3721" s="43" t="s">
        <v>289</v>
      </c>
      <c r="D3721" s="43" t="s">
        <v>316</v>
      </c>
      <c r="E3721" s="43" t="s">
        <v>230</v>
      </c>
    </row>
    <row r="3722" spans="1:5" x14ac:dyDescent="0.25">
      <c r="A3722" s="41">
        <v>13701</v>
      </c>
      <c r="B3722" s="42" t="s">
        <v>4103</v>
      </c>
      <c r="C3722" s="43" t="s">
        <v>289</v>
      </c>
      <c r="D3722" s="43" t="s">
        <v>327</v>
      </c>
      <c r="E3722" s="43" t="s">
        <v>230</v>
      </c>
    </row>
    <row r="3723" spans="1:5" x14ac:dyDescent="0.25">
      <c r="A3723" s="41">
        <v>13702</v>
      </c>
      <c r="B3723" s="42" t="s">
        <v>4104</v>
      </c>
      <c r="C3723" s="43" t="s">
        <v>289</v>
      </c>
      <c r="D3723" s="43" t="s">
        <v>327</v>
      </c>
      <c r="E3723" s="43" t="s">
        <v>1244</v>
      </c>
    </row>
    <row r="3724" spans="1:5" x14ac:dyDescent="0.25">
      <c r="A3724" s="41">
        <v>13708</v>
      </c>
      <c r="B3724" s="42" t="s">
        <v>4105</v>
      </c>
      <c r="C3724" s="43" t="s">
        <v>289</v>
      </c>
      <c r="D3724" s="43" t="s">
        <v>327</v>
      </c>
      <c r="E3724" s="43" t="s">
        <v>217</v>
      </c>
    </row>
    <row r="3725" spans="1:5" x14ac:dyDescent="0.25">
      <c r="A3725" s="41">
        <v>13711</v>
      </c>
      <c r="B3725" s="42" t="s">
        <v>4106</v>
      </c>
      <c r="C3725" s="43" t="s">
        <v>289</v>
      </c>
      <c r="D3725" s="43" t="s">
        <v>316</v>
      </c>
      <c r="E3725" s="43" t="s">
        <v>230</v>
      </c>
    </row>
    <row r="3726" spans="1:5" x14ac:dyDescent="0.25">
      <c r="A3726" s="41">
        <v>13712</v>
      </c>
      <c r="B3726" s="42" t="s">
        <v>4107</v>
      </c>
      <c r="C3726" s="43" t="s">
        <v>289</v>
      </c>
      <c r="D3726" s="43" t="s">
        <v>316</v>
      </c>
      <c r="E3726" s="43" t="s">
        <v>230</v>
      </c>
    </row>
    <row r="3727" spans="1:5" x14ac:dyDescent="0.25">
      <c r="A3727" s="41">
        <v>13713</v>
      </c>
      <c r="B3727" s="42" t="s">
        <v>4108</v>
      </c>
      <c r="C3727" s="43" t="s">
        <v>289</v>
      </c>
      <c r="D3727" s="43" t="s">
        <v>327</v>
      </c>
      <c r="E3727" s="43" t="s">
        <v>230</v>
      </c>
    </row>
    <row r="3728" spans="1:5" x14ac:dyDescent="0.25">
      <c r="A3728" s="41">
        <v>13717</v>
      </c>
      <c r="B3728" s="42" t="s">
        <v>4109</v>
      </c>
      <c r="C3728" s="43" t="s">
        <v>289</v>
      </c>
      <c r="D3728" s="43" t="s">
        <v>435</v>
      </c>
      <c r="E3728" s="43" t="s">
        <v>336</v>
      </c>
    </row>
    <row r="3729" spans="1:5" x14ac:dyDescent="0.25">
      <c r="A3729" s="41">
        <v>13719</v>
      </c>
      <c r="B3729" s="42" t="s">
        <v>4110</v>
      </c>
      <c r="C3729" s="43" t="s">
        <v>289</v>
      </c>
      <c r="D3729" s="43" t="s">
        <v>327</v>
      </c>
      <c r="E3729" s="43" t="s">
        <v>230</v>
      </c>
    </row>
    <row r="3730" spans="1:5" x14ac:dyDescent="0.25">
      <c r="A3730" s="41">
        <v>13720</v>
      </c>
      <c r="B3730" s="42" t="s">
        <v>4111</v>
      </c>
      <c r="C3730" s="43" t="s">
        <v>289</v>
      </c>
      <c r="D3730" s="43" t="s">
        <v>327</v>
      </c>
      <c r="E3730" s="43" t="s">
        <v>230</v>
      </c>
    </row>
    <row r="3731" spans="1:5" x14ac:dyDescent="0.25">
      <c r="A3731" s="41">
        <v>13721</v>
      </c>
      <c r="B3731" s="42" t="s">
        <v>4112</v>
      </c>
      <c r="C3731" s="43" t="s">
        <v>289</v>
      </c>
      <c r="D3731" s="43" t="s">
        <v>327</v>
      </c>
      <c r="E3731" s="43" t="s">
        <v>531</v>
      </c>
    </row>
    <row r="3732" spans="1:5" x14ac:dyDescent="0.25">
      <c r="A3732" s="41">
        <v>13722</v>
      </c>
      <c r="B3732" s="42" t="s">
        <v>4113</v>
      </c>
      <c r="C3732" s="43" t="s">
        <v>289</v>
      </c>
      <c r="D3732" s="43" t="s">
        <v>327</v>
      </c>
      <c r="E3732" s="43" t="s">
        <v>531</v>
      </c>
    </row>
    <row r="3733" spans="1:5" x14ac:dyDescent="0.25">
      <c r="A3733" s="41">
        <v>13724</v>
      </c>
      <c r="B3733" s="42" t="s">
        <v>4114</v>
      </c>
      <c r="C3733" s="43" t="s">
        <v>289</v>
      </c>
      <c r="D3733" s="43" t="s">
        <v>835</v>
      </c>
      <c r="E3733" s="43" t="s">
        <v>464</v>
      </c>
    </row>
    <row r="3734" spans="1:5" x14ac:dyDescent="0.25">
      <c r="A3734" s="41">
        <v>13730</v>
      </c>
      <c r="B3734" s="42" t="s">
        <v>4115</v>
      </c>
      <c r="C3734" s="43" t="s">
        <v>289</v>
      </c>
      <c r="D3734" s="43" t="s">
        <v>4116</v>
      </c>
      <c r="E3734" s="43" t="s">
        <v>769</v>
      </c>
    </row>
    <row r="3735" spans="1:5" x14ac:dyDescent="0.25">
      <c r="A3735" s="41">
        <v>13733</v>
      </c>
      <c r="B3735" s="42" t="s">
        <v>4117</v>
      </c>
      <c r="C3735" s="43" t="s">
        <v>289</v>
      </c>
      <c r="D3735" s="43" t="s">
        <v>316</v>
      </c>
      <c r="E3735" s="43" t="s">
        <v>531</v>
      </c>
    </row>
    <row r="3736" spans="1:5" x14ac:dyDescent="0.25">
      <c r="A3736" s="41">
        <v>13771</v>
      </c>
      <c r="B3736" s="42" t="s">
        <v>4118</v>
      </c>
      <c r="C3736" s="43" t="s">
        <v>289</v>
      </c>
      <c r="D3736" s="43" t="s">
        <v>908</v>
      </c>
      <c r="E3736" s="43" t="s">
        <v>454</v>
      </c>
    </row>
    <row r="3737" spans="1:5" x14ac:dyDescent="0.25">
      <c r="A3737" s="41">
        <v>13794</v>
      </c>
      <c r="B3737" s="42" t="s">
        <v>4119</v>
      </c>
      <c r="C3737" s="43" t="s">
        <v>289</v>
      </c>
      <c r="D3737" s="43" t="s">
        <v>468</v>
      </c>
      <c r="E3737" s="43" t="s">
        <v>336</v>
      </c>
    </row>
    <row r="3738" spans="1:5" x14ac:dyDescent="0.25">
      <c r="A3738" s="41">
        <v>13798</v>
      </c>
      <c r="B3738" s="42" t="s">
        <v>4120</v>
      </c>
      <c r="C3738" s="43" t="s">
        <v>289</v>
      </c>
      <c r="D3738" s="43" t="s">
        <v>314</v>
      </c>
      <c r="E3738" s="43" t="s">
        <v>464</v>
      </c>
    </row>
    <row r="3739" spans="1:5" x14ac:dyDescent="0.25">
      <c r="A3739" s="41">
        <v>13802</v>
      </c>
      <c r="B3739" s="42" t="s">
        <v>4121</v>
      </c>
      <c r="C3739" s="43" t="s">
        <v>289</v>
      </c>
      <c r="D3739" s="43" t="s">
        <v>327</v>
      </c>
      <c r="E3739" s="43" t="s">
        <v>336</v>
      </c>
    </row>
    <row r="3740" spans="1:5" x14ac:dyDescent="0.25">
      <c r="A3740" s="41">
        <v>13804</v>
      </c>
      <c r="B3740" s="42" t="s">
        <v>4122</v>
      </c>
      <c r="C3740" s="43" t="s">
        <v>289</v>
      </c>
      <c r="D3740" s="43" t="s">
        <v>327</v>
      </c>
      <c r="E3740" s="43" t="s">
        <v>230</v>
      </c>
    </row>
    <row r="3741" spans="1:5" x14ac:dyDescent="0.25">
      <c r="A3741" s="41">
        <v>13805</v>
      </c>
      <c r="B3741" s="42" t="s">
        <v>4123</v>
      </c>
      <c r="C3741" s="43" t="s">
        <v>289</v>
      </c>
      <c r="D3741" s="43" t="s">
        <v>327</v>
      </c>
      <c r="E3741" s="43" t="s">
        <v>230</v>
      </c>
    </row>
    <row r="3742" spans="1:5" x14ac:dyDescent="0.25">
      <c r="A3742" s="41">
        <v>13809</v>
      </c>
      <c r="B3742" s="42" t="s">
        <v>4124</v>
      </c>
      <c r="C3742" s="43" t="s">
        <v>289</v>
      </c>
      <c r="D3742" s="43" t="s">
        <v>468</v>
      </c>
      <c r="E3742" s="43" t="s">
        <v>230</v>
      </c>
    </row>
    <row r="3743" spans="1:5" x14ac:dyDescent="0.25">
      <c r="A3743" s="41">
        <v>13812</v>
      </c>
      <c r="B3743" s="42" t="s">
        <v>4125</v>
      </c>
      <c r="C3743" s="43" t="s">
        <v>289</v>
      </c>
      <c r="D3743" s="43" t="s">
        <v>474</v>
      </c>
      <c r="E3743" s="43" t="s">
        <v>531</v>
      </c>
    </row>
    <row r="3744" spans="1:5" x14ac:dyDescent="0.25">
      <c r="A3744" s="41">
        <v>13816</v>
      </c>
      <c r="B3744" s="42" t="s">
        <v>4126</v>
      </c>
      <c r="C3744" s="43" t="s">
        <v>289</v>
      </c>
      <c r="D3744" s="43" t="s">
        <v>438</v>
      </c>
      <c r="E3744" s="43" t="s">
        <v>230</v>
      </c>
    </row>
    <row r="3745" spans="1:5" x14ac:dyDescent="0.25">
      <c r="A3745" s="41">
        <v>13818</v>
      </c>
      <c r="B3745" s="42" t="s">
        <v>4127</v>
      </c>
      <c r="C3745" s="43" t="s">
        <v>289</v>
      </c>
      <c r="D3745" s="43" t="s">
        <v>523</v>
      </c>
      <c r="E3745" s="43" t="s">
        <v>230</v>
      </c>
    </row>
    <row r="3746" spans="1:5" x14ac:dyDescent="0.25">
      <c r="A3746" s="41">
        <v>13819</v>
      </c>
      <c r="B3746" s="42" t="s">
        <v>4128</v>
      </c>
      <c r="C3746" s="43" t="s">
        <v>289</v>
      </c>
      <c r="D3746" s="43" t="s">
        <v>316</v>
      </c>
      <c r="E3746" s="43" t="s">
        <v>336</v>
      </c>
    </row>
    <row r="3747" spans="1:5" x14ac:dyDescent="0.25">
      <c r="A3747" s="41">
        <v>13823</v>
      </c>
      <c r="B3747" s="42" t="s">
        <v>4129</v>
      </c>
      <c r="C3747" s="43" t="s">
        <v>289</v>
      </c>
      <c r="D3747" s="43" t="s">
        <v>316</v>
      </c>
      <c r="E3747" s="43" t="s">
        <v>230</v>
      </c>
    </row>
    <row r="3748" spans="1:5" x14ac:dyDescent="0.25">
      <c r="A3748" s="41">
        <v>13831</v>
      </c>
      <c r="B3748" s="42" t="s">
        <v>4130</v>
      </c>
      <c r="C3748" s="43" t="s">
        <v>289</v>
      </c>
      <c r="D3748" s="43" t="s">
        <v>314</v>
      </c>
      <c r="E3748" s="43" t="s">
        <v>373</v>
      </c>
    </row>
    <row r="3749" spans="1:5" x14ac:dyDescent="0.25">
      <c r="A3749" s="41">
        <v>13841</v>
      </c>
      <c r="B3749" s="42" t="s">
        <v>4131</v>
      </c>
      <c r="C3749" s="43" t="s">
        <v>289</v>
      </c>
      <c r="D3749" s="43" t="s">
        <v>327</v>
      </c>
      <c r="E3749" s="43" t="s">
        <v>230</v>
      </c>
    </row>
    <row r="3750" spans="1:5" x14ac:dyDescent="0.25">
      <c r="A3750" s="41">
        <v>13842</v>
      </c>
      <c r="B3750" s="42" t="s">
        <v>4132</v>
      </c>
      <c r="C3750" s="43" t="s">
        <v>289</v>
      </c>
      <c r="D3750" s="43" t="s">
        <v>3754</v>
      </c>
      <c r="E3750" s="43" t="s">
        <v>769</v>
      </c>
    </row>
    <row r="3751" spans="1:5" x14ac:dyDescent="0.25">
      <c r="A3751" s="41">
        <v>13845</v>
      </c>
      <c r="B3751" s="42" t="s">
        <v>4133</v>
      </c>
      <c r="C3751" s="43" t="s">
        <v>289</v>
      </c>
      <c r="D3751" s="43" t="s">
        <v>316</v>
      </c>
      <c r="E3751" s="43" t="s">
        <v>230</v>
      </c>
    </row>
    <row r="3752" spans="1:5" x14ac:dyDescent="0.25">
      <c r="A3752" s="41">
        <v>13846</v>
      </c>
      <c r="B3752" s="42" t="s">
        <v>4134</v>
      </c>
      <c r="C3752" s="43" t="s">
        <v>289</v>
      </c>
      <c r="D3752" s="43" t="s">
        <v>316</v>
      </c>
      <c r="E3752" s="43" t="s">
        <v>170</v>
      </c>
    </row>
    <row r="3753" spans="1:5" x14ac:dyDescent="0.25">
      <c r="A3753" s="41">
        <v>13847</v>
      </c>
      <c r="B3753" s="42" t="s">
        <v>4135</v>
      </c>
      <c r="C3753" s="43" t="s">
        <v>289</v>
      </c>
      <c r="D3753" s="43" t="s">
        <v>316</v>
      </c>
      <c r="E3753" s="43" t="s">
        <v>170</v>
      </c>
    </row>
    <row r="3754" spans="1:5" x14ac:dyDescent="0.25">
      <c r="A3754" s="41">
        <v>13865</v>
      </c>
      <c r="B3754" s="42" t="s">
        <v>4136</v>
      </c>
      <c r="C3754" s="43" t="s">
        <v>289</v>
      </c>
      <c r="D3754" s="43" t="s">
        <v>327</v>
      </c>
      <c r="E3754" s="43" t="s">
        <v>230</v>
      </c>
    </row>
    <row r="3755" spans="1:5" x14ac:dyDescent="0.25">
      <c r="A3755" s="41">
        <v>13867</v>
      </c>
      <c r="B3755" s="42" t="s">
        <v>4137</v>
      </c>
      <c r="C3755" s="43" t="s">
        <v>289</v>
      </c>
      <c r="D3755" s="43" t="s">
        <v>327</v>
      </c>
      <c r="E3755" s="43" t="s">
        <v>230</v>
      </c>
    </row>
    <row r="3756" spans="1:5" x14ac:dyDescent="0.25">
      <c r="A3756" s="41">
        <v>13869</v>
      </c>
      <c r="B3756" s="42" t="s">
        <v>4138</v>
      </c>
      <c r="C3756" s="43" t="s">
        <v>289</v>
      </c>
      <c r="D3756" s="43" t="s">
        <v>474</v>
      </c>
      <c r="E3756" s="43" t="s">
        <v>373</v>
      </c>
    </row>
    <row r="3757" spans="1:5" x14ac:dyDescent="0.25">
      <c r="A3757" s="41">
        <v>13882</v>
      </c>
      <c r="B3757" s="42" t="s">
        <v>4139</v>
      </c>
      <c r="C3757" s="43" t="s">
        <v>289</v>
      </c>
      <c r="D3757" s="43" t="s">
        <v>314</v>
      </c>
      <c r="E3757" s="43" t="s">
        <v>464</v>
      </c>
    </row>
    <row r="3758" spans="1:5" x14ac:dyDescent="0.25">
      <c r="A3758" s="41">
        <v>13914</v>
      </c>
      <c r="B3758" s="42" t="s">
        <v>4140</v>
      </c>
      <c r="C3758" s="43" t="s">
        <v>289</v>
      </c>
      <c r="D3758" s="43" t="s">
        <v>316</v>
      </c>
      <c r="E3758" s="43" t="s">
        <v>230</v>
      </c>
    </row>
    <row r="3759" spans="1:5" x14ac:dyDescent="0.25">
      <c r="A3759" s="41">
        <v>13933</v>
      </c>
      <c r="B3759" s="42" t="s">
        <v>4141</v>
      </c>
      <c r="C3759" s="43" t="s">
        <v>289</v>
      </c>
      <c r="D3759" s="43" t="s">
        <v>499</v>
      </c>
      <c r="E3759" s="43" t="s">
        <v>472</v>
      </c>
    </row>
    <row r="3760" spans="1:5" x14ac:dyDescent="0.25">
      <c r="A3760" s="41">
        <v>13935</v>
      </c>
      <c r="B3760" s="42" t="s">
        <v>4142</v>
      </c>
      <c r="C3760" s="43" t="s">
        <v>289</v>
      </c>
      <c r="D3760" s="43" t="s">
        <v>3733</v>
      </c>
      <c r="E3760" s="43" t="s">
        <v>454</v>
      </c>
    </row>
    <row r="3761" spans="1:5" x14ac:dyDescent="0.25">
      <c r="A3761" s="41">
        <v>13937</v>
      </c>
      <c r="B3761" s="42" t="s">
        <v>4143</v>
      </c>
      <c r="C3761" s="43" t="s">
        <v>289</v>
      </c>
      <c r="D3761" s="43" t="s">
        <v>327</v>
      </c>
      <c r="E3761" s="43" t="s">
        <v>230</v>
      </c>
    </row>
    <row r="3762" spans="1:5" x14ac:dyDescent="0.25">
      <c r="A3762" s="41">
        <v>13940</v>
      </c>
      <c r="B3762" s="42" t="s">
        <v>4144</v>
      </c>
      <c r="C3762" s="43" t="s">
        <v>289</v>
      </c>
      <c r="D3762" s="43" t="s">
        <v>314</v>
      </c>
      <c r="E3762" s="43" t="s">
        <v>464</v>
      </c>
    </row>
    <row r="3763" spans="1:5" x14ac:dyDescent="0.25">
      <c r="A3763" s="41">
        <v>13944</v>
      </c>
      <c r="B3763" s="42" t="s">
        <v>4145</v>
      </c>
      <c r="C3763" s="43" t="s">
        <v>289</v>
      </c>
      <c r="D3763" s="43" t="s">
        <v>314</v>
      </c>
      <c r="E3763" s="43" t="s">
        <v>230</v>
      </c>
    </row>
    <row r="3764" spans="1:5" x14ac:dyDescent="0.25">
      <c r="A3764" s="41">
        <v>13949</v>
      </c>
      <c r="B3764" s="42" t="s">
        <v>4146</v>
      </c>
      <c r="C3764" s="43" t="s">
        <v>289</v>
      </c>
      <c r="D3764" s="43" t="s">
        <v>941</v>
      </c>
      <c r="E3764" s="43" t="s">
        <v>531</v>
      </c>
    </row>
    <row r="3765" spans="1:5" x14ac:dyDescent="0.25">
      <c r="A3765" s="41">
        <v>13956</v>
      </c>
      <c r="B3765" s="42" t="s">
        <v>4147</v>
      </c>
      <c r="C3765" s="43" t="s">
        <v>289</v>
      </c>
      <c r="D3765" s="43" t="s">
        <v>474</v>
      </c>
      <c r="E3765" s="43" t="s">
        <v>230</v>
      </c>
    </row>
    <row r="3766" spans="1:5" x14ac:dyDescent="0.25">
      <c r="A3766" s="41">
        <v>13974</v>
      </c>
      <c r="B3766" s="42" t="s">
        <v>4148</v>
      </c>
      <c r="C3766" s="43" t="s">
        <v>289</v>
      </c>
      <c r="D3766" s="43" t="s">
        <v>327</v>
      </c>
      <c r="E3766" s="43" t="s">
        <v>230</v>
      </c>
    </row>
    <row r="3767" spans="1:5" x14ac:dyDescent="0.25">
      <c r="A3767" s="41">
        <v>13979</v>
      </c>
      <c r="B3767" s="42" t="s">
        <v>4149</v>
      </c>
      <c r="C3767" s="43" t="s">
        <v>289</v>
      </c>
      <c r="D3767" s="43" t="s">
        <v>314</v>
      </c>
      <c r="E3767" s="43" t="s">
        <v>464</v>
      </c>
    </row>
    <row r="3768" spans="1:5" x14ac:dyDescent="0.25">
      <c r="A3768" s="41">
        <v>13981</v>
      </c>
      <c r="B3768" s="42" t="s">
        <v>4150</v>
      </c>
      <c r="C3768" s="43" t="s">
        <v>289</v>
      </c>
      <c r="D3768" s="43" t="s">
        <v>1526</v>
      </c>
      <c r="E3768" s="43" t="s">
        <v>769</v>
      </c>
    </row>
    <row r="3769" spans="1:5" x14ac:dyDescent="0.25">
      <c r="A3769" s="41">
        <v>13988</v>
      </c>
      <c r="B3769" s="42" t="s">
        <v>4151</v>
      </c>
      <c r="C3769" s="43" t="s">
        <v>289</v>
      </c>
      <c r="D3769" s="43" t="s">
        <v>438</v>
      </c>
      <c r="E3769" s="43" t="s">
        <v>230</v>
      </c>
    </row>
    <row r="3770" spans="1:5" x14ac:dyDescent="0.25">
      <c r="A3770" s="41">
        <v>13992</v>
      </c>
      <c r="B3770" s="42" t="s">
        <v>4152</v>
      </c>
      <c r="C3770" s="43" t="s">
        <v>289</v>
      </c>
      <c r="D3770" s="43" t="s">
        <v>314</v>
      </c>
      <c r="E3770" s="43" t="s">
        <v>464</v>
      </c>
    </row>
    <row r="3771" spans="1:5" x14ac:dyDescent="0.25">
      <c r="A3771" s="41">
        <v>14009</v>
      </c>
      <c r="B3771" s="42" t="s">
        <v>4153</v>
      </c>
      <c r="C3771" s="43" t="s">
        <v>289</v>
      </c>
      <c r="D3771" s="43" t="s">
        <v>438</v>
      </c>
      <c r="E3771" s="43" t="s">
        <v>230</v>
      </c>
    </row>
    <row r="3772" spans="1:5" x14ac:dyDescent="0.25">
      <c r="A3772" s="41">
        <v>14017</v>
      </c>
      <c r="B3772" s="42" t="s">
        <v>4154</v>
      </c>
      <c r="C3772" s="43" t="s">
        <v>289</v>
      </c>
      <c r="D3772" s="43" t="s">
        <v>3630</v>
      </c>
      <c r="E3772" s="43" t="s">
        <v>436</v>
      </c>
    </row>
    <row r="3773" spans="1:5" x14ac:dyDescent="0.25">
      <c r="A3773" s="41">
        <v>14023</v>
      </c>
      <c r="B3773" s="42" t="s">
        <v>4155</v>
      </c>
      <c r="C3773" s="43" t="s">
        <v>289</v>
      </c>
      <c r="D3773" s="43" t="s">
        <v>438</v>
      </c>
      <c r="E3773" s="43" t="s">
        <v>230</v>
      </c>
    </row>
    <row r="3774" spans="1:5" x14ac:dyDescent="0.25">
      <c r="A3774" s="41">
        <v>14034</v>
      </c>
      <c r="B3774" s="42" t="s">
        <v>4156</v>
      </c>
      <c r="C3774" s="43" t="s">
        <v>289</v>
      </c>
      <c r="D3774" s="43" t="s">
        <v>1112</v>
      </c>
      <c r="E3774" s="43" t="s">
        <v>230</v>
      </c>
    </row>
    <row r="3775" spans="1:5" x14ac:dyDescent="0.25">
      <c r="A3775" s="41">
        <v>14059</v>
      </c>
      <c r="B3775" s="42" t="s">
        <v>4157</v>
      </c>
      <c r="C3775" s="43" t="s">
        <v>289</v>
      </c>
      <c r="D3775" s="43" t="s">
        <v>327</v>
      </c>
      <c r="E3775" s="43" t="s">
        <v>436</v>
      </c>
    </row>
    <row r="3776" spans="1:5" x14ac:dyDescent="0.25">
      <c r="A3776" s="41">
        <v>14062</v>
      </c>
      <c r="B3776" s="42" t="s">
        <v>4158</v>
      </c>
      <c r="C3776" s="43" t="s">
        <v>289</v>
      </c>
      <c r="D3776" s="43" t="s">
        <v>1112</v>
      </c>
      <c r="E3776" s="43" t="s">
        <v>464</v>
      </c>
    </row>
    <row r="3777" spans="1:5" x14ac:dyDescent="0.25">
      <c r="A3777" s="41">
        <v>14083</v>
      </c>
      <c r="B3777" s="42" t="s">
        <v>4159</v>
      </c>
      <c r="C3777" s="43" t="s">
        <v>289</v>
      </c>
      <c r="D3777" s="43" t="s">
        <v>1477</v>
      </c>
      <c r="E3777" s="43" t="s">
        <v>230</v>
      </c>
    </row>
    <row r="3778" spans="1:5" x14ac:dyDescent="0.25">
      <c r="A3778" s="41">
        <v>14091</v>
      </c>
      <c r="B3778" s="42" t="s">
        <v>4160</v>
      </c>
      <c r="C3778" s="43" t="s">
        <v>289</v>
      </c>
      <c r="D3778" s="43" t="s">
        <v>438</v>
      </c>
      <c r="E3778" s="43" t="s">
        <v>454</v>
      </c>
    </row>
    <row r="3779" spans="1:5" x14ac:dyDescent="0.25">
      <c r="A3779" s="41">
        <v>14101</v>
      </c>
      <c r="B3779" s="42" t="s">
        <v>4161</v>
      </c>
      <c r="C3779" s="43" t="s">
        <v>289</v>
      </c>
      <c r="D3779" s="43" t="s">
        <v>316</v>
      </c>
      <c r="E3779" s="43" t="s">
        <v>230</v>
      </c>
    </row>
    <row r="3780" spans="1:5" x14ac:dyDescent="0.25">
      <c r="A3780" s="41">
        <v>14102</v>
      </c>
      <c r="B3780" s="42" t="s">
        <v>4162</v>
      </c>
      <c r="C3780" s="43" t="s">
        <v>289</v>
      </c>
      <c r="D3780" s="43" t="s">
        <v>438</v>
      </c>
      <c r="E3780" s="43" t="s">
        <v>230</v>
      </c>
    </row>
    <row r="3781" spans="1:5" x14ac:dyDescent="0.25">
      <c r="A3781" s="41">
        <v>14123</v>
      </c>
      <c r="B3781" s="42" t="s">
        <v>4163</v>
      </c>
      <c r="C3781" s="43" t="s">
        <v>289</v>
      </c>
      <c r="D3781" s="43" t="s">
        <v>1477</v>
      </c>
      <c r="E3781" s="43" t="s">
        <v>464</v>
      </c>
    </row>
    <row r="3782" spans="1:5" x14ac:dyDescent="0.25">
      <c r="A3782" s="41">
        <v>14128</v>
      </c>
      <c r="B3782" s="42" t="s">
        <v>4164</v>
      </c>
      <c r="C3782" s="43" t="s">
        <v>289</v>
      </c>
      <c r="D3782" s="43" t="s">
        <v>1227</v>
      </c>
      <c r="E3782" s="43" t="s">
        <v>230</v>
      </c>
    </row>
    <row r="3783" spans="1:5" x14ac:dyDescent="0.25">
      <c r="A3783" s="41">
        <v>14132</v>
      </c>
      <c r="B3783" s="42" t="s">
        <v>4165</v>
      </c>
      <c r="C3783" s="43" t="s">
        <v>289</v>
      </c>
      <c r="D3783" s="43" t="s">
        <v>835</v>
      </c>
      <c r="E3783" s="43" t="s">
        <v>464</v>
      </c>
    </row>
    <row r="3784" spans="1:5" x14ac:dyDescent="0.25">
      <c r="A3784" s="41">
        <v>14155</v>
      </c>
      <c r="B3784" s="42" t="s">
        <v>4166</v>
      </c>
      <c r="C3784" s="43" t="s">
        <v>289</v>
      </c>
      <c r="D3784" s="43" t="s">
        <v>314</v>
      </c>
      <c r="E3784" s="43" t="s">
        <v>385</v>
      </c>
    </row>
    <row r="3785" spans="1:5" x14ac:dyDescent="0.25">
      <c r="A3785" s="41">
        <v>14158</v>
      </c>
      <c r="B3785" s="42" t="s">
        <v>4167</v>
      </c>
      <c r="C3785" s="43" t="s">
        <v>289</v>
      </c>
      <c r="D3785" s="43" t="s">
        <v>438</v>
      </c>
      <c r="E3785" s="43" t="s">
        <v>230</v>
      </c>
    </row>
    <row r="3786" spans="1:5" x14ac:dyDescent="0.25">
      <c r="A3786" s="41">
        <v>14159</v>
      </c>
      <c r="B3786" s="42" t="s">
        <v>4168</v>
      </c>
      <c r="C3786" s="43" t="s">
        <v>289</v>
      </c>
      <c r="D3786" s="43" t="s">
        <v>438</v>
      </c>
      <c r="E3786" s="43" t="s">
        <v>230</v>
      </c>
    </row>
    <row r="3787" spans="1:5" x14ac:dyDescent="0.25">
      <c r="A3787" s="41">
        <v>14162</v>
      </c>
      <c r="B3787" s="42" t="s">
        <v>4169</v>
      </c>
      <c r="C3787" s="43" t="s">
        <v>289</v>
      </c>
      <c r="D3787" s="43" t="s">
        <v>333</v>
      </c>
      <c r="E3787" s="43" t="s">
        <v>230</v>
      </c>
    </row>
    <row r="3788" spans="1:5" x14ac:dyDescent="0.25">
      <c r="A3788" s="41">
        <v>14172</v>
      </c>
      <c r="B3788" s="42" t="s">
        <v>4170</v>
      </c>
      <c r="C3788" s="43" t="s">
        <v>289</v>
      </c>
      <c r="D3788" s="43" t="s">
        <v>290</v>
      </c>
      <c r="E3788" s="43" t="s">
        <v>230</v>
      </c>
    </row>
    <row r="3789" spans="1:5" x14ac:dyDescent="0.25">
      <c r="A3789" s="41">
        <v>14174</v>
      </c>
      <c r="B3789" s="42" t="s">
        <v>4171</v>
      </c>
      <c r="C3789" s="43" t="s">
        <v>289</v>
      </c>
      <c r="D3789" s="43" t="s">
        <v>316</v>
      </c>
      <c r="E3789" s="43" t="s">
        <v>230</v>
      </c>
    </row>
    <row r="3790" spans="1:5" x14ac:dyDescent="0.25">
      <c r="A3790" s="41">
        <v>14175</v>
      </c>
      <c r="B3790" s="42" t="s">
        <v>4172</v>
      </c>
      <c r="C3790" s="43" t="s">
        <v>289</v>
      </c>
      <c r="D3790" s="43" t="s">
        <v>316</v>
      </c>
      <c r="E3790" s="43" t="s">
        <v>230</v>
      </c>
    </row>
    <row r="3791" spans="1:5" x14ac:dyDescent="0.25">
      <c r="A3791" s="41">
        <v>14176</v>
      </c>
      <c r="B3791" s="42" t="s">
        <v>4173</v>
      </c>
      <c r="C3791" s="43" t="s">
        <v>289</v>
      </c>
      <c r="D3791" s="43" t="s">
        <v>702</v>
      </c>
      <c r="E3791" s="43" t="s">
        <v>230</v>
      </c>
    </row>
    <row r="3792" spans="1:5" x14ac:dyDescent="0.25">
      <c r="A3792" s="41">
        <v>14187</v>
      </c>
      <c r="B3792" s="42" t="s">
        <v>4174</v>
      </c>
      <c r="C3792" s="43" t="s">
        <v>289</v>
      </c>
      <c r="D3792" s="43" t="s">
        <v>314</v>
      </c>
      <c r="E3792" s="43" t="s">
        <v>404</v>
      </c>
    </row>
    <row r="3793" spans="1:5" x14ac:dyDescent="0.25">
      <c r="A3793" s="41">
        <v>14193</v>
      </c>
      <c r="B3793" s="42" t="s">
        <v>4175</v>
      </c>
      <c r="C3793" s="43" t="s">
        <v>289</v>
      </c>
      <c r="D3793" s="43" t="s">
        <v>314</v>
      </c>
      <c r="E3793" s="43" t="s">
        <v>404</v>
      </c>
    </row>
    <row r="3794" spans="1:5" x14ac:dyDescent="0.25">
      <c r="A3794" s="41">
        <v>14202</v>
      </c>
      <c r="B3794" s="42" t="s">
        <v>4176</v>
      </c>
      <c r="C3794" s="43" t="s">
        <v>289</v>
      </c>
      <c r="D3794" s="43" t="s">
        <v>635</v>
      </c>
      <c r="E3794" s="43" t="s">
        <v>230</v>
      </c>
    </row>
    <row r="3795" spans="1:5" x14ac:dyDescent="0.25">
      <c r="A3795" s="41">
        <v>14227</v>
      </c>
      <c r="B3795" s="42" t="s">
        <v>4177</v>
      </c>
      <c r="C3795" s="43" t="s">
        <v>289</v>
      </c>
      <c r="D3795" s="43" t="s">
        <v>941</v>
      </c>
      <c r="E3795" s="43" t="s">
        <v>170</v>
      </c>
    </row>
    <row r="3796" spans="1:5" x14ac:dyDescent="0.25">
      <c r="A3796" s="41">
        <v>14240</v>
      </c>
      <c r="B3796" s="42" t="s">
        <v>4178</v>
      </c>
      <c r="C3796" s="43" t="s">
        <v>289</v>
      </c>
      <c r="D3796" s="43" t="s">
        <v>333</v>
      </c>
      <c r="E3796" s="43" t="s">
        <v>373</v>
      </c>
    </row>
    <row r="3797" spans="1:5" x14ac:dyDescent="0.25">
      <c r="A3797" s="41">
        <v>14251</v>
      </c>
      <c r="B3797" s="42" t="s">
        <v>4179</v>
      </c>
      <c r="C3797" s="43" t="s">
        <v>289</v>
      </c>
      <c r="D3797" s="43" t="s">
        <v>835</v>
      </c>
      <c r="E3797" s="43" t="s">
        <v>230</v>
      </c>
    </row>
    <row r="3798" spans="1:5" x14ac:dyDescent="0.25">
      <c r="A3798" s="41">
        <v>14254</v>
      </c>
      <c r="B3798" s="42" t="s">
        <v>4180</v>
      </c>
      <c r="C3798" s="43" t="s">
        <v>289</v>
      </c>
      <c r="D3798" s="43" t="s">
        <v>327</v>
      </c>
      <c r="E3798" s="43" t="s">
        <v>454</v>
      </c>
    </row>
    <row r="3799" spans="1:5" x14ac:dyDescent="0.25">
      <c r="A3799" s="41">
        <v>14255</v>
      </c>
      <c r="B3799" s="42" t="s">
        <v>4181</v>
      </c>
      <c r="C3799" s="43" t="s">
        <v>289</v>
      </c>
      <c r="D3799" s="43" t="s">
        <v>635</v>
      </c>
      <c r="E3799" s="43" t="s">
        <v>230</v>
      </c>
    </row>
    <row r="3800" spans="1:5" x14ac:dyDescent="0.25">
      <c r="A3800" s="41">
        <v>14273</v>
      </c>
      <c r="B3800" s="42" t="s">
        <v>4182</v>
      </c>
      <c r="C3800" s="43" t="s">
        <v>289</v>
      </c>
      <c r="D3800" s="43" t="s">
        <v>327</v>
      </c>
      <c r="E3800" s="43" t="s">
        <v>230</v>
      </c>
    </row>
    <row r="3801" spans="1:5" x14ac:dyDescent="0.25">
      <c r="A3801" s="41">
        <v>14275</v>
      </c>
      <c r="B3801" s="42" t="s">
        <v>4183</v>
      </c>
      <c r="C3801" s="43" t="s">
        <v>289</v>
      </c>
      <c r="D3801" s="43" t="s">
        <v>327</v>
      </c>
      <c r="E3801" s="43" t="s">
        <v>354</v>
      </c>
    </row>
    <row r="3802" spans="1:5" x14ac:dyDescent="0.25">
      <c r="A3802" s="41">
        <v>14313</v>
      </c>
      <c r="B3802" s="42" t="s">
        <v>4184</v>
      </c>
      <c r="C3802" s="43" t="s">
        <v>289</v>
      </c>
      <c r="D3802" s="43" t="s">
        <v>314</v>
      </c>
      <c r="E3802" s="43" t="s">
        <v>230</v>
      </c>
    </row>
    <row r="3803" spans="1:5" x14ac:dyDescent="0.25">
      <c r="A3803" s="41">
        <v>14323</v>
      </c>
      <c r="B3803" s="42" t="s">
        <v>4185</v>
      </c>
      <c r="C3803" s="43" t="s">
        <v>289</v>
      </c>
      <c r="D3803" s="43" t="s">
        <v>433</v>
      </c>
      <c r="E3803" s="43" t="s">
        <v>230</v>
      </c>
    </row>
    <row r="3804" spans="1:5" x14ac:dyDescent="0.25">
      <c r="A3804" s="41">
        <v>14327</v>
      </c>
      <c r="B3804" s="42" t="s">
        <v>4186</v>
      </c>
      <c r="C3804" s="43" t="s">
        <v>289</v>
      </c>
      <c r="D3804" s="43" t="s">
        <v>1141</v>
      </c>
      <c r="E3804" s="43" t="s">
        <v>336</v>
      </c>
    </row>
    <row r="3805" spans="1:5" x14ac:dyDescent="0.25">
      <c r="A3805" s="41">
        <v>14329</v>
      </c>
      <c r="B3805" s="42" t="s">
        <v>4187</v>
      </c>
      <c r="C3805" s="43" t="s">
        <v>289</v>
      </c>
      <c r="D3805" s="43" t="s">
        <v>333</v>
      </c>
      <c r="E3805" s="43" t="s">
        <v>230</v>
      </c>
    </row>
    <row r="3806" spans="1:5" x14ac:dyDescent="0.25">
      <c r="A3806" s="41">
        <v>14339</v>
      </c>
      <c r="B3806" s="42" t="s">
        <v>4188</v>
      </c>
      <c r="C3806" s="43" t="s">
        <v>289</v>
      </c>
      <c r="D3806" s="43" t="s">
        <v>635</v>
      </c>
      <c r="E3806" s="43" t="s">
        <v>230</v>
      </c>
    </row>
    <row r="3807" spans="1:5" x14ac:dyDescent="0.25">
      <c r="A3807" s="41">
        <v>14347</v>
      </c>
      <c r="B3807" s="42" t="s">
        <v>4189</v>
      </c>
      <c r="C3807" s="43" t="s">
        <v>289</v>
      </c>
      <c r="D3807" s="43" t="s">
        <v>835</v>
      </c>
      <c r="E3807" s="43" t="s">
        <v>464</v>
      </c>
    </row>
    <row r="3808" spans="1:5" x14ac:dyDescent="0.25">
      <c r="A3808" s="41">
        <v>14369</v>
      </c>
      <c r="B3808" s="42" t="s">
        <v>4190</v>
      </c>
      <c r="C3808" s="43" t="s">
        <v>289</v>
      </c>
      <c r="D3808" s="43" t="s">
        <v>410</v>
      </c>
      <c r="E3808" s="43" t="s">
        <v>464</v>
      </c>
    </row>
    <row r="3809" spans="1:5" x14ac:dyDescent="0.25">
      <c r="A3809" s="41">
        <v>14370</v>
      </c>
      <c r="B3809" s="42" t="s">
        <v>4191</v>
      </c>
      <c r="C3809" s="43" t="s">
        <v>289</v>
      </c>
      <c r="D3809" s="43" t="s">
        <v>474</v>
      </c>
      <c r="E3809" s="43" t="s">
        <v>230</v>
      </c>
    </row>
    <row r="3810" spans="1:5" x14ac:dyDescent="0.25">
      <c r="A3810" s="41">
        <v>14391</v>
      </c>
      <c r="B3810" s="42" t="s">
        <v>4192</v>
      </c>
      <c r="C3810" s="43" t="s">
        <v>289</v>
      </c>
      <c r="D3810" s="43" t="s">
        <v>474</v>
      </c>
      <c r="E3810" s="43" t="s">
        <v>230</v>
      </c>
    </row>
    <row r="3811" spans="1:5" x14ac:dyDescent="0.25">
      <c r="A3811" s="41">
        <v>14443</v>
      </c>
      <c r="B3811" s="42" t="s">
        <v>4193</v>
      </c>
      <c r="C3811" s="43" t="s">
        <v>289</v>
      </c>
      <c r="D3811" s="43" t="s">
        <v>763</v>
      </c>
      <c r="E3811" s="43" t="s">
        <v>3254</v>
      </c>
    </row>
    <row r="3812" spans="1:5" x14ac:dyDescent="0.25">
      <c r="A3812" s="41">
        <v>14445</v>
      </c>
      <c r="B3812" s="42" t="s">
        <v>4194</v>
      </c>
      <c r="C3812" s="43" t="s">
        <v>289</v>
      </c>
      <c r="D3812" s="43" t="s">
        <v>499</v>
      </c>
      <c r="E3812" s="43" t="s">
        <v>472</v>
      </c>
    </row>
    <row r="3813" spans="1:5" x14ac:dyDescent="0.25">
      <c r="A3813" s="41">
        <v>14446</v>
      </c>
      <c r="B3813" s="42" t="s">
        <v>4195</v>
      </c>
      <c r="C3813" s="43" t="s">
        <v>289</v>
      </c>
      <c r="D3813" s="43" t="s">
        <v>316</v>
      </c>
      <c r="E3813" s="43" t="s">
        <v>373</v>
      </c>
    </row>
    <row r="3814" spans="1:5" x14ac:dyDescent="0.25">
      <c r="A3814" s="41">
        <v>14462</v>
      </c>
      <c r="B3814" s="42" t="s">
        <v>4196</v>
      </c>
      <c r="C3814" s="43" t="s">
        <v>289</v>
      </c>
      <c r="D3814" s="43" t="s">
        <v>314</v>
      </c>
      <c r="E3814" s="43" t="s">
        <v>404</v>
      </c>
    </row>
    <row r="3815" spans="1:5" x14ac:dyDescent="0.25">
      <c r="A3815" s="41">
        <v>14463</v>
      </c>
      <c r="B3815" s="42" t="s">
        <v>4197</v>
      </c>
      <c r="C3815" s="43" t="s">
        <v>289</v>
      </c>
      <c r="D3815" s="43" t="s">
        <v>314</v>
      </c>
      <c r="E3815" s="43" t="s">
        <v>404</v>
      </c>
    </row>
    <row r="3816" spans="1:5" x14ac:dyDescent="0.25">
      <c r="A3816" s="41">
        <v>14464</v>
      </c>
      <c r="B3816" s="42" t="s">
        <v>4198</v>
      </c>
      <c r="C3816" s="43" t="s">
        <v>289</v>
      </c>
      <c r="D3816" s="43" t="s">
        <v>314</v>
      </c>
      <c r="E3816" s="43" t="s">
        <v>404</v>
      </c>
    </row>
    <row r="3817" spans="1:5" x14ac:dyDescent="0.25">
      <c r="A3817" s="41">
        <v>14465</v>
      </c>
      <c r="B3817" s="42" t="s">
        <v>4199</v>
      </c>
      <c r="C3817" s="43" t="s">
        <v>289</v>
      </c>
      <c r="D3817" s="43" t="s">
        <v>314</v>
      </c>
      <c r="E3817" s="43" t="s">
        <v>404</v>
      </c>
    </row>
    <row r="3818" spans="1:5" x14ac:dyDescent="0.25">
      <c r="A3818" s="41">
        <v>14466</v>
      </c>
      <c r="B3818" s="42" t="s">
        <v>4200</v>
      </c>
      <c r="C3818" s="43" t="s">
        <v>289</v>
      </c>
      <c r="D3818" s="43" t="s">
        <v>314</v>
      </c>
      <c r="E3818" s="43" t="s">
        <v>404</v>
      </c>
    </row>
    <row r="3819" spans="1:5" x14ac:dyDescent="0.25">
      <c r="A3819" s="41">
        <v>14468</v>
      </c>
      <c r="B3819" s="42" t="s">
        <v>4201</v>
      </c>
      <c r="C3819" s="43" t="s">
        <v>289</v>
      </c>
      <c r="D3819" s="43" t="s">
        <v>314</v>
      </c>
      <c r="E3819" s="43" t="s">
        <v>404</v>
      </c>
    </row>
    <row r="3820" spans="1:5" x14ac:dyDescent="0.25">
      <c r="A3820" s="41">
        <v>14483</v>
      </c>
      <c r="B3820" s="42" t="s">
        <v>4202</v>
      </c>
      <c r="C3820" s="43" t="s">
        <v>289</v>
      </c>
      <c r="D3820" s="43" t="s">
        <v>433</v>
      </c>
      <c r="E3820" s="43" t="s">
        <v>336</v>
      </c>
    </row>
    <row r="3821" spans="1:5" x14ac:dyDescent="0.25">
      <c r="A3821" s="41">
        <v>14491</v>
      </c>
      <c r="B3821" s="42" t="s">
        <v>4203</v>
      </c>
      <c r="C3821" s="43" t="s">
        <v>289</v>
      </c>
      <c r="D3821" s="43" t="s">
        <v>375</v>
      </c>
      <c r="E3821" s="43" t="s">
        <v>717</v>
      </c>
    </row>
    <row r="3822" spans="1:5" x14ac:dyDescent="0.25">
      <c r="A3822" s="41">
        <v>14495</v>
      </c>
      <c r="B3822" s="42" t="s">
        <v>4204</v>
      </c>
      <c r="C3822" s="43" t="s">
        <v>289</v>
      </c>
      <c r="D3822" s="43" t="s">
        <v>316</v>
      </c>
      <c r="E3822" s="43" t="s">
        <v>230</v>
      </c>
    </row>
    <row r="3823" spans="1:5" x14ac:dyDescent="0.25">
      <c r="A3823" s="41">
        <v>14502</v>
      </c>
      <c r="B3823" s="42" t="s">
        <v>4205</v>
      </c>
      <c r="C3823" s="43" t="s">
        <v>289</v>
      </c>
      <c r="D3823" s="43" t="s">
        <v>996</v>
      </c>
      <c r="E3823" s="43" t="s">
        <v>230</v>
      </c>
    </row>
    <row r="3824" spans="1:5" x14ac:dyDescent="0.25">
      <c r="A3824" s="41">
        <v>14518</v>
      </c>
      <c r="B3824" s="42" t="s">
        <v>4206</v>
      </c>
      <c r="C3824" s="43" t="s">
        <v>289</v>
      </c>
      <c r="D3824" s="43" t="s">
        <v>996</v>
      </c>
      <c r="E3824" s="43" t="s">
        <v>230</v>
      </c>
    </row>
    <row r="3825" spans="1:5" x14ac:dyDescent="0.25">
      <c r="A3825" s="41">
        <v>14519</v>
      </c>
      <c r="B3825" s="42" t="s">
        <v>4207</v>
      </c>
      <c r="C3825" s="43" t="s">
        <v>289</v>
      </c>
      <c r="D3825" s="43" t="s">
        <v>996</v>
      </c>
      <c r="E3825" s="43" t="s">
        <v>230</v>
      </c>
    </row>
    <row r="3826" spans="1:5" x14ac:dyDescent="0.25">
      <c r="A3826" s="41">
        <v>14520</v>
      </c>
      <c r="B3826" s="42" t="s">
        <v>4208</v>
      </c>
      <c r="C3826" s="43" t="s">
        <v>289</v>
      </c>
      <c r="D3826" s="43" t="s">
        <v>996</v>
      </c>
      <c r="E3826" s="43" t="s">
        <v>230</v>
      </c>
    </row>
    <row r="3827" spans="1:5" x14ac:dyDescent="0.25">
      <c r="A3827" s="41">
        <v>14521</v>
      </c>
      <c r="B3827" s="42" t="s">
        <v>4209</v>
      </c>
      <c r="C3827" s="43" t="s">
        <v>289</v>
      </c>
      <c r="D3827" s="43" t="s">
        <v>996</v>
      </c>
      <c r="E3827" s="43" t="s">
        <v>230</v>
      </c>
    </row>
    <row r="3828" spans="1:5" x14ac:dyDescent="0.25">
      <c r="A3828" s="41">
        <v>14522</v>
      </c>
      <c r="B3828" s="42" t="s">
        <v>4210</v>
      </c>
      <c r="C3828" s="43" t="s">
        <v>289</v>
      </c>
      <c r="D3828" s="43" t="s">
        <v>996</v>
      </c>
      <c r="E3828" s="43" t="s">
        <v>230</v>
      </c>
    </row>
    <row r="3829" spans="1:5" x14ac:dyDescent="0.25">
      <c r="A3829" s="41">
        <v>14526</v>
      </c>
      <c r="B3829" s="42" t="s">
        <v>4211</v>
      </c>
      <c r="C3829" s="43" t="s">
        <v>289</v>
      </c>
      <c r="D3829" s="43" t="s">
        <v>327</v>
      </c>
      <c r="E3829" s="43" t="s">
        <v>230</v>
      </c>
    </row>
    <row r="3830" spans="1:5" x14ac:dyDescent="0.25">
      <c r="A3830" s="41">
        <v>14528</v>
      </c>
      <c r="B3830" s="42" t="s">
        <v>4212</v>
      </c>
      <c r="C3830" s="43" t="s">
        <v>289</v>
      </c>
      <c r="D3830" s="43" t="s">
        <v>327</v>
      </c>
      <c r="E3830" s="43" t="s">
        <v>230</v>
      </c>
    </row>
    <row r="3831" spans="1:5" x14ac:dyDescent="0.25">
      <c r="A3831" s="41">
        <v>14531</v>
      </c>
      <c r="B3831" s="42" t="s">
        <v>4213</v>
      </c>
      <c r="C3831" s="43" t="s">
        <v>289</v>
      </c>
      <c r="D3831" s="43" t="s">
        <v>316</v>
      </c>
      <c r="E3831" s="43" t="s">
        <v>230</v>
      </c>
    </row>
    <row r="3832" spans="1:5" x14ac:dyDescent="0.25">
      <c r="A3832" s="41">
        <v>14532</v>
      </c>
      <c r="B3832" s="42" t="s">
        <v>4214</v>
      </c>
      <c r="C3832" s="43" t="s">
        <v>289</v>
      </c>
      <c r="D3832" s="43" t="s">
        <v>1112</v>
      </c>
      <c r="E3832" s="43" t="s">
        <v>464</v>
      </c>
    </row>
    <row r="3833" spans="1:5" x14ac:dyDescent="0.25">
      <c r="A3833" s="41">
        <v>14543</v>
      </c>
      <c r="B3833" s="42" t="s">
        <v>4215</v>
      </c>
      <c r="C3833" s="43" t="s">
        <v>289</v>
      </c>
      <c r="D3833" s="43" t="s">
        <v>333</v>
      </c>
      <c r="E3833" s="43" t="s">
        <v>464</v>
      </c>
    </row>
    <row r="3834" spans="1:5" x14ac:dyDescent="0.25">
      <c r="A3834" s="41">
        <v>14544</v>
      </c>
      <c r="B3834" s="42" t="s">
        <v>4216</v>
      </c>
      <c r="C3834" s="43" t="s">
        <v>289</v>
      </c>
      <c r="D3834" s="43" t="s">
        <v>316</v>
      </c>
      <c r="E3834" s="43" t="s">
        <v>230</v>
      </c>
    </row>
    <row r="3835" spans="1:5" x14ac:dyDescent="0.25">
      <c r="A3835" s="41">
        <v>14545</v>
      </c>
      <c r="B3835" s="42" t="s">
        <v>4217</v>
      </c>
      <c r="C3835" s="43" t="s">
        <v>289</v>
      </c>
      <c r="D3835" s="43" t="s">
        <v>316</v>
      </c>
      <c r="E3835" s="43" t="s">
        <v>230</v>
      </c>
    </row>
    <row r="3836" spans="1:5" x14ac:dyDescent="0.25">
      <c r="A3836" s="41">
        <v>14546</v>
      </c>
      <c r="B3836" s="42" t="s">
        <v>4218</v>
      </c>
      <c r="C3836" s="43" t="s">
        <v>289</v>
      </c>
      <c r="D3836" s="43" t="s">
        <v>316</v>
      </c>
      <c r="E3836" s="43" t="s">
        <v>230</v>
      </c>
    </row>
    <row r="3837" spans="1:5" x14ac:dyDescent="0.25">
      <c r="A3837" s="41">
        <v>14553</v>
      </c>
      <c r="B3837" s="42" t="s">
        <v>4219</v>
      </c>
      <c r="C3837" s="43" t="s">
        <v>289</v>
      </c>
      <c r="D3837" s="43" t="s">
        <v>316</v>
      </c>
      <c r="E3837" s="43" t="s">
        <v>230</v>
      </c>
    </row>
    <row r="3838" spans="1:5" x14ac:dyDescent="0.25">
      <c r="A3838" s="41">
        <v>14559</v>
      </c>
      <c r="B3838" s="42" t="s">
        <v>4220</v>
      </c>
      <c r="C3838" s="43" t="s">
        <v>289</v>
      </c>
      <c r="D3838" s="43" t="s">
        <v>316</v>
      </c>
      <c r="E3838" s="43" t="s">
        <v>230</v>
      </c>
    </row>
    <row r="3839" spans="1:5" x14ac:dyDescent="0.25">
      <c r="A3839" s="41">
        <v>14560</v>
      </c>
      <c r="B3839" s="42" t="s">
        <v>4221</v>
      </c>
      <c r="C3839" s="43" t="s">
        <v>289</v>
      </c>
      <c r="D3839" s="43" t="s">
        <v>316</v>
      </c>
      <c r="E3839" s="43" t="s">
        <v>230</v>
      </c>
    </row>
    <row r="3840" spans="1:5" x14ac:dyDescent="0.25">
      <c r="A3840" s="41">
        <v>14573</v>
      </c>
      <c r="B3840" s="42" t="s">
        <v>4222</v>
      </c>
      <c r="C3840" s="43" t="s">
        <v>289</v>
      </c>
      <c r="D3840" s="43" t="s">
        <v>316</v>
      </c>
      <c r="E3840" s="43" t="s">
        <v>230</v>
      </c>
    </row>
    <row r="3841" spans="1:5" x14ac:dyDescent="0.25">
      <c r="A3841" s="41">
        <v>14580</v>
      </c>
      <c r="B3841" s="42" t="s">
        <v>4223</v>
      </c>
      <c r="C3841" s="43" t="s">
        <v>289</v>
      </c>
      <c r="D3841" s="43" t="s">
        <v>316</v>
      </c>
      <c r="E3841" s="43" t="s">
        <v>230</v>
      </c>
    </row>
    <row r="3842" spans="1:5" x14ac:dyDescent="0.25">
      <c r="A3842" s="41">
        <v>14581</v>
      </c>
      <c r="B3842" s="42" t="s">
        <v>4224</v>
      </c>
      <c r="C3842" s="43" t="s">
        <v>289</v>
      </c>
      <c r="D3842" s="43" t="s">
        <v>996</v>
      </c>
      <c r="E3842" s="43" t="s">
        <v>230</v>
      </c>
    </row>
    <row r="3843" spans="1:5" x14ac:dyDescent="0.25">
      <c r="A3843" s="41">
        <v>14582</v>
      </c>
      <c r="B3843" s="42" t="s">
        <v>4225</v>
      </c>
      <c r="C3843" s="43" t="s">
        <v>289</v>
      </c>
      <c r="D3843" s="43" t="s">
        <v>996</v>
      </c>
      <c r="E3843" s="43" t="s">
        <v>230</v>
      </c>
    </row>
    <row r="3844" spans="1:5" x14ac:dyDescent="0.25">
      <c r="A3844" s="41">
        <v>14583</v>
      </c>
      <c r="B3844" s="42" t="s">
        <v>4226</v>
      </c>
      <c r="C3844" s="43" t="s">
        <v>289</v>
      </c>
      <c r="D3844" s="43" t="s">
        <v>996</v>
      </c>
      <c r="E3844" s="43" t="s">
        <v>230</v>
      </c>
    </row>
    <row r="3845" spans="1:5" x14ac:dyDescent="0.25">
      <c r="A3845" s="41">
        <v>14584</v>
      </c>
      <c r="B3845" s="42" t="s">
        <v>4227</v>
      </c>
      <c r="C3845" s="43" t="s">
        <v>289</v>
      </c>
      <c r="D3845" s="43" t="s">
        <v>996</v>
      </c>
      <c r="E3845" s="43" t="s">
        <v>230</v>
      </c>
    </row>
    <row r="3846" spans="1:5" x14ac:dyDescent="0.25">
      <c r="A3846" s="41">
        <v>14585</v>
      </c>
      <c r="B3846" s="42" t="s">
        <v>4228</v>
      </c>
      <c r="C3846" s="43" t="s">
        <v>289</v>
      </c>
      <c r="D3846" s="43" t="s">
        <v>333</v>
      </c>
      <c r="E3846" s="43" t="s">
        <v>230</v>
      </c>
    </row>
    <row r="3847" spans="1:5" x14ac:dyDescent="0.25">
      <c r="A3847" s="41">
        <v>14598</v>
      </c>
      <c r="B3847" s="42" t="s">
        <v>4229</v>
      </c>
      <c r="C3847" s="43" t="s">
        <v>289</v>
      </c>
      <c r="D3847" s="43" t="s">
        <v>996</v>
      </c>
      <c r="E3847" s="43" t="s">
        <v>230</v>
      </c>
    </row>
    <row r="3848" spans="1:5" x14ac:dyDescent="0.25">
      <c r="A3848" s="41">
        <v>14599</v>
      </c>
      <c r="B3848" s="42" t="s">
        <v>4230</v>
      </c>
      <c r="C3848" s="43" t="s">
        <v>289</v>
      </c>
      <c r="D3848" s="43" t="s">
        <v>996</v>
      </c>
      <c r="E3848" s="43" t="s">
        <v>230</v>
      </c>
    </row>
    <row r="3849" spans="1:5" x14ac:dyDescent="0.25">
      <c r="A3849" s="41">
        <v>14600</v>
      </c>
      <c r="B3849" s="42" t="s">
        <v>4231</v>
      </c>
      <c r="C3849" s="43" t="s">
        <v>289</v>
      </c>
      <c r="D3849" s="43" t="s">
        <v>996</v>
      </c>
      <c r="E3849" s="43" t="s">
        <v>230</v>
      </c>
    </row>
    <row r="3850" spans="1:5" x14ac:dyDescent="0.25">
      <c r="A3850" s="41">
        <v>14602</v>
      </c>
      <c r="B3850" s="42" t="s">
        <v>4232</v>
      </c>
      <c r="C3850" s="43" t="s">
        <v>289</v>
      </c>
      <c r="D3850" s="43" t="s">
        <v>996</v>
      </c>
      <c r="E3850" s="43" t="s">
        <v>230</v>
      </c>
    </row>
    <row r="3851" spans="1:5" x14ac:dyDescent="0.25">
      <c r="A3851" s="41">
        <v>14613</v>
      </c>
      <c r="B3851" s="42" t="s">
        <v>4233</v>
      </c>
      <c r="C3851" s="43" t="s">
        <v>289</v>
      </c>
      <c r="D3851" s="43" t="s">
        <v>996</v>
      </c>
      <c r="E3851" s="43" t="s">
        <v>230</v>
      </c>
    </row>
    <row r="3852" spans="1:5" x14ac:dyDescent="0.25">
      <c r="A3852" s="41">
        <v>14614</v>
      </c>
      <c r="B3852" s="42" t="s">
        <v>4234</v>
      </c>
      <c r="C3852" s="43" t="s">
        <v>289</v>
      </c>
      <c r="D3852" s="43" t="s">
        <v>996</v>
      </c>
      <c r="E3852" s="43" t="s">
        <v>230</v>
      </c>
    </row>
    <row r="3853" spans="1:5" x14ac:dyDescent="0.25">
      <c r="A3853" s="41">
        <v>14615</v>
      </c>
      <c r="B3853" s="42" t="s">
        <v>4235</v>
      </c>
      <c r="C3853" s="43" t="s">
        <v>289</v>
      </c>
      <c r="D3853" s="43" t="s">
        <v>996</v>
      </c>
      <c r="E3853" s="43" t="s">
        <v>230</v>
      </c>
    </row>
    <row r="3854" spans="1:5" x14ac:dyDescent="0.25">
      <c r="A3854" s="41">
        <v>14616</v>
      </c>
      <c r="B3854" s="42" t="s">
        <v>4236</v>
      </c>
      <c r="C3854" s="43" t="s">
        <v>289</v>
      </c>
      <c r="D3854" s="43" t="s">
        <v>996</v>
      </c>
      <c r="E3854" s="43" t="s">
        <v>230</v>
      </c>
    </row>
    <row r="3855" spans="1:5" x14ac:dyDescent="0.25">
      <c r="A3855" s="41">
        <v>14617</v>
      </c>
      <c r="B3855" s="42" t="s">
        <v>4237</v>
      </c>
      <c r="C3855" s="43" t="s">
        <v>289</v>
      </c>
      <c r="D3855" s="43" t="s">
        <v>996</v>
      </c>
      <c r="E3855" s="43" t="s">
        <v>230</v>
      </c>
    </row>
    <row r="3856" spans="1:5" x14ac:dyDescent="0.25">
      <c r="A3856" s="41">
        <v>14618</v>
      </c>
      <c r="B3856" s="42" t="s">
        <v>4238</v>
      </c>
      <c r="C3856" s="43" t="s">
        <v>289</v>
      </c>
      <c r="D3856" s="43" t="s">
        <v>996</v>
      </c>
      <c r="E3856" s="43" t="s">
        <v>531</v>
      </c>
    </row>
    <row r="3857" spans="1:5" x14ac:dyDescent="0.25">
      <c r="A3857" s="41">
        <v>14619</v>
      </c>
      <c r="B3857" s="42" t="s">
        <v>4239</v>
      </c>
      <c r="C3857" s="43" t="s">
        <v>289</v>
      </c>
      <c r="D3857" s="43" t="s">
        <v>996</v>
      </c>
      <c r="E3857" s="43" t="s">
        <v>230</v>
      </c>
    </row>
    <row r="3858" spans="1:5" x14ac:dyDescent="0.25">
      <c r="A3858" s="41">
        <v>14620</v>
      </c>
      <c r="B3858" s="42" t="s">
        <v>4240</v>
      </c>
      <c r="C3858" s="43" t="s">
        <v>289</v>
      </c>
      <c r="D3858" s="43" t="s">
        <v>996</v>
      </c>
      <c r="E3858" s="43" t="s">
        <v>230</v>
      </c>
    </row>
    <row r="3859" spans="1:5" x14ac:dyDescent="0.25">
      <c r="A3859" s="41">
        <v>14624</v>
      </c>
      <c r="B3859" s="42" t="s">
        <v>4241</v>
      </c>
      <c r="C3859" s="43" t="s">
        <v>289</v>
      </c>
      <c r="D3859" s="43" t="s">
        <v>996</v>
      </c>
      <c r="E3859" s="43" t="s">
        <v>230</v>
      </c>
    </row>
    <row r="3860" spans="1:5" x14ac:dyDescent="0.25">
      <c r="A3860" s="41">
        <v>14627</v>
      </c>
      <c r="B3860" s="42" t="s">
        <v>4242</v>
      </c>
      <c r="C3860" s="43" t="s">
        <v>289</v>
      </c>
      <c r="D3860" s="43" t="s">
        <v>996</v>
      </c>
      <c r="E3860" s="43" t="s">
        <v>230</v>
      </c>
    </row>
    <row r="3861" spans="1:5" x14ac:dyDescent="0.25">
      <c r="A3861" s="41">
        <v>14628</v>
      </c>
      <c r="B3861" s="42" t="s">
        <v>4243</v>
      </c>
      <c r="C3861" s="43" t="s">
        <v>289</v>
      </c>
      <c r="D3861" s="43" t="s">
        <v>996</v>
      </c>
      <c r="E3861" s="43" t="s">
        <v>230</v>
      </c>
    </row>
    <row r="3862" spans="1:5" x14ac:dyDescent="0.25">
      <c r="A3862" s="41">
        <v>14629</v>
      </c>
      <c r="B3862" s="42" t="s">
        <v>4244</v>
      </c>
      <c r="C3862" s="43" t="s">
        <v>289</v>
      </c>
      <c r="D3862" s="43" t="s">
        <v>996</v>
      </c>
      <c r="E3862" s="43" t="s">
        <v>230</v>
      </c>
    </row>
    <row r="3863" spans="1:5" x14ac:dyDescent="0.25">
      <c r="A3863" s="41">
        <v>14631</v>
      </c>
      <c r="B3863" s="42" t="s">
        <v>4245</v>
      </c>
      <c r="C3863" s="43" t="s">
        <v>289</v>
      </c>
      <c r="D3863" s="43" t="s">
        <v>996</v>
      </c>
      <c r="E3863" s="43" t="s">
        <v>230</v>
      </c>
    </row>
    <row r="3864" spans="1:5" x14ac:dyDescent="0.25">
      <c r="A3864" s="41">
        <v>14632</v>
      </c>
      <c r="B3864" s="42" t="s">
        <v>4246</v>
      </c>
      <c r="C3864" s="43" t="s">
        <v>289</v>
      </c>
      <c r="D3864" s="43" t="s">
        <v>996</v>
      </c>
      <c r="E3864" s="43" t="s">
        <v>230</v>
      </c>
    </row>
    <row r="3865" spans="1:5" x14ac:dyDescent="0.25">
      <c r="A3865" s="41">
        <v>14650</v>
      </c>
      <c r="B3865" s="42" t="s">
        <v>4247</v>
      </c>
      <c r="C3865" s="43" t="s">
        <v>289</v>
      </c>
      <c r="D3865" s="43" t="s">
        <v>996</v>
      </c>
      <c r="E3865" s="43" t="s">
        <v>230</v>
      </c>
    </row>
    <row r="3866" spans="1:5" x14ac:dyDescent="0.25">
      <c r="A3866" s="41">
        <v>14655</v>
      </c>
      <c r="B3866" s="42" t="s">
        <v>4248</v>
      </c>
      <c r="C3866" s="43" t="s">
        <v>289</v>
      </c>
      <c r="D3866" s="43" t="s">
        <v>996</v>
      </c>
      <c r="E3866" s="43" t="s">
        <v>230</v>
      </c>
    </row>
    <row r="3867" spans="1:5" x14ac:dyDescent="0.25">
      <c r="A3867" s="41">
        <v>14657</v>
      </c>
      <c r="B3867" s="42" t="s">
        <v>4249</v>
      </c>
      <c r="C3867" s="43" t="s">
        <v>289</v>
      </c>
      <c r="D3867" s="43" t="s">
        <v>996</v>
      </c>
      <c r="E3867" s="43" t="s">
        <v>230</v>
      </c>
    </row>
    <row r="3868" spans="1:5" x14ac:dyDescent="0.25">
      <c r="A3868" s="41">
        <v>14658</v>
      </c>
      <c r="B3868" s="42" t="s">
        <v>4250</v>
      </c>
      <c r="C3868" s="43" t="s">
        <v>289</v>
      </c>
      <c r="D3868" s="43" t="s">
        <v>996</v>
      </c>
      <c r="E3868" s="43" t="s">
        <v>230</v>
      </c>
    </row>
    <row r="3869" spans="1:5" x14ac:dyDescent="0.25">
      <c r="A3869" s="41">
        <v>14659</v>
      </c>
      <c r="B3869" s="42" t="s">
        <v>4251</v>
      </c>
      <c r="C3869" s="43" t="s">
        <v>289</v>
      </c>
      <c r="D3869" s="43" t="s">
        <v>996</v>
      </c>
      <c r="E3869" s="43" t="s">
        <v>230</v>
      </c>
    </row>
    <row r="3870" spans="1:5" x14ac:dyDescent="0.25">
      <c r="A3870" s="41">
        <v>14660</v>
      </c>
      <c r="B3870" s="42" t="s">
        <v>4252</v>
      </c>
      <c r="C3870" s="43" t="s">
        <v>289</v>
      </c>
      <c r="D3870" s="43" t="s">
        <v>996</v>
      </c>
      <c r="E3870" s="43" t="s">
        <v>230</v>
      </c>
    </row>
    <row r="3871" spans="1:5" x14ac:dyDescent="0.25">
      <c r="A3871" s="41">
        <v>14661</v>
      </c>
      <c r="B3871" s="42" t="s">
        <v>4253</v>
      </c>
      <c r="C3871" s="43" t="s">
        <v>289</v>
      </c>
      <c r="D3871" s="43" t="s">
        <v>996</v>
      </c>
      <c r="E3871" s="43" t="s">
        <v>230</v>
      </c>
    </row>
    <row r="3872" spans="1:5" x14ac:dyDescent="0.25">
      <c r="A3872" s="41">
        <v>14672</v>
      </c>
      <c r="B3872" s="42" t="s">
        <v>4254</v>
      </c>
      <c r="C3872" s="43" t="s">
        <v>289</v>
      </c>
      <c r="D3872" s="43" t="s">
        <v>996</v>
      </c>
      <c r="E3872" s="43" t="s">
        <v>230</v>
      </c>
    </row>
    <row r="3873" spans="1:5" x14ac:dyDescent="0.25">
      <c r="A3873" s="41">
        <v>14683</v>
      </c>
      <c r="B3873" s="42" t="s">
        <v>4255</v>
      </c>
      <c r="C3873" s="43" t="s">
        <v>289</v>
      </c>
      <c r="D3873" s="43" t="s">
        <v>996</v>
      </c>
      <c r="E3873" s="43" t="s">
        <v>230</v>
      </c>
    </row>
    <row r="3874" spans="1:5" x14ac:dyDescent="0.25">
      <c r="A3874" s="41">
        <v>14684</v>
      </c>
      <c r="B3874" s="42" t="s">
        <v>4256</v>
      </c>
      <c r="C3874" s="43" t="s">
        <v>289</v>
      </c>
      <c r="D3874" s="43" t="s">
        <v>996</v>
      </c>
      <c r="E3874" s="43" t="s">
        <v>230</v>
      </c>
    </row>
    <row r="3875" spans="1:5" x14ac:dyDescent="0.25">
      <c r="A3875" s="41">
        <v>14687</v>
      </c>
      <c r="B3875" s="42" t="s">
        <v>4257</v>
      </c>
      <c r="C3875" s="43" t="s">
        <v>289</v>
      </c>
      <c r="D3875" s="43" t="s">
        <v>996</v>
      </c>
      <c r="E3875" s="43" t="s">
        <v>230</v>
      </c>
    </row>
    <row r="3876" spans="1:5" x14ac:dyDescent="0.25">
      <c r="A3876" s="41">
        <v>14688</v>
      </c>
      <c r="B3876" s="42" t="s">
        <v>4258</v>
      </c>
      <c r="C3876" s="43" t="s">
        <v>289</v>
      </c>
      <c r="D3876" s="43" t="s">
        <v>996</v>
      </c>
      <c r="E3876" s="43" t="s">
        <v>230</v>
      </c>
    </row>
    <row r="3877" spans="1:5" x14ac:dyDescent="0.25">
      <c r="A3877" s="41">
        <v>14697</v>
      </c>
      <c r="B3877" s="42" t="s">
        <v>4259</v>
      </c>
      <c r="C3877" s="43" t="s">
        <v>289</v>
      </c>
      <c r="D3877" s="43" t="s">
        <v>996</v>
      </c>
      <c r="E3877" s="43" t="s">
        <v>230</v>
      </c>
    </row>
    <row r="3878" spans="1:5" x14ac:dyDescent="0.25">
      <c r="A3878" s="41">
        <v>14700</v>
      </c>
      <c r="B3878" s="42" t="s">
        <v>4260</v>
      </c>
      <c r="C3878" s="43" t="s">
        <v>289</v>
      </c>
      <c r="D3878" s="43" t="s">
        <v>996</v>
      </c>
      <c r="E3878" s="43" t="s">
        <v>230</v>
      </c>
    </row>
    <row r="3879" spans="1:5" x14ac:dyDescent="0.25">
      <c r="A3879" s="41">
        <v>14710</v>
      </c>
      <c r="B3879" s="42" t="s">
        <v>4261</v>
      </c>
      <c r="C3879" s="43" t="s">
        <v>289</v>
      </c>
      <c r="D3879" s="43" t="s">
        <v>1112</v>
      </c>
      <c r="E3879" s="43" t="s">
        <v>464</v>
      </c>
    </row>
    <row r="3880" spans="1:5" x14ac:dyDescent="0.25">
      <c r="A3880" s="41">
        <v>14716</v>
      </c>
      <c r="B3880" s="42" t="s">
        <v>4262</v>
      </c>
      <c r="C3880" s="43" t="s">
        <v>289</v>
      </c>
      <c r="D3880" s="43" t="s">
        <v>996</v>
      </c>
      <c r="E3880" s="43" t="s">
        <v>230</v>
      </c>
    </row>
    <row r="3881" spans="1:5" x14ac:dyDescent="0.25">
      <c r="A3881" s="41">
        <v>14719</v>
      </c>
      <c r="B3881" s="42" t="s">
        <v>4263</v>
      </c>
      <c r="C3881" s="43" t="s">
        <v>289</v>
      </c>
      <c r="D3881" s="43" t="s">
        <v>996</v>
      </c>
      <c r="E3881" s="43" t="s">
        <v>230</v>
      </c>
    </row>
    <row r="3882" spans="1:5" x14ac:dyDescent="0.25">
      <c r="A3882" s="41">
        <v>14722</v>
      </c>
      <c r="B3882" s="42" t="s">
        <v>4264</v>
      </c>
      <c r="C3882" s="43" t="s">
        <v>289</v>
      </c>
      <c r="D3882" s="43" t="s">
        <v>996</v>
      </c>
      <c r="E3882" s="43" t="s">
        <v>230</v>
      </c>
    </row>
    <row r="3883" spans="1:5" x14ac:dyDescent="0.25">
      <c r="A3883" s="41">
        <v>14723</v>
      </c>
      <c r="B3883" s="42" t="s">
        <v>4265</v>
      </c>
      <c r="C3883" s="43" t="s">
        <v>289</v>
      </c>
      <c r="D3883" s="43" t="s">
        <v>996</v>
      </c>
      <c r="E3883" s="43" t="s">
        <v>230</v>
      </c>
    </row>
    <row r="3884" spans="1:5" x14ac:dyDescent="0.25">
      <c r="A3884" s="41">
        <v>14725</v>
      </c>
      <c r="B3884" s="42" t="s">
        <v>4266</v>
      </c>
      <c r="C3884" s="43" t="s">
        <v>289</v>
      </c>
      <c r="D3884" s="43" t="s">
        <v>996</v>
      </c>
      <c r="E3884" s="43" t="s">
        <v>230</v>
      </c>
    </row>
    <row r="3885" spans="1:5" x14ac:dyDescent="0.25">
      <c r="A3885" s="41">
        <v>14728</v>
      </c>
      <c r="B3885" s="42" t="s">
        <v>4267</v>
      </c>
      <c r="C3885" s="43" t="s">
        <v>289</v>
      </c>
      <c r="D3885" s="43" t="s">
        <v>327</v>
      </c>
      <c r="E3885" s="43" t="s">
        <v>230</v>
      </c>
    </row>
    <row r="3886" spans="1:5" x14ac:dyDescent="0.25">
      <c r="A3886" s="41">
        <v>14738</v>
      </c>
      <c r="B3886" s="42" t="s">
        <v>4268</v>
      </c>
      <c r="C3886" s="43" t="s">
        <v>289</v>
      </c>
      <c r="D3886" s="43" t="s">
        <v>996</v>
      </c>
      <c r="E3886" s="43" t="s">
        <v>230</v>
      </c>
    </row>
    <row r="3887" spans="1:5" x14ac:dyDescent="0.25">
      <c r="A3887" s="41">
        <v>14739</v>
      </c>
      <c r="B3887" s="42" t="s">
        <v>4269</v>
      </c>
      <c r="C3887" s="43" t="s">
        <v>289</v>
      </c>
      <c r="D3887" s="43" t="s">
        <v>996</v>
      </c>
      <c r="E3887" s="43" t="s">
        <v>230</v>
      </c>
    </row>
    <row r="3888" spans="1:5" x14ac:dyDescent="0.25">
      <c r="A3888" s="41">
        <v>14771</v>
      </c>
      <c r="B3888" s="42" t="s">
        <v>4270</v>
      </c>
      <c r="C3888" s="43" t="s">
        <v>289</v>
      </c>
      <c r="D3888" s="43" t="s">
        <v>327</v>
      </c>
      <c r="E3888" s="43" t="s">
        <v>354</v>
      </c>
    </row>
    <row r="3889" spans="1:5" x14ac:dyDescent="0.25">
      <c r="A3889" s="41">
        <v>14773</v>
      </c>
      <c r="B3889" s="42" t="s">
        <v>4271</v>
      </c>
      <c r="C3889" s="43" t="s">
        <v>289</v>
      </c>
      <c r="D3889" s="43" t="s">
        <v>327</v>
      </c>
      <c r="E3889" s="43" t="s">
        <v>230</v>
      </c>
    </row>
    <row r="3890" spans="1:5" x14ac:dyDescent="0.25">
      <c r="A3890" s="41">
        <v>14774</v>
      </c>
      <c r="B3890" s="42" t="s">
        <v>4272</v>
      </c>
      <c r="C3890" s="43" t="s">
        <v>289</v>
      </c>
      <c r="D3890" s="43" t="s">
        <v>327</v>
      </c>
      <c r="E3890" s="43" t="s">
        <v>531</v>
      </c>
    </row>
    <row r="3891" spans="1:5" x14ac:dyDescent="0.25">
      <c r="A3891" s="41">
        <v>14775</v>
      </c>
      <c r="B3891" s="42" t="s">
        <v>4273</v>
      </c>
      <c r="C3891" s="43" t="s">
        <v>289</v>
      </c>
      <c r="D3891" s="43" t="s">
        <v>327</v>
      </c>
      <c r="E3891" s="43" t="s">
        <v>230</v>
      </c>
    </row>
    <row r="3892" spans="1:5" x14ac:dyDescent="0.25">
      <c r="A3892" s="41">
        <v>14792</v>
      </c>
      <c r="B3892" s="42" t="s">
        <v>4274</v>
      </c>
      <c r="C3892" s="43" t="s">
        <v>289</v>
      </c>
      <c r="D3892" s="43" t="s">
        <v>333</v>
      </c>
      <c r="E3892" s="43" t="s">
        <v>404</v>
      </c>
    </row>
    <row r="3893" spans="1:5" x14ac:dyDescent="0.25">
      <c r="A3893" s="41">
        <v>14795</v>
      </c>
      <c r="B3893" s="42" t="s">
        <v>4275</v>
      </c>
      <c r="C3893" s="43" t="s">
        <v>289</v>
      </c>
      <c r="D3893" s="43" t="s">
        <v>494</v>
      </c>
      <c r="E3893" s="43" t="s">
        <v>230</v>
      </c>
    </row>
    <row r="3894" spans="1:5" x14ac:dyDescent="0.25">
      <c r="A3894" s="41">
        <v>14796</v>
      </c>
      <c r="B3894" s="42" t="s">
        <v>4276</v>
      </c>
      <c r="C3894" s="43" t="s">
        <v>289</v>
      </c>
      <c r="D3894" s="43" t="s">
        <v>3754</v>
      </c>
      <c r="E3894" s="43" t="s">
        <v>230</v>
      </c>
    </row>
    <row r="3895" spans="1:5" x14ac:dyDescent="0.25">
      <c r="A3895" s="41">
        <v>14799</v>
      </c>
      <c r="B3895" s="42" t="s">
        <v>4277</v>
      </c>
      <c r="C3895" s="43" t="s">
        <v>289</v>
      </c>
      <c r="D3895" s="43" t="s">
        <v>314</v>
      </c>
      <c r="E3895" s="43" t="s">
        <v>385</v>
      </c>
    </row>
    <row r="3896" spans="1:5" x14ac:dyDescent="0.25">
      <c r="A3896" s="41">
        <v>14800</v>
      </c>
      <c r="B3896" s="42" t="s">
        <v>4278</v>
      </c>
      <c r="C3896" s="43" t="s">
        <v>289</v>
      </c>
      <c r="D3896" s="43" t="s">
        <v>366</v>
      </c>
      <c r="E3896" s="43" t="s">
        <v>373</v>
      </c>
    </row>
    <row r="3897" spans="1:5" x14ac:dyDescent="0.25">
      <c r="A3897" s="41">
        <v>14803</v>
      </c>
      <c r="B3897" s="42" t="s">
        <v>4279</v>
      </c>
      <c r="C3897" s="43" t="s">
        <v>289</v>
      </c>
      <c r="D3897" s="43" t="s">
        <v>314</v>
      </c>
      <c r="E3897" s="43" t="s">
        <v>464</v>
      </c>
    </row>
    <row r="3898" spans="1:5" x14ac:dyDescent="0.25">
      <c r="A3898" s="41">
        <v>14804</v>
      </c>
      <c r="B3898" s="42" t="s">
        <v>4280</v>
      </c>
      <c r="C3898" s="43" t="s">
        <v>289</v>
      </c>
      <c r="D3898" s="43" t="s">
        <v>316</v>
      </c>
      <c r="E3898" s="43" t="s">
        <v>464</v>
      </c>
    </row>
    <row r="3899" spans="1:5" x14ac:dyDescent="0.25">
      <c r="A3899" s="41">
        <v>14813</v>
      </c>
      <c r="B3899" s="42" t="s">
        <v>4281</v>
      </c>
      <c r="C3899" s="43" t="s">
        <v>289</v>
      </c>
      <c r="D3899" s="43" t="s">
        <v>333</v>
      </c>
      <c r="E3899" s="43" t="s">
        <v>464</v>
      </c>
    </row>
    <row r="3900" spans="1:5" x14ac:dyDescent="0.25">
      <c r="A3900" s="41">
        <v>14816</v>
      </c>
      <c r="B3900" s="42" t="s">
        <v>4282</v>
      </c>
      <c r="C3900" s="43" t="s">
        <v>289</v>
      </c>
      <c r="D3900" s="43" t="s">
        <v>1100</v>
      </c>
      <c r="E3900" s="43" t="s">
        <v>464</v>
      </c>
    </row>
    <row r="3901" spans="1:5" x14ac:dyDescent="0.25">
      <c r="A3901" s="41">
        <v>14817</v>
      </c>
      <c r="B3901" s="42" t="s">
        <v>4283</v>
      </c>
      <c r="C3901" s="43" t="s">
        <v>289</v>
      </c>
      <c r="D3901" s="43" t="s">
        <v>1100</v>
      </c>
      <c r="E3901" s="43" t="s">
        <v>464</v>
      </c>
    </row>
    <row r="3902" spans="1:5" x14ac:dyDescent="0.25">
      <c r="A3902" s="41">
        <v>14821</v>
      </c>
      <c r="B3902" s="42" t="s">
        <v>4284</v>
      </c>
      <c r="C3902" s="43" t="s">
        <v>289</v>
      </c>
      <c r="D3902" s="43" t="s">
        <v>1100</v>
      </c>
      <c r="E3902" s="43" t="s">
        <v>464</v>
      </c>
    </row>
    <row r="3903" spans="1:5" x14ac:dyDescent="0.25">
      <c r="A3903" s="41">
        <v>14822</v>
      </c>
      <c r="B3903" s="42" t="s">
        <v>4285</v>
      </c>
      <c r="C3903" s="43" t="s">
        <v>289</v>
      </c>
      <c r="D3903" s="43" t="s">
        <v>1100</v>
      </c>
      <c r="E3903" s="43" t="s">
        <v>464</v>
      </c>
    </row>
    <row r="3904" spans="1:5" x14ac:dyDescent="0.25">
      <c r="A3904" s="41">
        <v>14832</v>
      </c>
      <c r="B3904" s="42" t="s">
        <v>4286</v>
      </c>
      <c r="C3904" s="43" t="s">
        <v>289</v>
      </c>
      <c r="D3904" s="43" t="s">
        <v>996</v>
      </c>
      <c r="E3904" s="43" t="s">
        <v>230</v>
      </c>
    </row>
    <row r="3905" spans="1:5" x14ac:dyDescent="0.25">
      <c r="A3905" s="41">
        <v>14833</v>
      </c>
      <c r="B3905" s="42" t="s">
        <v>4287</v>
      </c>
      <c r="C3905" s="43" t="s">
        <v>289</v>
      </c>
      <c r="D3905" s="43" t="s">
        <v>996</v>
      </c>
      <c r="E3905" s="43" t="s">
        <v>230</v>
      </c>
    </row>
    <row r="3906" spans="1:5" x14ac:dyDescent="0.25">
      <c r="A3906" s="41">
        <v>14834</v>
      </c>
      <c r="B3906" s="42" t="s">
        <v>4288</v>
      </c>
      <c r="C3906" s="43" t="s">
        <v>289</v>
      </c>
      <c r="D3906" s="43" t="s">
        <v>996</v>
      </c>
      <c r="E3906" s="43" t="s">
        <v>230</v>
      </c>
    </row>
    <row r="3907" spans="1:5" x14ac:dyDescent="0.25">
      <c r="A3907" s="41">
        <v>14835</v>
      </c>
      <c r="B3907" s="42" t="s">
        <v>4289</v>
      </c>
      <c r="C3907" s="43" t="s">
        <v>289</v>
      </c>
      <c r="D3907" s="43" t="s">
        <v>996</v>
      </c>
      <c r="E3907" s="43" t="s">
        <v>230</v>
      </c>
    </row>
    <row r="3908" spans="1:5" x14ac:dyDescent="0.25">
      <c r="A3908" s="41">
        <v>14841</v>
      </c>
      <c r="B3908" s="42" t="s">
        <v>4290</v>
      </c>
      <c r="C3908" s="43" t="s">
        <v>289</v>
      </c>
      <c r="D3908" s="43" t="s">
        <v>1100</v>
      </c>
      <c r="E3908" s="43" t="s">
        <v>464</v>
      </c>
    </row>
    <row r="3909" spans="1:5" x14ac:dyDescent="0.25">
      <c r="A3909" s="41">
        <v>14842</v>
      </c>
      <c r="B3909" s="42" t="s">
        <v>4291</v>
      </c>
      <c r="C3909" s="43" t="s">
        <v>289</v>
      </c>
      <c r="D3909" s="43" t="s">
        <v>499</v>
      </c>
      <c r="E3909" s="43" t="s">
        <v>472</v>
      </c>
    </row>
    <row r="3910" spans="1:5" x14ac:dyDescent="0.25">
      <c r="A3910" s="41">
        <v>14854</v>
      </c>
      <c r="B3910" s="42" t="s">
        <v>4292</v>
      </c>
      <c r="C3910" s="43" t="s">
        <v>289</v>
      </c>
      <c r="D3910" s="43" t="s">
        <v>333</v>
      </c>
      <c r="E3910" s="43" t="s">
        <v>464</v>
      </c>
    </row>
    <row r="3911" spans="1:5" x14ac:dyDescent="0.25">
      <c r="A3911" s="41">
        <v>14861</v>
      </c>
      <c r="B3911" s="42" t="s">
        <v>4293</v>
      </c>
      <c r="C3911" s="43" t="s">
        <v>289</v>
      </c>
      <c r="D3911" s="43" t="s">
        <v>1100</v>
      </c>
      <c r="E3911" s="43" t="s">
        <v>464</v>
      </c>
    </row>
    <row r="3912" spans="1:5" x14ac:dyDescent="0.25">
      <c r="A3912" s="41">
        <v>14862</v>
      </c>
      <c r="B3912" s="42" t="s">
        <v>4294</v>
      </c>
      <c r="C3912" s="43" t="s">
        <v>289</v>
      </c>
      <c r="D3912" s="43" t="s">
        <v>1100</v>
      </c>
      <c r="E3912" s="43" t="s">
        <v>464</v>
      </c>
    </row>
    <row r="3913" spans="1:5" x14ac:dyDescent="0.25">
      <c r="A3913" s="41">
        <v>14863</v>
      </c>
      <c r="B3913" s="42" t="s">
        <v>4295</v>
      </c>
      <c r="C3913" s="43" t="s">
        <v>289</v>
      </c>
      <c r="D3913" s="43" t="s">
        <v>1100</v>
      </c>
      <c r="E3913" s="43" t="s">
        <v>464</v>
      </c>
    </row>
    <row r="3914" spans="1:5" x14ac:dyDescent="0.25">
      <c r="A3914" s="41">
        <v>14885</v>
      </c>
      <c r="B3914" s="42" t="s">
        <v>4296</v>
      </c>
      <c r="C3914" s="43" t="s">
        <v>289</v>
      </c>
      <c r="D3914" s="43" t="s">
        <v>1100</v>
      </c>
      <c r="E3914" s="43" t="s">
        <v>464</v>
      </c>
    </row>
    <row r="3915" spans="1:5" x14ac:dyDescent="0.25">
      <c r="A3915" s="41">
        <v>14893</v>
      </c>
      <c r="B3915" s="42" t="s">
        <v>4297</v>
      </c>
      <c r="C3915" s="43" t="s">
        <v>289</v>
      </c>
      <c r="D3915" s="43" t="s">
        <v>314</v>
      </c>
      <c r="E3915" s="43" t="s">
        <v>230</v>
      </c>
    </row>
    <row r="3916" spans="1:5" x14ac:dyDescent="0.25">
      <c r="A3916" s="41">
        <v>14894</v>
      </c>
      <c r="B3916" s="42" t="s">
        <v>4298</v>
      </c>
      <c r="C3916" s="43" t="s">
        <v>289</v>
      </c>
      <c r="D3916" s="43" t="s">
        <v>1100</v>
      </c>
      <c r="E3916" s="43" t="s">
        <v>464</v>
      </c>
    </row>
    <row r="3917" spans="1:5" x14ac:dyDescent="0.25">
      <c r="A3917" s="41">
        <v>14913</v>
      </c>
      <c r="B3917" s="42" t="s">
        <v>4299</v>
      </c>
      <c r="C3917" s="43" t="s">
        <v>289</v>
      </c>
      <c r="D3917" s="43" t="s">
        <v>1100</v>
      </c>
      <c r="E3917" s="43" t="s">
        <v>464</v>
      </c>
    </row>
    <row r="3918" spans="1:5" x14ac:dyDescent="0.25">
      <c r="A3918" s="41">
        <v>14918</v>
      </c>
      <c r="B3918" s="42" t="s">
        <v>4300</v>
      </c>
      <c r="C3918" s="43" t="s">
        <v>289</v>
      </c>
      <c r="D3918" s="43" t="s">
        <v>1100</v>
      </c>
      <c r="E3918" s="43" t="s">
        <v>464</v>
      </c>
    </row>
    <row r="3919" spans="1:5" x14ac:dyDescent="0.25">
      <c r="A3919" s="41">
        <v>14927</v>
      </c>
      <c r="B3919" s="42" t="s">
        <v>4301</v>
      </c>
      <c r="C3919" s="43" t="s">
        <v>289</v>
      </c>
      <c r="D3919" s="43" t="s">
        <v>1100</v>
      </c>
      <c r="E3919" s="43" t="s">
        <v>464</v>
      </c>
    </row>
    <row r="3920" spans="1:5" x14ac:dyDescent="0.25">
      <c r="A3920" s="41">
        <v>14929</v>
      </c>
      <c r="B3920" s="42" t="s">
        <v>4302</v>
      </c>
      <c r="C3920" s="43" t="s">
        <v>289</v>
      </c>
      <c r="D3920" s="43" t="s">
        <v>635</v>
      </c>
      <c r="E3920" s="43" t="s">
        <v>230</v>
      </c>
    </row>
    <row r="3921" spans="1:5" x14ac:dyDescent="0.25">
      <c r="A3921" s="41">
        <v>14934</v>
      </c>
      <c r="B3921" s="42" t="s">
        <v>4303</v>
      </c>
      <c r="C3921" s="43" t="s">
        <v>289</v>
      </c>
      <c r="D3921" s="43" t="s">
        <v>468</v>
      </c>
      <c r="E3921" s="43" t="s">
        <v>769</v>
      </c>
    </row>
    <row r="3922" spans="1:5" x14ac:dyDescent="0.25">
      <c r="A3922" s="41">
        <v>14953</v>
      </c>
      <c r="B3922" s="42" t="s">
        <v>4304</v>
      </c>
      <c r="C3922" s="43" t="s">
        <v>289</v>
      </c>
      <c r="D3922" s="43" t="s">
        <v>1100</v>
      </c>
      <c r="E3922" s="43" t="s">
        <v>464</v>
      </c>
    </row>
    <row r="3923" spans="1:5" x14ac:dyDescent="0.25">
      <c r="A3923" s="41">
        <v>14965</v>
      </c>
      <c r="B3923" s="42" t="s">
        <v>4305</v>
      </c>
      <c r="C3923" s="43" t="s">
        <v>289</v>
      </c>
      <c r="D3923" s="43" t="s">
        <v>438</v>
      </c>
      <c r="E3923" s="43" t="s">
        <v>373</v>
      </c>
    </row>
    <row r="3924" spans="1:5" x14ac:dyDescent="0.25">
      <c r="A3924" s="41">
        <v>14968</v>
      </c>
      <c r="B3924" s="42" t="s">
        <v>4306</v>
      </c>
      <c r="C3924" s="43" t="s">
        <v>289</v>
      </c>
      <c r="D3924" s="43" t="s">
        <v>333</v>
      </c>
      <c r="E3924" s="43" t="s">
        <v>230</v>
      </c>
    </row>
    <row r="3925" spans="1:5" x14ac:dyDescent="0.25">
      <c r="A3925" s="41">
        <v>14980</v>
      </c>
      <c r="B3925" s="42" t="s">
        <v>4307</v>
      </c>
      <c r="C3925" s="43" t="s">
        <v>289</v>
      </c>
      <c r="D3925" s="43" t="s">
        <v>438</v>
      </c>
      <c r="E3925" s="43" t="s">
        <v>454</v>
      </c>
    </row>
    <row r="3926" spans="1:5" x14ac:dyDescent="0.25">
      <c r="A3926" s="41">
        <v>14981</v>
      </c>
      <c r="B3926" s="42" t="s">
        <v>4308</v>
      </c>
      <c r="C3926" s="43" t="s">
        <v>289</v>
      </c>
      <c r="D3926" s="43" t="s">
        <v>327</v>
      </c>
      <c r="E3926" s="43" t="s">
        <v>769</v>
      </c>
    </row>
    <row r="3927" spans="1:5" x14ac:dyDescent="0.25">
      <c r="A3927" s="41">
        <v>15021</v>
      </c>
      <c r="B3927" s="42" t="s">
        <v>4309</v>
      </c>
      <c r="C3927" s="43" t="s">
        <v>289</v>
      </c>
      <c r="D3927" s="43" t="s">
        <v>1100</v>
      </c>
      <c r="E3927" s="43" t="s">
        <v>230</v>
      </c>
    </row>
    <row r="3928" spans="1:5" x14ac:dyDescent="0.25">
      <c r="A3928" s="41">
        <v>15032</v>
      </c>
      <c r="B3928" s="42" t="s">
        <v>4310</v>
      </c>
      <c r="C3928" s="43" t="s">
        <v>289</v>
      </c>
      <c r="D3928" s="43" t="s">
        <v>316</v>
      </c>
      <c r="E3928" s="43" t="s">
        <v>230</v>
      </c>
    </row>
    <row r="3929" spans="1:5" x14ac:dyDescent="0.25">
      <c r="A3929" s="41">
        <v>15033</v>
      </c>
      <c r="B3929" s="42" t="s">
        <v>4311</v>
      </c>
      <c r="C3929" s="43" t="s">
        <v>289</v>
      </c>
      <c r="D3929" s="43" t="s">
        <v>316</v>
      </c>
      <c r="E3929" s="43" t="s">
        <v>336</v>
      </c>
    </row>
    <row r="3930" spans="1:5" x14ac:dyDescent="0.25">
      <c r="A3930" s="41">
        <v>15034</v>
      </c>
      <c r="B3930" s="42" t="s">
        <v>4312</v>
      </c>
      <c r="C3930" s="43" t="s">
        <v>289</v>
      </c>
      <c r="D3930" s="43" t="s">
        <v>316</v>
      </c>
      <c r="E3930" s="43" t="s">
        <v>336</v>
      </c>
    </row>
    <row r="3931" spans="1:5" x14ac:dyDescent="0.25">
      <c r="A3931" s="41">
        <v>15035</v>
      </c>
      <c r="B3931" s="42" t="s">
        <v>4313</v>
      </c>
      <c r="C3931" s="43" t="s">
        <v>289</v>
      </c>
      <c r="D3931" s="43" t="s">
        <v>316</v>
      </c>
      <c r="E3931" s="43" t="s">
        <v>170</v>
      </c>
    </row>
    <row r="3932" spans="1:5" x14ac:dyDescent="0.25">
      <c r="A3932" s="41">
        <v>15036</v>
      </c>
      <c r="B3932" s="42" t="s">
        <v>4314</v>
      </c>
      <c r="C3932" s="43" t="s">
        <v>289</v>
      </c>
      <c r="D3932" s="43" t="s">
        <v>316</v>
      </c>
      <c r="E3932" s="43" t="s">
        <v>230</v>
      </c>
    </row>
    <row r="3933" spans="1:5" x14ac:dyDescent="0.25">
      <c r="A3933" s="41">
        <v>15037</v>
      </c>
      <c r="B3933" s="42" t="s">
        <v>4315</v>
      </c>
      <c r="C3933" s="43" t="s">
        <v>289</v>
      </c>
      <c r="D3933" s="43" t="s">
        <v>316</v>
      </c>
      <c r="E3933" s="43" t="s">
        <v>230</v>
      </c>
    </row>
    <row r="3934" spans="1:5" x14ac:dyDescent="0.25">
      <c r="A3934" s="41">
        <v>15038</v>
      </c>
      <c r="B3934" s="42" t="s">
        <v>4316</v>
      </c>
      <c r="C3934" s="43" t="s">
        <v>289</v>
      </c>
      <c r="D3934" s="43" t="s">
        <v>316</v>
      </c>
      <c r="E3934" s="43" t="s">
        <v>230</v>
      </c>
    </row>
    <row r="3935" spans="1:5" x14ac:dyDescent="0.25">
      <c r="A3935" s="41">
        <v>15039</v>
      </c>
      <c r="B3935" s="42" t="s">
        <v>4317</v>
      </c>
      <c r="C3935" s="43" t="s">
        <v>289</v>
      </c>
      <c r="D3935" s="43" t="s">
        <v>316</v>
      </c>
      <c r="E3935" s="43" t="s">
        <v>230</v>
      </c>
    </row>
    <row r="3936" spans="1:5" x14ac:dyDescent="0.25">
      <c r="A3936" s="41">
        <v>15051</v>
      </c>
      <c r="B3936" s="42" t="s">
        <v>4318</v>
      </c>
      <c r="C3936" s="43" t="s">
        <v>289</v>
      </c>
      <c r="D3936" s="43" t="s">
        <v>438</v>
      </c>
      <c r="E3936" s="43" t="s">
        <v>230</v>
      </c>
    </row>
    <row r="3937" spans="1:5" x14ac:dyDescent="0.25">
      <c r="A3937" s="41">
        <v>15061</v>
      </c>
      <c r="B3937" s="42" t="s">
        <v>4319</v>
      </c>
      <c r="C3937" s="43" t="s">
        <v>289</v>
      </c>
      <c r="D3937" s="43" t="s">
        <v>1100</v>
      </c>
      <c r="E3937" s="43" t="s">
        <v>230</v>
      </c>
    </row>
    <row r="3938" spans="1:5" x14ac:dyDescent="0.25">
      <c r="A3938" s="41">
        <v>15071</v>
      </c>
      <c r="B3938" s="42" t="s">
        <v>4320</v>
      </c>
      <c r="C3938" s="43" t="s">
        <v>289</v>
      </c>
      <c r="D3938" s="43" t="s">
        <v>1100</v>
      </c>
      <c r="E3938" s="43" t="s">
        <v>230</v>
      </c>
    </row>
    <row r="3939" spans="1:5" x14ac:dyDescent="0.25">
      <c r="A3939" s="41">
        <v>15072</v>
      </c>
      <c r="B3939" s="42" t="s">
        <v>4321</v>
      </c>
      <c r="C3939" s="43" t="s">
        <v>289</v>
      </c>
      <c r="D3939" s="43" t="s">
        <v>1100</v>
      </c>
      <c r="E3939" s="43" t="s">
        <v>230</v>
      </c>
    </row>
    <row r="3940" spans="1:5" x14ac:dyDescent="0.25">
      <c r="A3940" s="41">
        <v>15073</v>
      </c>
      <c r="B3940" s="42" t="s">
        <v>4322</v>
      </c>
      <c r="C3940" s="43" t="s">
        <v>289</v>
      </c>
      <c r="D3940" s="43" t="s">
        <v>1100</v>
      </c>
      <c r="E3940" s="43" t="s">
        <v>230</v>
      </c>
    </row>
    <row r="3941" spans="1:5" x14ac:dyDescent="0.25">
      <c r="A3941" s="41">
        <v>15077</v>
      </c>
      <c r="B3941" s="42" t="s">
        <v>4323</v>
      </c>
      <c r="C3941" s="43" t="s">
        <v>289</v>
      </c>
      <c r="D3941" s="43" t="s">
        <v>327</v>
      </c>
      <c r="E3941" s="43" t="s">
        <v>230</v>
      </c>
    </row>
    <row r="3942" spans="1:5" x14ac:dyDescent="0.25">
      <c r="A3942" s="41">
        <v>15078</v>
      </c>
      <c r="B3942" s="42" t="s">
        <v>4324</v>
      </c>
      <c r="C3942" s="43" t="s">
        <v>289</v>
      </c>
      <c r="D3942" s="43" t="s">
        <v>327</v>
      </c>
      <c r="E3942" s="43" t="s">
        <v>230</v>
      </c>
    </row>
    <row r="3943" spans="1:5" x14ac:dyDescent="0.25">
      <c r="A3943" s="41">
        <v>15079</v>
      </c>
      <c r="B3943" s="42" t="s">
        <v>4325</v>
      </c>
      <c r="C3943" s="43" t="s">
        <v>289</v>
      </c>
      <c r="D3943" s="43" t="s">
        <v>327</v>
      </c>
      <c r="E3943" s="43" t="s">
        <v>230</v>
      </c>
    </row>
    <row r="3944" spans="1:5" x14ac:dyDescent="0.25">
      <c r="A3944" s="41">
        <v>15081</v>
      </c>
      <c r="B3944" s="42" t="s">
        <v>4326</v>
      </c>
      <c r="C3944" s="43" t="s">
        <v>289</v>
      </c>
      <c r="D3944" s="43" t="s">
        <v>1100</v>
      </c>
      <c r="E3944" s="43" t="s">
        <v>230</v>
      </c>
    </row>
    <row r="3945" spans="1:5" x14ac:dyDescent="0.25">
      <c r="A3945" s="41">
        <v>15107</v>
      </c>
      <c r="B3945" s="42" t="s">
        <v>4327</v>
      </c>
      <c r="C3945" s="43" t="s">
        <v>289</v>
      </c>
      <c r="D3945" s="43" t="s">
        <v>435</v>
      </c>
      <c r="E3945" s="43" t="s">
        <v>436</v>
      </c>
    </row>
    <row r="3946" spans="1:5" x14ac:dyDescent="0.25">
      <c r="A3946" s="41">
        <v>15108</v>
      </c>
      <c r="B3946" s="42" t="s">
        <v>4328</v>
      </c>
      <c r="C3946" s="43" t="s">
        <v>289</v>
      </c>
      <c r="D3946" s="43" t="s">
        <v>4329</v>
      </c>
      <c r="E3946" s="43" t="s">
        <v>454</v>
      </c>
    </row>
    <row r="3947" spans="1:5" x14ac:dyDescent="0.25">
      <c r="A3947" s="41">
        <v>15115</v>
      </c>
      <c r="B3947" s="42" t="s">
        <v>4330</v>
      </c>
      <c r="C3947" s="43" t="s">
        <v>289</v>
      </c>
      <c r="D3947" s="43" t="s">
        <v>316</v>
      </c>
      <c r="E3947" s="43" t="s">
        <v>230</v>
      </c>
    </row>
    <row r="3948" spans="1:5" x14ac:dyDescent="0.25">
      <c r="A3948" s="41">
        <v>15116</v>
      </c>
      <c r="B3948" s="42" t="s">
        <v>4331</v>
      </c>
      <c r="C3948" s="43" t="s">
        <v>289</v>
      </c>
      <c r="D3948" s="43" t="s">
        <v>316</v>
      </c>
      <c r="E3948" s="43" t="s">
        <v>454</v>
      </c>
    </row>
    <row r="3949" spans="1:5" x14ac:dyDescent="0.25">
      <c r="A3949" s="41">
        <v>15118</v>
      </c>
      <c r="B3949" s="42" t="s">
        <v>4332</v>
      </c>
      <c r="C3949" s="43" t="s">
        <v>289</v>
      </c>
      <c r="D3949" s="43" t="s">
        <v>1112</v>
      </c>
      <c r="E3949" s="43" t="s">
        <v>230</v>
      </c>
    </row>
    <row r="3950" spans="1:5" x14ac:dyDescent="0.25">
      <c r="A3950" s="41">
        <v>15121</v>
      </c>
      <c r="B3950" s="42" t="s">
        <v>4333</v>
      </c>
      <c r="C3950" s="43" t="s">
        <v>289</v>
      </c>
      <c r="D3950" s="43" t="s">
        <v>375</v>
      </c>
      <c r="E3950" s="43" t="s">
        <v>336</v>
      </c>
    </row>
    <row r="3951" spans="1:5" x14ac:dyDescent="0.25">
      <c r="A3951" s="41">
        <v>15123</v>
      </c>
      <c r="B3951" s="42" t="s">
        <v>4334</v>
      </c>
      <c r="C3951" s="43" t="s">
        <v>289</v>
      </c>
      <c r="D3951" s="43" t="s">
        <v>316</v>
      </c>
      <c r="E3951" s="43" t="s">
        <v>230</v>
      </c>
    </row>
    <row r="3952" spans="1:5" x14ac:dyDescent="0.25">
      <c r="A3952" s="41">
        <v>15134</v>
      </c>
      <c r="B3952" s="42" t="s">
        <v>4335</v>
      </c>
      <c r="C3952" s="43" t="s">
        <v>289</v>
      </c>
      <c r="D3952" s="43" t="s">
        <v>996</v>
      </c>
      <c r="E3952" s="43" t="s">
        <v>354</v>
      </c>
    </row>
    <row r="3953" spans="1:5" x14ac:dyDescent="0.25">
      <c r="A3953" s="41">
        <v>15138</v>
      </c>
      <c r="B3953" s="42" t="s">
        <v>4336</v>
      </c>
      <c r="C3953" s="43" t="s">
        <v>289</v>
      </c>
      <c r="D3953" s="43" t="s">
        <v>327</v>
      </c>
      <c r="E3953" s="43" t="s">
        <v>1244</v>
      </c>
    </row>
    <row r="3954" spans="1:5" x14ac:dyDescent="0.25">
      <c r="A3954" s="41">
        <v>15141</v>
      </c>
      <c r="B3954" s="42" t="s">
        <v>4337</v>
      </c>
      <c r="C3954" s="43" t="s">
        <v>289</v>
      </c>
      <c r="D3954" s="43" t="s">
        <v>1100</v>
      </c>
      <c r="E3954" s="43" t="s">
        <v>230</v>
      </c>
    </row>
    <row r="3955" spans="1:5" x14ac:dyDescent="0.25">
      <c r="A3955" s="41">
        <v>15146</v>
      </c>
      <c r="B3955" s="42" t="s">
        <v>4338</v>
      </c>
      <c r="C3955" s="43" t="s">
        <v>289</v>
      </c>
      <c r="D3955" s="43" t="s">
        <v>1112</v>
      </c>
      <c r="E3955" s="43" t="s">
        <v>464</v>
      </c>
    </row>
    <row r="3956" spans="1:5" x14ac:dyDescent="0.25">
      <c r="A3956" s="41">
        <v>15147</v>
      </c>
      <c r="B3956" s="42" t="s">
        <v>4339</v>
      </c>
      <c r="C3956" s="43" t="s">
        <v>289</v>
      </c>
      <c r="D3956" s="43" t="s">
        <v>1112</v>
      </c>
      <c r="E3956" s="43" t="s">
        <v>464</v>
      </c>
    </row>
    <row r="3957" spans="1:5" x14ac:dyDescent="0.25">
      <c r="A3957" s="41">
        <v>15151</v>
      </c>
      <c r="B3957" s="42" t="s">
        <v>4340</v>
      </c>
      <c r="C3957" s="43" t="s">
        <v>289</v>
      </c>
      <c r="D3957" s="43" t="s">
        <v>333</v>
      </c>
      <c r="E3957" s="43" t="s">
        <v>373</v>
      </c>
    </row>
    <row r="3958" spans="1:5" x14ac:dyDescent="0.25">
      <c r="A3958" s="41">
        <v>15161</v>
      </c>
      <c r="B3958" s="42" t="s">
        <v>4341</v>
      </c>
      <c r="C3958" s="43" t="s">
        <v>289</v>
      </c>
      <c r="D3958" s="43" t="s">
        <v>1100</v>
      </c>
      <c r="E3958" s="43" t="s">
        <v>230</v>
      </c>
    </row>
    <row r="3959" spans="1:5" x14ac:dyDescent="0.25">
      <c r="A3959" s="41">
        <v>15174</v>
      </c>
      <c r="B3959" s="42" t="s">
        <v>4342</v>
      </c>
      <c r="C3959" s="43" t="s">
        <v>289</v>
      </c>
      <c r="D3959" s="43" t="s">
        <v>466</v>
      </c>
      <c r="E3959" s="43" t="s">
        <v>464</v>
      </c>
    </row>
    <row r="3960" spans="1:5" x14ac:dyDescent="0.25">
      <c r="A3960" s="41">
        <v>15175</v>
      </c>
      <c r="B3960" s="42" t="s">
        <v>4343</v>
      </c>
      <c r="C3960" s="43" t="s">
        <v>289</v>
      </c>
      <c r="D3960" s="43" t="s">
        <v>1100</v>
      </c>
      <c r="E3960" s="43" t="s">
        <v>230</v>
      </c>
    </row>
    <row r="3961" spans="1:5" x14ac:dyDescent="0.25">
      <c r="A3961" s="41">
        <v>15184</v>
      </c>
      <c r="B3961" s="42" t="s">
        <v>4344</v>
      </c>
      <c r="C3961" s="43" t="s">
        <v>289</v>
      </c>
      <c r="D3961" s="43" t="s">
        <v>316</v>
      </c>
      <c r="E3961" s="43" t="s">
        <v>230</v>
      </c>
    </row>
    <row r="3962" spans="1:5" x14ac:dyDescent="0.25">
      <c r="A3962" s="41">
        <v>15201</v>
      </c>
      <c r="B3962" s="42" t="s">
        <v>4345</v>
      </c>
      <c r="C3962" s="43" t="s">
        <v>289</v>
      </c>
      <c r="D3962" s="43" t="s">
        <v>635</v>
      </c>
      <c r="E3962" s="43" t="s">
        <v>464</v>
      </c>
    </row>
    <row r="3963" spans="1:5" x14ac:dyDescent="0.25">
      <c r="A3963" s="41">
        <v>15203</v>
      </c>
      <c r="B3963" s="42" t="s">
        <v>4346</v>
      </c>
      <c r="C3963" s="43" t="s">
        <v>289</v>
      </c>
      <c r="D3963" s="43" t="s">
        <v>433</v>
      </c>
      <c r="E3963" s="43" t="s">
        <v>230</v>
      </c>
    </row>
    <row r="3964" spans="1:5" x14ac:dyDescent="0.25">
      <c r="A3964" s="41">
        <v>15211</v>
      </c>
      <c r="B3964" s="42" t="s">
        <v>4347</v>
      </c>
      <c r="C3964" s="43" t="s">
        <v>289</v>
      </c>
      <c r="D3964" s="43" t="s">
        <v>1100</v>
      </c>
      <c r="E3964" s="43" t="s">
        <v>230</v>
      </c>
    </row>
    <row r="3965" spans="1:5" x14ac:dyDescent="0.25">
      <c r="A3965" s="41">
        <v>15214</v>
      </c>
      <c r="B3965" s="42" t="s">
        <v>4348</v>
      </c>
      <c r="C3965" s="43" t="s">
        <v>289</v>
      </c>
      <c r="D3965" s="43" t="s">
        <v>327</v>
      </c>
      <c r="E3965" s="43" t="s">
        <v>230</v>
      </c>
    </row>
    <row r="3966" spans="1:5" x14ac:dyDescent="0.25">
      <c r="A3966" s="41">
        <v>15217</v>
      </c>
      <c r="B3966" s="42" t="s">
        <v>4349</v>
      </c>
      <c r="C3966" s="43" t="s">
        <v>289</v>
      </c>
      <c r="D3966" s="43" t="s">
        <v>314</v>
      </c>
      <c r="E3966" s="43" t="s">
        <v>385</v>
      </c>
    </row>
    <row r="3967" spans="1:5" x14ac:dyDescent="0.25">
      <c r="A3967" s="41">
        <v>15222</v>
      </c>
      <c r="B3967" s="42" t="s">
        <v>4350</v>
      </c>
      <c r="C3967" s="43" t="s">
        <v>289</v>
      </c>
      <c r="D3967" s="43" t="s">
        <v>466</v>
      </c>
      <c r="E3967" s="43" t="s">
        <v>464</v>
      </c>
    </row>
    <row r="3968" spans="1:5" x14ac:dyDescent="0.25">
      <c r="A3968" s="41">
        <v>15232</v>
      </c>
      <c r="B3968" s="42" t="s">
        <v>4351</v>
      </c>
      <c r="C3968" s="43" t="s">
        <v>289</v>
      </c>
      <c r="D3968" s="43" t="s">
        <v>1100</v>
      </c>
      <c r="E3968" s="43" t="s">
        <v>230</v>
      </c>
    </row>
    <row r="3969" spans="1:5" x14ac:dyDescent="0.25">
      <c r="A3969" s="41">
        <v>15243</v>
      </c>
      <c r="B3969" s="42" t="s">
        <v>4352</v>
      </c>
      <c r="C3969" s="43" t="s">
        <v>289</v>
      </c>
      <c r="D3969" s="43" t="s">
        <v>1100</v>
      </c>
      <c r="E3969" s="43" t="s">
        <v>464</v>
      </c>
    </row>
    <row r="3970" spans="1:5" x14ac:dyDescent="0.25">
      <c r="A3970" s="41">
        <v>15244</v>
      </c>
      <c r="B3970" s="42" t="s">
        <v>4353</v>
      </c>
      <c r="C3970" s="43" t="s">
        <v>289</v>
      </c>
      <c r="D3970" s="43" t="s">
        <v>1100</v>
      </c>
      <c r="E3970" s="43" t="s">
        <v>464</v>
      </c>
    </row>
    <row r="3971" spans="1:5" x14ac:dyDescent="0.25">
      <c r="A3971" s="41">
        <v>15246</v>
      </c>
      <c r="B3971" s="42" t="s">
        <v>4354</v>
      </c>
      <c r="C3971" s="43" t="s">
        <v>289</v>
      </c>
      <c r="D3971" s="43" t="s">
        <v>314</v>
      </c>
      <c r="E3971" s="43" t="s">
        <v>373</v>
      </c>
    </row>
    <row r="3972" spans="1:5" x14ac:dyDescent="0.25">
      <c r="A3972" s="41">
        <v>15247</v>
      </c>
      <c r="B3972" s="42" t="s">
        <v>4355</v>
      </c>
      <c r="C3972" s="43" t="s">
        <v>289</v>
      </c>
      <c r="D3972" s="43" t="s">
        <v>1100</v>
      </c>
      <c r="E3972" s="43" t="s">
        <v>464</v>
      </c>
    </row>
    <row r="3973" spans="1:5" x14ac:dyDescent="0.25">
      <c r="A3973" s="41">
        <v>15249</v>
      </c>
      <c r="B3973" s="42" t="s">
        <v>4356</v>
      </c>
      <c r="C3973" s="43" t="s">
        <v>289</v>
      </c>
      <c r="D3973" s="43" t="s">
        <v>1100</v>
      </c>
      <c r="E3973" s="43" t="s">
        <v>464</v>
      </c>
    </row>
    <row r="3974" spans="1:5" x14ac:dyDescent="0.25">
      <c r="A3974" s="41">
        <v>15250</v>
      </c>
      <c r="B3974" s="42" t="s">
        <v>4357</v>
      </c>
      <c r="C3974" s="43" t="s">
        <v>289</v>
      </c>
      <c r="D3974" s="43" t="s">
        <v>1100</v>
      </c>
      <c r="E3974" s="43" t="s">
        <v>464</v>
      </c>
    </row>
    <row r="3975" spans="1:5" x14ac:dyDescent="0.25">
      <c r="A3975" s="41">
        <v>15252</v>
      </c>
      <c r="B3975" s="42" t="s">
        <v>4358</v>
      </c>
      <c r="C3975" s="43" t="s">
        <v>289</v>
      </c>
      <c r="D3975" s="43" t="s">
        <v>1100</v>
      </c>
      <c r="E3975" s="43" t="s">
        <v>230</v>
      </c>
    </row>
    <row r="3976" spans="1:5" x14ac:dyDescent="0.25">
      <c r="A3976" s="41">
        <v>15254</v>
      </c>
      <c r="B3976" s="42" t="s">
        <v>4359</v>
      </c>
      <c r="C3976" s="43" t="s">
        <v>289</v>
      </c>
      <c r="D3976" s="43" t="s">
        <v>433</v>
      </c>
      <c r="E3976" s="43" t="s">
        <v>336</v>
      </c>
    </row>
    <row r="3977" spans="1:5" x14ac:dyDescent="0.25">
      <c r="A3977" s="41">
        <v>15256</v>
      </c>
      <c r="B3977" s="42" t="s">
        <v>4360</v>
      </c>
      <c r="C3977" s="43" t="s">
        <v>289</v>
      </c>
      <c r="D3977" s="43" t="s">
        <v>1100</v>
      </c>
      <c r="E3977" s="43" t="s">
        <v>230</v>
      </c>
    </row>
    <row r="3978" spans="1:5" x14ac:dyDescent="0.25">
      <c r="A3978" s="41">
        <v>15257</v>
      </c>
      <c r="B3978" s="42" t="s">
        <v>4361</v>
      </c>
      <c r="C3978" s="43" t="s">
        <v>289</v>
      </c>
      <c r="D3978" s="43" t="s">
        <v>1100</v>
      </c>
      <c r="E3978" s="43" t="s">
        <v>230</v>
      </c>
    </row>
    <row r="3979" spans="1:5" x14ac:dyDescent="0.25">
      <c r="A3979" s="41">
        <v>15258</v>
      </c>
      <c r="B3979" s="42" t="s">
        <v>4362</v>
      </c>
      <c r="C3979" s="43" t="s">
        <v>289</v>
      </c>
      <c r="D3979" s="43" t="s">
        <v>1100</v>
      </c>
      <c r="E3979" s="43" t="s">
        <v>230</v>
      </c>
    </row>
    <row r="3980" spans="1:5" x14ac:dyDescent="0.25">
      <c r="A3980" s="41">
        <v>15259</v>
      </c>
      <c r="B3980" s="42" t="s">
        <v>4363</v>
      </c>
      <c r="C3980" s="43" t="s">
        <v>289</v>
      </c>
      <c r="D3980" s="43" t="s">
        <v>410</v>
      </c>
      <c r="E3980" s="43" t="s">
        <v>464</v>
      </c>
    </row>
    <row r="3981" spans="1:5" x14ac:dyDescent="0.25">
      <c r="A3981" s="41">
        <v>15260</v>
      </c>
      <c r="B3981" s="42" t="s">
        <v>4364</v>
      </c>
      <c r="C3981" s="43" t="s">
        <v>289</v>
      </c>
      <c r="D3981" s="43" t="s">
        <v>1100</v>
      </c>
      <c r="E3981" s="43" t="s">
        <v>464</v>
      </c>
    </row>
    <row r="3982" spans="1:5" x14ac:dyDescent="0.25">
      <c r="A3982" s="41">
        <v>15261</v>
      </c>
      <c r="B3982" s="42" t="s">
        <v>4365</v>
      </c>
      <c r="C3982" s="43" t="s">
        <v>289</v>
      </c>
      <c r="D3982" s="43" t="s">
        <v>1100</v>
      </c>
      <c r="E3982" s="43" t="s">
        <v>464</v>
      </c>
    </row>
    <row r="3983" spans="1:5" x14ac:dyDescent="0.25">
      <c r="A3983" s="41">
        <v>15271</v>
      </c>
      <c r="B3983" s="42" t="s">
        <v>4366</v>
      </c>
      <c r="C3983" s="43" t="s">
        <v>289</v>
      </c>
      <c r="D3983" s="43" t="s">
        <v>1100</v>
      </c>
      <c r="E3983" s="43" t="s">
        <v>464</v>
      </c>
    </row>
    <row r="3984" spans="1:5" x14ac:dyDescent="0.25">
      <c r="A3984" s="41">
        <v>15297</v>
      </c>
      <c r="B3984" s="42" t="s">
        <v>4367</v>
      </c>
      <c r="C3984" s="43" t="s">
        <v>289</v>
      </c>
      <c r="D3984" s="43" t="s">
        <v>333</v>
      </c>
      <c r="E3984" s="43" t="s">
        <v>170</v>
      </c>
    </row>
    <row r="3985" spans="1:5" x14ac:dyDescent="0.25">
      <c r="A3985" s="41">
        <v>15301</v>
      </c>
      <c r="B3985" s="42" t="s">
        <v>4368</v>
      </c>
      <c r="C3985" s="43" t="s">
        <v>289</v>
      </c>
      <c r="D3985" s="43" t="s">
        <v>1112</v>
      </c>
      <c r="E3985" s="43" t="s">
        <v>464</v>
      </c>
    </row>
    <row r="3986" spans="1:5" x14ac:dyDescent="0.25">
      <c r="A3986" s="41">
        <v>15311</v>
      </c>
      <c r="B3986" s="42" t="s">
        <v>4369</v>
      </c>
      <c r="C3986" s="43" t="s">
        <v>289</v>
      </c>
      <c r="D3986" s="43" t="s">
        <v>1100</v>
      </c>
      <c r="E3986" s="43" t="s">
        <v>464</v>
      </c>
    </row>
    <row r="3987" spans="1:5" x14ac:dyDescent="0.25">
      <c r="A3987" s="41">
        <v>15312</v>
      </c>
      <c r="B3987" s="42" t="s">
        <v>4370</v>
      </c>
      <c r="C3987" s="43" t="s">
        <v>289</v>
      </c>
      <c r="D3987" s="43" t="s">
        <v>366</v>
      </c>
      <c r="E3987" s="43" t="s">
        <v>373</v>
      </c>
    </row>
    <row r="3988" spans="1:5" x14ac:dyDescent="0.25">
      <c r="A3988" s="41">
        <v>15313</v>
      </c>
      <c r="B3988" s="42" t="s">
        <v>4371</v>
      </c>
      <c r="C3988" s="43" t="s">
        <v>289</v>
      </c>
      <c r="D3988" s="43" t="s">
        <v>1100</v>
      </c>
      <c r="E3988" s="43" t="s">
        <v>464</v>
      </c>
    </row>
    <row r="3989" spans="1:5" x14ac:dyDescent="0.25">
      <c r="A3989" s="41">
        <v>15323</v>
      </c>
      <c r="B3989" s="42" t="s">
        <v>4372</v>
      </c>
      <c r="C3989" s="43" t="s">
        <v>289</v>
      </c>
      <c r="D3989" s="43" t="s">
        <v>1100</v>
      </c>
      <c r="E3989" s="43" t="s">
        <v>464</v>
      </c>
    </row>
    <row r="3990" spans="1:5" x14ac:dyDescent="0.25">
      <c r="A3990" s="41">
        <v>15324</v>
      </c>
      <c r="B3990" s="42" t="s">
        <v>4373</v>
      </c>
      <c r="C3990" s="43" t="s">
        <v>289</v>
      </c>
      <c r="D3990" s="43" t="s">
        <v>1100</v>
      </c>
      <c r="E3990" s="43" t="s">
        <v>464</v>
      </c>
    </row>
    <row r="3991" spans="1:5" x14ac:dyDescent="0.25">
      <c r="A3991" s="41">
        <v>15325</v>
      </c>
      <c r="B3991" s="42" t="s">
        <v>4374</v>
      </c>
      <c r="C3991" s="43" t="s">
        <v>289</v>
      </c>
      <c r="D3991" s="43" t="s">
        <v>959</v>
      </c>
      <c r="E3991" s="43" t="s">
        <v>769</v>
      </c>
    </row>
    <row r="3992" spans="1:5" x14ac:dyDescent="0.25">
      <c r="A3992" s="41">
        <v>15331</v>
      </c>
      <c r="B3992" s="42" t="s">
        <v>4375</v>
      </c>
      <c r="C3992" s="43" t="s">
        <v>289</v>
      </c>
      <c r="D3992" s="43" t="s">
        <v>1100</v>
      </c>
      <c r="E3992" s="43" t="s">
        <v>464</v>
      </c>
    </row>
    <row r="3993" spans="1:5" x14ac:dyDescent="0.25">
      <c r="A3993" s="41">
        <v>15334</v>
      </c>
      <c r="B3993" s="42" t="s">
        <v>4376</v>
      </c>
      <c r="C3993" s="43" t="s">
        <v>289</v>
      </c>
      <c r="D3993" s="43" t="s">
        <v>1112</v>
      </c>
      <c r="E3993" s="43" t="s">
        <v>464</v>
      </c>
    </row>
    <row r="3994" spans="1:5" x14ac:dyDescent="0.25">
      <c r="A3994" s="41">
        <v>15351</v>
      </c>
      <c r="B3994" s="42" t="s">
        <v>4377</v>
      </c>
      <c r="C3994" s="43" t="s">
        <v>289</v>
      </c>
      <c r="D3994" s="43" t="s">
        <v>635</v>
      </c>
      <c r="E3994" s="43" t="s">
        <v>464</v>
      </c>
    </row>
    <row r="3995" spans="1:5" x14ac:dyDescent="0.25">
      <c r="A3995" s="41">
        <v>15352</v>
      </c>
      <c r="B3995" s="42" t="s">
        <v>4378</v>
      </c>
      <c r="C3995" s="43" t="s">
        <v>289</v>
      </c>
      <c r="D3995" s="43" t="s">
        <v>1112</v>
      </c>
      <c r="E3995" s="43" t="s">
        <v>464</v>
      </c>
    </row>
    <row r="3996" spans="1:5" x14ac:dyDescent="0.25">
      <c r="A3996" s="41">
        <v>15372</v>
      </c>
      <c r="B3996" s="42" t="s">
        <v>4379</v>
      </c>
      <c r="C3996" s="43" t="s">
        <v>289</v>
      </c>
      <c r="D3996" s="43" t="s">
        <v>1112</v>
      </c>
      <c r="E3996" s="43" t="s">
        <v>464</v>
      </c>
    </row>
    <row r="3997" spans="1:5" x14ac:dyDescent="0.25">
      <c r="A3997" s="41">
        <v>15375</v>
      </c>
      <c r="B3997" s="42" t="s">
        <v>4380</v>
      </c>
      <c r="C3997" s="43" t="s">
        <v>289</v>
      </c>
      <c r="D3997" s="43" t="s">
        <v>1112</v>
      </c>
      <c r="E3997" s="43" t="s">
        <v>464</v>
      </c>
    </row>
    <row r="3998" spans="1:5" x14ac:dyDescent="0.25">
      <c r="A3998" s="41">
        <v>15397</v>
      </c>
      <c r="B3998" s="42" t="s">
        <v>4381</v>
      </c>
      <c r="C3998" s="43" t="s">
        <v>289</v>
      </c>
      <c r="D3998" s="43" t="s">
        <v>1100</v>
      </c>
      <c r="E3998" s="43" t="s">
        <v>464</v>
      </c>
    </row>
    <row r="3999" spans="1:5" x14ac:dyDescent="0.25">
      <c r="A3999" s="41">
        <v>15401</v>
      </c>
      <c r="B3999" s="42" t="s">
        <v>4382</v>
      </c>
      <c r="C3999" s="43" t="s">
        <v>289</v>
      </c>
      <c r="D3999" s="43" t="s">
        <v>333</v>
      </c>
      <c r="E3999" s="43" t="s">
        <v>170</v>
      </c>
    </row>
    <row r="4000" spans="1:5" x14ac:dyDescent="0.25">
      <c r="A4000" s="41">
        <v>15423</v>
      </c>
      <c r="B4000" s="42" t="s">
        <v>4383</v>
      </c>
      <c r="C4000" s="43" t="s">
        <v>289</v>
      </c>
      <c r="D4000" s="43" t="s">
        <v>635</v>
      </c>
      <c r="E4000" s="43" t="s">
        <v>230</v>
      </c>
    </row>
    <row r="4001" spans="1:5" x14ac:dyDescent="0.25">
      <c r="A4001" s="41">
        <v>15431</v>
      </c>
      <c r="B4001" s="42" t="s">
        <v>4384</v>
      </c>
      <c r="C4001" s="43" t="s">
        <v>289</v>
      </c>
      <c r="D4001" s="43" t="s">
        <v>333</v>
      </c>
      <c r="E4001" s="43" t="s">
        <v>464</v>
      </c>
    </row>
    <row r="4002" spans="1:5" x14ac:dyDescent="0.25">
      <c r="A4002" s="41">
        <v>15441</v>
      </c>
      <c r="B4002" s="42" t="s">
        <v>4385</v>
      </c>
      <c r="C4002" s="43" t="s">
        <v>289</v>
      </c>
      <c r="D4002" s="43" t="s">
        <v>1100</v>
      </c>
      <c r="E4002" s="43" t="s">
        <v>464</v>
      </c>
    </row>
    <row r="4003" spans="1:5" x14ac:dyDescent="0.25">
      <c r="A4003" s="41">
        <v>15442</v>
      </c>
      <c r="B4003" s="42" t="s">
        <v>4386</v>
      </c>
      <c r="C4003" s="43" t="s">
        <v>289</v>
      </c>
      <c r="D4003" s="43" t="s">
        <v>1100</v>
      </c>
      <c r="E4003" s="43" t="s">
        <v>464</v>
      </c>
    </row>
    <row r="4004" spans="1:5" x14ac:dyDescent="0.25">
      <c r="A4004" s="41">
        <v>15452</v>
      </c>
      <c r="B4004" s="42" t="s">
        <v>4387</v>
      </c>
      <c r="C4004" s="43" t="s">
        <v>289</v>
      </c>
      <c r="D4004" s="43" t="s">
        <v>1100</v>
      </c>
      <c r="E4004" s="43" t="s">
        <v>464</v>
      </c>
    </row>
    <row r="4005" spans="1:5" x14ac:dyDescent="0.25">
      <c r="A4005" s="41">
        <v>15462</v>
      </c>
      <c r="B4005" s="42" t="s">
        <v>4388</v>
      </c>
      <c r="C4005" s="43" t="s">
        <v>289</v>
      </c>
      <c r="D4005" s="43" t="s">
        <v>366</v>
      </c>
      <c r="E4005" s="43" t="s">
        <v>373</v>
      </c>
    </row>
    <row r="4006" spans="1:5" x14ac:dyDescent="0.25">
      <c r="A4006" s="41">
        <v>15473</v>
      </c>
      <c r="B4006" s="42" t="s">
        <v>4389</v>
      </c>
      <c r="C4006" s="43" t="s">
        <v>289</v>
      </c>
      <c r="D4006" s="43" t="s">
        <v>333</v>
      </c>
      <c r="E4006" s="43" t="s">
        <v>373</v>
      </c>
    </row>
    <row r="4007" spans="1:5" x14ac:dyDescent="0.25">
      <c r="A4007" s="41">
        <v>15474</v>
      </c>
      <c r="B4007" s="42" t="s">
        <v>4390</v>
      </c>
      <c r="C4007" s="43" t="s">
        <v>289</v>
      </c>
      <c r="D4007" s="43" t="s">
        <v>290</v>
      </c>
      <c r="E4007" s="43" t="s">
        <v>373</v>
      </c>
    </row>
    <row r="4008" spans="1:5" x14ac:dyDescent="0.25">
      <c r="A4008" s="41">
        <v>15475</v>
      </c>
      <c r="B4008" s="42" t="s">
        <v>4391</v>
      </c>
      <c r="C4008" s="43" t="s">
        <v>289</v>
      </c>
      <c r="D4008" s="43" t="s">
        <v>1100</v>
      </c>
      <c r="E4008" s="43" t="s">
        <v>230</v>
      </c>
    </row>
    <row r="4009" spans="1:5" x14ac:dyDescent="0.25">
      <c r="A4009" s="41">
        <v>15476</v>
      </c>
      <c r="B4009" s="42" t="s">
        <v>4392</v>
      </c>
      <c r="C4009" s="43" t="s">
        <v>289</v>
      </c>
      <c r="D4009" s="43" t="s">
        <v>1100</v>
      </c>
      <c r="E4009" s="43" t="s">
        <v>230</v>
      </c>
    </row>
    <row r="4010" spans="1:5" x14ac:dyDescent="0.25">
      <c r="A4010" s="41">
        <v>15491</v>
      </c>
      <c r="B4010" s="42" t="s">
        <v>4393</v>
      </c>
      <c r="C4010" s="43" t="s">
        <v>289</v>
      </c>
      <c r="D4010" s="43" t="s">
        <v>1100</v>
      </c>
      <c r="E4010" s="43" t="s">
        <v>464</v>
      </c>
    </row>
    <row r="4011" spans="1:5" x14ac:dyDescent="0.25">
      <c r="A4011" s="41">
        <v>15492</v>
      </c>
      <c r="B4011" s="42" t="s">
        <v>4394</v>
      </c>
      <c r="C4011" s="43" t="s">
        <v>289</v>
      </c>
      <c r="D4011" s="43" t="s">
        <v>1100</v>
      </c>
      <c r="E4011" s="43" t="s">
        <v>464</v>
      </c>
    </row>
    <row r="4012" spans="1:5" x14ac:dyDescent="0.25">
      <c r="A4012" s="41">
        <v>15493</v>
      </c>
      <c r="B4012" s="42" t="s">
        <v>4395</v>
      </c>
      <c r="C4012" s="43" t="s">
        <v>289</v>
      </c>
      <c r="D4012" s="43" t="s">
        <v>1100</v>
      </c>
      <c r="E4012" s="43" t="s">
        <v>464</v>
      </c>
    </row>
    <row r="4013" spans="1:5" x14ac:dyDescent="0.25">
      <c r="A4013" s="41">
        <v>15511</v>
      </c>
      <c r="B4013" s="42" t="s">
        <v>4396</v>
      </c>
      <c r="C4013" s="43" t="s">
        <v>289</v>
      </c>
      <c r="D4013" s="43" t="s">
        <v>1100</v>
      </c>
      <c r="E4013" s="43" t="s">
        <v>464</v>
      </c>
    </row>
    <row r="4014" spans="1:5" x14ac:dyDescent="0.25">
      <c r="A4014" s="41">
        <v>15514</v>
      </c>
      <c r="B4014" s="42" t="s">
        <v>4397</v>
      </c>
      <c r="C4014" s="43" t="s">
        <v>289</v>
      </c>
      <c r="D4014" s="43" t="s">
        <v>1100</v>
      </c>
      <c r="E4014" s="43" t="s">
        <v>464</v>
      </c>
    </row>
    <row r="4015" spans="1:5" x14ac:dyDescent="0.25">
      <c r="A4015" s="41">
        <v>15521</v>
      </c>
      <c r="B4015" s="42" t="s">
        <v>4398</v>
      </c>
      <c r="C4015" s="43" t="s">
        <v>289</v>
      </c>
      <c r="D4015" s="43" t="s">
        <v>290</v>
      </c>
      <c r="E4015" s="43" t="s">
        <v>230</v>
      </c>
    </row>
    <row r="4016" spans="1:5" x14ac:dyDescent="0.25">
      <c r="A4016" s="41">
        <v>15531</v>
      </c>
      <c r="B4016" s="42" t="s">
        <v>4399</v>
      </c>
      <c r="C4016" s="43" t="s">
        <v>289</v>
      </c>
      <c r="D4016" s="43" t="s">
        <v>1100</v>
      </c>
      <c r="E4016" s="43" t="s">
        <v>230</v>
      </c>
    </row>
    <row r="4017" spans="1:5" x14ac:dyDescent="0.25">
      <c r="A4017" s="41">
        <v>15532</v>
      </c>
      <c r="B4017" s="42" t="s">
        <v>4400</v>
      </c>
      <c r="C4017" s="43" t="s">
        <v>289</v>
      </c>
      <c r="D4017" s="43" t="s">
        <v>1100</v>
      </c>
      <c r="E4017" s="43" t="s">
        <v>230</v>
      </c>
    </row>
    <row r="4018" spans="1:5" x14ac:dyDescent="0.25">
      <c r="A4018" s="41">
        <v>15534</v>
      </c>
      <c r="B4018" s="42" t="s">
        <v>4401</v>
      </c>
      <c r="C4018" s="43" t="s">
        <v>289</v>
      </c>
      <c r="D4018" s="43" t="s">
        <v>1100</v>
      </c>
      <c r="E4018" s="43" t="s">
        <v>464</v>
      </c>
    </row>
    <row r="4019" spans="1:5" x14ac:dyDescent="0.25">
      <c r="A4019" s="41">
        <v>15537</v>
      </c>
      <c r="B4019" s="42" t="s">
        <v>4402</v>
      </c>
      <c r="C4019" s="43" t="s">
        <v>289</v>
      </c>
      <c r="D4019" s="43" t="s">
        <v>1100</v>
      </c>
      <c r="E4019" s="43" t="s">
        <v>230</v>
      </c>
    </row>
    <row r="4020" spans="1:5" x14ac:dyDescent="0.25">
      <c r="A4020" s="41">
        <v>15541</v>
      </c>
      <c r="B4020" s="42" t="s">
        <v>4403</v>
      </c>
      <c r="C4020" s="43" t="s">
        <v>289</v>
      </c>
      <c r="D4020" s="43" t="s">
        <v>1100</v>
      </c>
      <c r="E4020" s="43" t="s">
        <v>464</v>
      </c>
    </row>
    <row r="4021" spans="1:5" x14ac:dyDescent="0.25">
      <c r="A4021" s="41">
        <v>15542</v>
      </c>
      <c r="B4021" s="42" t="s">
        <v>4404</v>
      </c>
      <c r="C4021" s="43" t="s">
        <v>289</v>
      </c>
      <c r="D4021" s="43" t="s">
        <v>1100</v>
      </c>
      <c r="E4021" s="43" t="s">
        <v>464</v>
      </c>
    </row>
    <row r="4022" spans="1:5" x14ac:dyDescent="0.25">
      <c r="A4022" s="41">
        <v>15543</v>
      </c>
      <c r="B4022" s="42" t="s">
        <v>4405</v>
      </c>
      <c r="C4022" s="43" t="s">
        <v>289</v>
      </c>
      <c r="D4022" s="43" t="s">
        <v>1100</v>
      </c>
      <c r="E4022" s="43" t="s">
        <v>464</v>
      </c>
    </row>
    <row r="4023" spans="1:5" x14ac:dyDescent="0.25">
      <c r="A4023" s="41">
        <v>15551</v>
      </c>
      <c r="B4023" s="42" t="s">
        <v>4406</v>
      </c>
      <c r="C4023" s="43" t="s">
        <v>289</v>
      </c>
      <c r="D4023" s="43" t="s">
        <v>499</v>
      </c>
      <c r="E4023" s="43" t="s">
        <v>472</v>
      </c>
    </row>
    <row r="4024" spans="1:5" x14ac:dyDescent="0.25">
      <c r="A4024" s="41">
        <v>15563</v>
      </c>
      <c r="B4024" s="42" t="s">
        <v>4407</v>
      </c>
      <c r="C4024" s="43" t="s">
        <v>289</v>
      </c>
      <c r="D4024" s="43" t="s">
        <v>1100</v>
      </c>
      <c r="E4024" s="43" t="s">
        <v>464</v>
      </c>
    </row>
    <row r="4025" spans="1:5" x14ac:dyDescent="0.25">
      <c r="A4025" s="41">
        <v>15602</v>
      </c>
      <c r="B4025" s="42" t="s">
        <v>4408</v>
      </c>
      <c r="C4025" s="43" t="s">
        <v>289</v>
      </c>
      <c r="D4025" s="43" t="s">
        <v>1100</v>
      </c>
      <c r="E4025" s="43" t="s">
        <v>464</v>
      </c>
    </row>
    <row r="4026" spans="1:5" x14ac:dyDescent="0.25">
      <c r="A4026" s="41">
        <v>15604</v>
      </c>
      <c r="B4026" s="42" t="s">
        <v>4409</v>
      </c>
      <c r="C4026" s="43" t="s">
        <v>289</v>
      </c>
      <c r="D4026" s="43" t="s">
        <v>499</v>
      </c>
      <c r="E4026" s="43" t="s">
        <v>472</v>
      </c>
    </row>
    <row r="4027" spans="1:5" x14ac:dyDescent="0.25">
      <c r="A4027" s="41">
        <v>15611</v>
      </c>
      <c r="B4027" s="42" t="s">
        <v>4410</v>
      </c>
      <c r="C4027" s="43" t="s">
        <v>289</v>
      </c>
      <c r="D4027" s="43" t="s">
        <v>1100</v>
      </c>
      <c r="E4027" s="43" t="s">
        <v>464</v>
      </c>
    </row>
    <row r="4028" spans="1:5" x14ac:dyDescent="0.25">
      <c r="A4028" s="41">
        <v>15616</v>
      </c>
      <c r="B4028" s="42" t="s">
        <v>4411</v>
      </c>
      <c r="C4028" s="43" t="s">
        <v>289</v>
      </c>
      <c r="D4028" s="43" t="s">
        <v>316</v>
      </c>
      <c r="E4028" s="43" t="s">
        <v>336</v>
      </c>
    </row>
    <row r="4029" spans="1:5" x14ac:dyDescent="0.25">
      <c r="A4029" s="41">
        <v>15617</v>
      </c>
      <c r="B4029" s="42" t="s">
        <v>4412</v>
      </c>
      <c r="C4029" s="43" t="s">
        <v>289</v>
      </c>
      <c r="D4029" s="43" t="s">
        <v>316</v>
      </c>
      <c r="E4029" s="43" t="s">
        <v>336</v>
      </c>
    </row>
    <row r="4030" spans="1:5" x14ac:dyDescent="0.25">
      <c r="A4030" s="41">
        <v>15618</v>
      </c>
      <c r="B4030" s="42" t="s">
        <v>4413</v>
      </c>
      <c r="C4030" s="43" t="s">
        <v>289</v>
      </c>
      <c r="D4030" s="43" t="s">
        <v>316</v>
      </c>
      <c r="E4030" s="43" t="s">
        <v>336</v>
      </c>
    </row>
    <row r="4031" spans="1:5" x14ac:dyDescent="0.25">
      <c r="A4031" s="41">
        <v>15624</v>
      </c>
      <c r="B4031" s="42" t="s">
        <v>4414</v>
      </c>
      <c r="C4031" s="43" t="s">
        <v>289</v>
      </c>
      <c r="D4031" s="43" t="s">
        <v>333</v>
      </c>
      <c r="E4031" s="43" t="s">
        <v>464</v>
      </c>
    </row>
    <row r="4032" spans="1:5" x14ac:dyDescent="0.25">
      <c r="A4032" s="41">
        <v>15627</v>
      </c>
      <c r="B4032" s="42" t="s">
        <v>4415</v>
      </c>
      <c r="C4032" s="43" t="s">
        <v>289</v>
      </c>
      <c r="D4032" s="43" t="s">
        <v>333</v>
      </c>
      <c r="E4032" s="43" t="s">
        <v>170</v>
      </c>
    </row>
    <row r="4033" spans="1:5" x14ac:dyDescent="0.25">
      <c r="A4033" s="41">
        <v>15628</v>
      </c>
      <c r="B4033" s="42" t="s">
        <v>4416</v>
      </c>
      <c r="C4033" s="43" t="s">
        <v>289</v>
      </c>
      <c r="D4033" s="43" t="s">
        <v>333</v>
      </c>
      <c r="E4033" s="43" t="s">
        <v>170</v>
      </c>
    </row>
    <row r="4034" spans="1:5" x14ac:dyDescent="0.25">
      <c r="A4034" s="41">
        <v>15629</v>
      </c>
      <c r="B4034" s="42" t="s">
        <v>4417</v>
      </c>
      <c r="C4034" s="43" t="s">
        <v>289</v>
      </c>
      <c r="D4034" s="43" t="s">
        <v>333</v>
      </c>
      <c r="E4034" s="43" t="s">
        <v>436</v>
      </c>
    </row>
    <row r="4035" spans="1:5" x14ac:dyDescent="0.25">
      <c r="A4035" s="41">
        <v>15630</v>
      </c>
      <c r="B4035" s="42" t="s">
        <v>4418</v>
      </c>
      <c r="C4035" s="43" t="s">
        <v>289</v>
      </c>
      <c r="D4035" s="43" t="s">
        <v>333</v>
      </c>
      <c r="E4035" s="43" t="s">
        <v>464</v>
      </c>
    </row>
    <row r="4036" spans="1:5" x14ac:dyDescent="0.25">
      <c r="A4036" s="41">
        <v>15631</v>
      </c>
      <c r="B4036" s="42" t="s">
        <v>809</v>
      </c>
      <c r="C4036" s="43" t="s">
        <v>289</v>
      </c>
      <c r="D4036" s="43" t="s">
        <v>474</v>
      </c>
      <c r="E4036" s="43" t="s">
        <v>373</v>
      </c>
    </row>
    <row r="4037" spans="1:5" x14ac:dyDescent="0.25">
      <c r="A4037" s="41">
        <v>15632</v>
      </c>
      <c r="B4037" s="42" t="s">
        <v>4419</v>
      </c>
      <c r="C4037" s="43" t="s">
        <v>289</v>
      </c>
      <c r="D4037" s="43" t="s">
        <v>333</v>
      </c>
      <c r="E4037" s="43" t="s">
        <v>464</v>
      </c>
    </row>
    <row r="4038" spans="1:5" x14ac:dyDescent="0.25">
      <c r="A4038" s="41">
        <v>15634</v>
      </c>
      <c r="B4038" s="42" t="s">
        <v>4420</v>
      </c>
      <c r="C4038" s="43" t="s">
        <v>289</v>
      </c>
      <c r="D4038" s="43" t="s">
        <v>333</v>
      </c>
      <c r="E4038" s="43" t="s">
        <v>464</v>
      </c>
    </row>
    <row r="4039" spans="1:5" x14ac:dyDescent="0.25">
      <c r="A4039" s="41">
        <v>15636</v>
      </c>
      <c r="B4039" s="42" t="s">
        <v>4421</v>
      </c>
      <c r="C4039" s="43" t="s">
        <v>289</v>
      </c>
      <c r="D4039" s="43" t="s">
        <v>333</v>
      </c>
      <c r="E4039" s="43" t="s">
        <v>464</v>
      </c>
    </row>
    <row r="4040" spans="1:5" x14ac:dyDescent="0.25">
      <c r="A4040" s="41">
        <v>15646</v>
      </c>
      <c r="B4040" s="42" t="s">
        <v>4422</v>
      </c>
      <c r="C4040" s="43" t="s">
        <v>289</v>
      </c>
      <c r="D4040" s="43" t="s">
        <v>333</v>
      </c>
      <c r="E4040" s="43" t="s">
        <v>373</v>
      </c>
    </row>
    <row r="4041" spans="1:5" x14ac:dyDescent="0.25">
      <c r="A4041" s="41">
        <v>15649</v>
      </c>
      <c r="B4041" s="42" t="s">
        <v>4423</v>
      </c>
      <c r="C4041" s="43" t="s">
        <v>289</v>
      </c>
      <c r="D4041" s="43" t="s">
        <v>333</v>
      </c>
      <c r="E4041" s="43" t="s">
        <v>170</v>
      </c>
    </row>
    <row r="4042" spans="1:5" x14ac:dyDescent="0.25">
      <c r="A4042" s="41">
        <v>15651</v>
      </c>
      <c r="B4042" s="42" t="s">
        <v>4424</v>
      </c>
      <c r="C4042" s="43" t="s">
        <v>289</v>
      </c>
      <c r="D4042" s="43" t="s">
        <v>333</v>
      </c>
      <c r="E4042" s="43" t="s">
        <v>464</v>
      </c>
    </row>
    <row r="4043" spans="1:5" x14ac:dyDescent="0.25">
      <c r="A4043" s="41">
        <v>15661</v>
      </c>
      <c r="B4043" s="42" t="s">
        <v>4425</v>
      </c>
      <c r="C4043" s="43" t="s">
        <v>289</v>
      </c>
      <c r="D4043" s="43" t="s">
        <v>1100</v>
      </c>
      <c r="E4043" s="43" t="s">
        <v>531</v>
      </c>
    </row>
    <row r="4044" spans="1:5" x14ac:dyDescent="0.25">
      <c r="A4044" s="41">
        <v>15662</v>
      </c>
      <c r="B4044" s="42" t="s">
        <v>4426</v>
      </c>
      <c r="C4044" s="43" t="s">
        <v>289</v>
      </c>
      <c r="D4044" s="43" t="s">
        <v>1290</v>
      </c>
      <c r="E4044" s="43" t="s">
        <v>464</v>
      </c>
    </row>
    <row r="4045" spans="1:5" x14ac:dyDescent="0.25">
      <c r="A4045" s="41">
        <v>15667</v>
      </c>
      <c r="B4045" s="42" t="s">
        <v>4427</v>
      </c>
      <c r="C4045" s="43" t="s">
        <v>289</v>
      </c>
      <c r="D4045" s="43" t="s">
        <v>366</v>
      </c>
      <c r="E4045" s="43" t="s">
        <v>373</v>
      </c>
    </row>
    <row r="4046" spans="1:5" x14ac:dyDescent="0.25">
      <c r="A4046" s="41">
        <v>15676</v>
      </c>
      <c r="B4046" s="42" t="s">
        <v>4428</v>
      </c>
      <c r="C4046" s="43" t="s">
        <v>289</v>
      </c>
      <c r="D4046" s="43" t="s">
        <v>635</v>
      </c>
      <c r="E4046" s="43" t="s">
        <v>464</v>
      </c>
    </row>
    <row r="4047" spans="1:5" x14ac:dyDescent="0.25">
      <c r="A4047" s="41">
        <v>15691</v>
      </c>
      <c r="B4047" s="42" t="s">
        <v>4429</v>
      </c>
      <c r="C4047" s="43" t="s">
        <v>289</v>
      </c>
      <c r="D4047" s="43" t="s">
        <v>1100</v>
      </c>
      <c r="E4047" s="43" t="s">
        <v>170</v>
      </c>
    </row>
    <row r="4048" spans="1:5" x14ac:dyDescent="0.25">
      <c r="A4048" s="41">
        <v>15692</v>
      </c>
      <c r="B4048" s="42" t="s">
        <v>4430</v>
      </c>
      <c r="C4048" s="43" t="s">
        <v>289</v>
      </c>
      <c r="D4048" s="43" t="s">
        <v>314</v>
      </c>
      <c r="E4048" s="43" t="s">
        <v>464</v>
      </c>
    </row>
    <row r="4049" spans="1:5" x14ac:dyDescent="0.25">
      <c r="A4049" s="41">
        <v>15696</v>
      </c>
      <c r="B4049" s="42" t="s">
        <v>4431</v>
      </c>
      <c r="C4049" s="43" t="s">
        <v>289</v>
      </c>
      <c r="D4049" s="43" t="s">
        <v>635</v>
      </c>
      <c r="E4049" s="43" t="s">
        <v>464</v>
      </c>
    </row>
    <row r="4050" spans="1:5" x14ac:dyDescent="0.25">
      <c r="A4050" s="41">
        <v>15703</v>
      </c>
      <c r="B4050" s="42" t="s">
        <v>4432</v>
      </c>
      <c r="C4050" s="43" t="s">
        <v>289</v>
      </c>
      <c r="D4050" s="43" t="s">
        <v>1100</v>
      </c>
      <c r="E4050" s="43" t="s">
        <v>464</v>
      </c>
    </row>
    <row r="4051" spans="1:5" x14ac:dyDescent="0.25">
      <c r="A4051" s="41">
        <v>15704</v>
      </c>
      <c r="B4051" s="42" t="s">
        <v>4433</v>
      </c>
      <c r="C4051" s="43" t="s">
        <v>289</v>
      </c>
      <c r="D4051" s="43" t="s">
        <v>1100</v>
      </c>
      <c r="E4051" s="43" t="s">
        <v>464</v>
      </c>
    </row>
    <row r="4052" spans="1:5" x14ac:dyDescent="0.25">
      <c r="A4052" s="41">
        <v>15713</v>
      </c>
      <c r="B4052" s="42" t="s">
        <v>4434</v>
      </c>
      <c r="C4052" s="43" t="s">
        <v>289</v>
      </c>
      <c r="D4052" s="43" t="s">
        <v>1100</v>
      </c>
      <c r="E4052" s="43" t="s">
        <v>464</v>
      </c>
    </row>
    <row r="4053" spans="1:5" x14ac:dyDescent="0.25">
      <c r="A4053" s="41">
        <v>15736</v>
      </c>
      <c r="B4053" s="42" t="s">
        <v>4435</v>
      </c>
      <c r="C4053" s="43" t="s">
        <v>289</v>
      </c>
      <c r="D4053" s="43" t="s">
        <v>499</v>
      </c>
      <c r="E4053" s="43" t="s">
        <v>472</v>
      </c>
    </row>
    <row r="4054" spans="1:5" x14ac:dyDescent="0.25">
      <c r="A4054" s="41">
        <v>15739</v>
      </c>
      <c r="B4054" s="42" t="s">
        <v>4436</v>
      </c>
      <c r="C4054" s="43" t="s">
        <v>289</v>
      </c>
      <c r="D4054" s="43" t="s">
        <v>333</v>
      </c>
      <c r="E4054" s="43" t="s">
        <v>464</v>
      </c>
    </row>
    <row r="4055" spans="1:5" x14ac:dyDescent="0.25">
      <c r="A4055" s="41">
        <v>15742</v>
      </c>
      <c r="B4055" s="42" t="s">
        <v>4437</v>
      </c>
      <c r="C4055" s="43" t="s">
        <v>289</v>
      </c>
      <c r="D4055" s="43" t="s">
        <v>333</v>
      </c>
      <c r="E4055" s="43" t="s">
        <v>170</v>
      </c>
    </row>
    <row r="4056" spans="1:5" x14ac:dyDescent="0.25">
      <c r="A4056" s="41">
        <v>15756</v>
      </c>
      <c r="B4056" s="42" t="s">
        <v>4438</v>
      </c>
      <c r="C4056" s="43" t="s">
        <v>289</v>
      </c>
      <c r="D4056" s="43" t="s">
        <v>333</v>
      </c>
      <c r="E4056" s="43" t="s">
        <v>373</v>
      </c>
    </row>
    <row r="4057" spans="1:5" x14ac:dyDescent="0.25">
      <c r="A4057" s="41">
        <v>15759</v>
      </c>
      <c r="B4057" s="42" t="s">
        <v>4439</v>
      </c>
      <c r="C4057" s="43" t="s">
        <v>289</v>
      </c>
      <c r="D4057" s="43" t="s">
        <v>333</v>
      </c>
      <c r="E4057" s="43" t="s">
        <v>464</v>
      </c>
    </row>
    <row r="4058" spans="1:5" x14ac:dyDescent="0.25">
      <c r="A4058" s="41">
        <v>15766</v>
      </c>
      <c r="B4058" s="42" t="s">
        <v>4440</v>
      </c>
      <c r="C4058" s="43" t="s">
        <v>289</v>
      </c>
      <c r="D4058" s="43" t="s">
        <v>333</v>
      </c>
      <c r="E4058" s="43" t="s">
        <v>464</v>
      </c>
    </row>
    <row r="4059" spans="1:5" x14ac:dyDescent="0.25">
      <c r="A4059" s="41">
        <v>15767</v>
      </c>
      <c r="B4059" s="42" t="s">
        <v>4441</v>
      </c>
      <c r="C4059" s="43" t="s">
        <v>289</v>
      </c>
      <c r="D4059" s="43" t="s">
        <v>333</v>
      </c>
      <c r="E4059" s="43" t="s">
        <v>531</v>
      </c>
    </row>
    <row r="4060" spans="1:5" x14ac:dyDescent="0.25">
      <c r="A4060" s="41">
        <v>15771</v>
      </c>
      <c r="B4060" s="42" t="s">
        <v>4442</v>
      </c>
      <c r="C4060" s="43" t="s">
        <v>289</v>
      </c>
      <c r="D4060" s="43" t="s">
        <v>635</v>
      </c>
      <c r="E4060" s="43" t="s">
        <v>464</v>
      </c>
    </row>
    <row r="4061" spans="1:5" x14ac:dyDescent="0.25">
      <c r="A4061" s="41">
        <v>15772</v>
      </c>
      <c r="B4061" s="42" t="s">
        <v>4443</v>
      </c>
      <c r="C4061" s="43" t="s">
        <v>289</v>
      </c>
      <c r="D4061" s="43" t="s">
        <v>1100</v>
      </c>
      <c r="E4061" s="43" t="s">
        <v>464</v>
      </c>
    </row>
    <row r="4062" spans="1:5" x14ac:dyDescent="0.25">
      <c r="A4062" s="41">
        <v>15781</v>
      </c>
      <c r="B4062" s="42" t="s">
        <v>4444</v>
      </c>
      <c r="C4062" s="43" t="s">
        <v>289</v>
      </c>
      <c r="D4062" s="43" t="s">
        <v>1100</v>
      </c>
      <c r="E4062" s="43" t="s">
        <v>230</v>
      </c>
    </row>
    <row r="4063" spans="1:5" x14ac:dyDescent="0.25">
      <c r="A4063" s="41">
        <v>15784</v>
      </c>
      <c r="B4063" s="42" t="s">
        <v>4445</v>
      </c>
      <c r="C4063" s="43" t="s">
        <v>289</v>
      </c>
      <c r="D4063" s="43" t="s">
        <v>1112</v>
      </c>
      <c r="E4063" s="43" t="s">
        <v>464</v>
      </c>
    </row>
    <row r="4064" spans="1:5" x14ac:dyDescent="0.25">
      <c r="A4064" s="41">
        <v>15787</v>
      </c>
      <c r="B4064" s="42" t="s">
        <v>4446</v>
      </c>
      <c r="C4064" s="43" t="s">
        <v>289</v>
      </c>
      <c r="D4064" s="43" t="s">
        <v>1112</v>
      </c>
      <c r="E4064" s="43" t="s">
        <v>464</v>
      </c>
    </row>
    <row r="4065" spans="1:5" x14ac:dyDescent="0.25">
      <c r="A4065" s="41">
        <v>15790</v>
      </c>
      <c r="B4065" s="42" t="s">
        <v>4447</v>
      </c>
      <c r="C4065" s="43" t="s">
        <v>289</v>
      </c>
      <c r="D4065" s="43" t="s">
        <v>1112</v>
      </c>
      <c r="E4065" s="43" t="s">
        <v>464</v>
      </c>
    </row>
    <row r="4066" spans="1:5" x14ac:dyDescent="0.25">
      <c r="A4066" s="41">
        <v>15794</v>
      </c>
      <c r="B4066" s="42" t="s">
        <v>4448</v>
      </c>
      <c r="C4066" s="43" t="s">
        <v>289</v>
      </c>
      <c r="D4066" s="43" t="s">
        <v>1100</v>
      </c>
      <c r="E4066" s="43" t="s">
        <v>464</v>
      </c>
    </row>
    <row r="4067" spans="1:5" x14ac:dyDescent="0.25">
      <c r="A4067" s="41">
        <v>15795</v>
      </c>
      <c r="B4067" s="42" t="s">
        <v>4449</v>
      </c>
      <c r="C4067" s="43" t="s">
        <v>289</v>
      </c>
      <c r="D4067" s="43" t="s">
        <v>1100</v>
      </c>
      <c r="E4067" s="43" t="s">
        <v>464</v>
      </c>
    </row>
    <row r="4068" spans="1:5" x14ac:dyDescent="0.25">
      <c r="A4068" s="41">
        <v>15796</v>
      </c>
      <c r="B4068" s="42" t="s">
        <v>4450</v>
      </c>
      <c r="C4068" s="43" t="s">
        <v>289</v>
      </c>
      <c r="D4068" s="43" t="s">
        <v>1100</v>
      </c>
      <c r="E4068" s="43" t="s">
        <v>230</v>
      </c>
    </row>
    <row r="4069" spans="1:5" x14ac:dyDescent="0.25">
      <c r="A4069" s="41">
        <v>15802</v>
      </c>
      <c r="B4069" s="42" t="s">
        <v>4451</v>
      </c>
      <c r="C4069" s="43" t="s">
        <v>289</v>
      </c>
      <c r="D4069" s="43" t="s">
        <v>1100</v>
      </c>
      <c r="E4069" s="43" t="s">
        <v>230</v>
      </c>
    </row>
    <row r="4070" spans="1:5" x14ac:dyDescent="0.25">
      <c r="A4070" s="41">
        <v>15821</v>
      </c>
      <c r="B4070" s="42" t="s">
        <v>4452</v>
      </c>
      <c r="C4070" s="43" t="s">
        <v>289</v>
      </c>
      <c r="D4070" s="43" t="s">
        <v>1100</v>
      </c>
      <c r="E4070" s="43" t="s">
        <v>230</v>
      </c>
    </row>
    <row r="4071" spans="1:5" x14ac:dyDescent="0.25">
      <c r="A4071" s="41">
        <v>15822</v>
      </c>
      <c r="B4071" s="42" t="s">
        <v>4453</v>
      </c>
      <c r="C4071" s="43" t="s">
        <v>289</v>
      </c>
      <c r="D4071" s="43" t="s">
        <v>1100</v>
      </c>
      <c r="E4071" s="43" t="s">
        <v>230</v>
      </c>
    </row>
    <row r="4072" spans="1:5" x14ac:dyDescent="0.25">
      <c r="A4072" s="41">
        <v>15823</v>
      </c>
      <c r="B4072" s="42" t="s">
        <v>4454</v>
      </c>
      <c r="C4072" s="43" t="s">
        <v>289</v>
      </c>
      <c r="D4072" s="43" t="s">
        <v>635</v>
      </c>
      <c r="E4072" s="43" t="s">
        <v>464</v>
      </c>
    </row>
    <row r="4073" spans="1:5" x14ac:dyDescent="0.25">
      <c r="A4073" s="41">
        <v>15824</v>
      </c>
      <c r="B4073" s="42" t="s">
        <v>4455</v>
      </c>
      <c r="C4073" s="43" t="s">
        <v>289</v>
      </c>
      <c r="D4073" s="43" t="s">
        <v>635</v>
      </c>
      <c r="E4073" s="43" t="s">
        <v>464</v>
      </c>
    </row>
    <row r="4074" spans="1:5" x14ac:dyDescent="0.25">
      <c r="A4074" s="41">
        <v>15825</v>
      </c>
      <c r="B4074" s="42" t="s">
        <v>4456</v>
      </c>
      <c r="C4074" s="43" t="s">
        <v>289</v>
      </c>
      <c r="D4074" s="43" t="s">
        <v>635</v>
      </c>
      <c r="E4074" s="43" t="s">
        <v>464</v>
      </c>
    </row>
    <row r="4075" spans="1:5" x14ac:dyDescent="0.25">
      <c r="A4075" s="41">
        <v>15827</v>
      </c>
      <c r="B4075" s="42" t="s">
        <v>4457</v>
      </c>
      <c r="C4075" s="43" t="s">
        <v>289</v>
      </c>
      <c r="D4075" s="43" t="s">
        <v>316</v>
      </c>
      <c r="E4075" s="43" t="s">
        <v>230</v>
      </c>
    </row>
    <row r="4076" spans="1:5" x14ac:dyDescent="0.25">
      <c r="A4076" s="41">
        <v>15828</v>
      </c>
      <c r="B4076" s="42" t="s">
        <v>4458</v>
      </c>
      <c r="C4076" s="43" t="s">
        <v>289</v>
      </c>
      <c r="D4076" s="43" t="s">
        <v>316</v>
      </c>
      <c r="E4076" s="43" t="s">
        <v>230</v>
      </c>
    </row>
    <row r="4077" spans="1:5" x14ac:dyDescent="0.25">
      <c r="A4077" s="41">
        <v>15830</v>
      </c>
      <c r="B4077" s="42" t="s">
        <v>4459</v>
      </c>
      <c r="C4077" s="43" t="s">
        <v>289</v>
      </c>
      <c r="D4077" s="43" t="s">
        <v>327</v>
      </c>
      <c r="E4077" s="43" t="s">
        <v>230</v>
      </c>
    </row>
    <row r="4078" spans="1:5" x14ac:dyDescent="0.25">
      <c r="A4078" s="41">
        <v>15835</v>
      </c>
      <c r="B4078" s="42" t="s">
        <v>4460</v>
      </c>
      <c r="C4078" s="43" t="s">
        <v>289</v>
      </c>
      <c r="D4078" s="43" t="s">
        <v>635</v>
      </c>
      <c r="E4078" s="43" t="s">
        <v>230</v>
      </c>
    </row>
    <row r="4079" spans="1:5" x14ac:dyDescent="0.25">
      <c r="A4079" s="41">
        <v>15846</v>
      </c>
      <c r="B4079" s="42" t="s">
        <v>4461</v>
      </c>
      <c r="C4079" s="43" t="s">
        <v>289</v>
      </c>
      <c r="D4079" s="43" t="s">
        <v>316</v>
      </c>
      <c r="E4079" s="43" t="s">
        <v>230</v>
      </c>
    </row>
    <row r="4080" spans="1:5" x14ac:dyDescent="0.25">
      <c r="A4080" s="41">
        <v>15852</v>
      </c>
      <c r="B4080" s="42" t="s">
        <v>4462</v>
      </c>
      <c r="C4080" s="43" t="s">
        <v>289</v>
      </c>
      <c r="D4080" s="43" t="s">
        <v>290</v>
      </c>
      <c r="E4080" s="43" t="s">
        <v>230</v>
      </c>
    </row>
    <row r="4081" spans="1:5" x14ac:dyDescent="0.25">
      <c r="A4081" s="41">
        <v>15871</v>
      </c>
      <c r="B4081" s="42" t="s">
        <v>4463</v>
      </c>
      <c r="C4081" s="43" t="s">
        <v>289</v>
      </c>
      <c r="D4081" s="43" t="s">
        <v>1100</v>
      </c>
      <c r="E4081" s="43" t="s">
        <v>230</v>
      </c>
    </row>
    <row r="4082" spans="1:5" x14ac:dyDescent="0.25">
      <c r="A4082" s="41">
        <v>15882</v>
      </c>
      <c r="B4082" s="42" t="s">
        <v>4464</v>
      </c>
      <c r="C4082" s="43" t="s">
        <v>289</v>
      </c>
      <c r="D4082" s="43" t="s">
        <v>1112</v>
      </c>
      <c r="E4082" s="43" t="s">
        <v>230</v>
      </c>
    </row>
    <row r="4083" spans="1:5" x14ac:dyDescent="0.25">
      <c r="A4083" s="41">
        <v>15883</v>
      </c>
      <c r="B4083" s="42" t="s">
        <v>4465</v>
      </c>
      <c r="C4083" s="43" t="s">
        <v>289</v>
      </c>
      <c r="D4083" s="43" t="s">
        <v>941</v>
      </c>
      <c r="E4083" s="43" t="s">
        <v>373</v>
      </c>
    </row>
    <row r="4084" spans="1:5" x14ac:dyDescent="0.25">
      <c r="A4084" s="41">
        <v>15887</v>
      </c>
      <c r="B4084" s="42" t="s">
        <v>4466</v>
      </c>
      <c r="C4084" s="43" t="s">
        <v>289</v>
      </c>
      <c r="D4084" s="43" t="s">
        <v>327</v>
      </c>
      <c r="E4084" s="43" t="s">
        <v>769</v>
      </c>
    </row>
    <row r="4085" spans="1:5" x14ac:dyDescent="0.25">
      <c r="A4085" s="41">
        <v>15893</v>
      </c>
      <c r="B4085" s="42" t="s">
        <v>4467</v>
      </c>
      <c r="C4085" s="43" t="s">
        <v>289</v>
      </c>
      <c r="D4085" s="43" t="s">
        <v>795</v>
      </c>
      <c r="E4085" s="43" t="s">
        <v>170</v>
      </c>
    </row>
    <row r="4086" spans="1:5" x14ac:dyDescent="0.25">
      <c r="A4086" s="41">
        <v>15894</v>
      </c>
      <c r="B4086" s="42" t="s">
        <v>4468</v>
      </c>
      <c r="C4086" s="43" t="s">
        <v>289</v>
      </c>
      <c r="D4086" s="43" t="s">
        <v>795</v>
      </c>
      <c r="E4086" s="43" t="s">
        <v>170</v>
      </c>
    </row>
    <row r="4087" spans="1:5" x14ac:dyDescent="0.25">
      <c r="A4087" s="41">
        <v>15896</v>
      </c>
      <c r="B4087" s="42" t="s">
        <v>4469</v>
      </c>
      <c r="C4087" s="43" t="s">
        <v>289</v>
      </c>
      <c r="D4087" s="43" t="s">
        <v>795</v>
      </c>
      <c r="E4087" s="43" t="s">
        <v>170</v>
      </c>
    </row>
    <row r="4088" spans="1:5" x14ac:dyDescent="0.25">
      <c r="A4088" s="41">
        <v>15897</v>
      </c>
      <c r="B4088" s="42" t="s">
        <v>4470</v>
      </c>
      <c r="C4088" s="43" t="s">
        <v>289</v>
      </c>
      <c r="D4088" s="43" t="s">
        <v>795</v>
      </c>
      <c r="E4088" s="43" t="s">
        <v>230</v>
      </c>
    </row>
    <row r="4089" spans="1:5" x14ac:dyDescent="0.25">
      <c r="A4089" s="41">
        <v>15915</v>
      </c>
      <c r="B4089" s="42" t="s">
        <v>4471</v>
      </c>
      <c r="C4089" s="43" t="s">
        <v>289</v>
      </c>
      <c r="D4089" s="43" t="s">
        <v>327</v>
      </c>
      <c r="E4089" s="43" t="s">
        <v>464</v>
      </c>
    </row>
    <row r="4090" spans="1:5" x14ac:dyDescent="0.25">
      <c r="A4090" s="41">
        <v>15923</v>
      </c>
      <c r="B4090" s="42" t="s">
        <v>4472</v>
      </c>
      <c r="C4090" s="43" t="s">
        <v>289</v>
      </c>
      <c r="D4090" s="43" t="s">
        <v>316</v>
      </c>
      <c r="E4090" s="43" t="s">
        <v>230</v>
      </c>
    </row>
    <row r="4091" spans="1:5" x14ac:dyDescent="0.25">
      <c r="A4091" s="41">
        <v>15932</v>
      </c>
      <c r="B4091" s="42" t="s">
        <v>4473</v>
      </c>
      <c r="C4091" s="43" t="s">
        <v>289</v>
      </c>
      <c r="D4091" s="43" t="s">
        <v>410</v>
      </c>
      <c r="E4091" s="43" t="s">
        <v>464</v>
      </c>
    </row>
    <row r="4092" spans="1:5" x14ac:dyDescent="0.25">
      <c r="A4092" s="41">
        <v>15933</v>
      </c>
      <c r="B4092" s="42" t="s">
        <v>4474</v>
      </c>
      <c r="C4092" s="43" t="s">
        <v>289</v>
      </c>
      <c r="D4092" s="43" t="s">
        <v>314</v>
      </c>
      <c r="E4092" s="43" t="s">
        <v>230</v>
      </c>
    </row>
    <row r="4093" spans="1:5" x14ac:dyDescent="0.25">
      <c r="A4093" s="41">
        <v>15962</v>
      </c>
      <c r="B4093" s="42" t="s">
        <v>4475</v>
      </c>
      <c r="C4093" s="43" t="s">
        <v>289</v>
      </c>
      <c r="D4093" s="43" t="s">
        <v>333</v>
      </c>
      <c r="E4093" s="43" t="s">
        <v>230</v>
      </c>
    </row>
    <row r="4094" spans="1:5" x14ac:dyDescent="0.25">
      <c r="A4094" s="41">
        <v>15964</v>
      </c>
      <c r="B4094" s="42" t="s">
        <v>4476</v>
      </c>
      <c r="C4094" s="43" t="s">
        <v>289</v>
      </c>
      <c r="D4094" s="43" t="s">
        <v>1112</v>
      </c>
      <c r="E4094" s="43" t="s">
        <v>464</v>
      </c>
    </row>
    <row r="4095" spans="1:5" x14ac:dyDescent="0.25">
      <c r="A4095" s="41">
        <v>15966</v>
      </c>
      <c r="B4095" s="42" t="s">
        <v>4477</v>
      </c>
      <c r="C4095" s="43" t="s">
        <v>289</v>
      </c>
      <c r="D4095" s="43" t="s">
        <v>1112</v>
      </c>
      <c r="E4095" s="43" t="s">
        <v>464</v>
      </c>
    </row>
    <row r="4096" spans="1:5" x14ac:dyDescent="0.25">
      <c r="A4096" s="41">
        <v>15968</v>
      </c>
      <c r="B4096" s="42" t="s">
        <v>4478</v>
      </c>
      <c r="C4096" s="43" t="s">
        <v>289</v>
      </c>
      <c r="D4096" s="43" t="s">
        <v>1112</v>
      </c>
      <c r="E4096" s="43" t="s">
        <v>464</v>
      </c>
    </row>
    <row r="4097" spans="1:5" x14ac:dyDescent="0.25">
      <c r="A4097" s="41">
        <v>15969</v>
      </c>
      <c r="B4097" s="42" t="s">
        <v>4479</v>
      </c>
      <c r="C4097" s="43" t="s">
        <v>289</v>
      </c>
      <c r="D4097" s="43" t="s">
        <v>1112</v>
      </c>
      <c r="E4097" s="43" t="s">
        <v>230</v>
      </c>
    </row>
    <row r="4098" spans="1:5" x14ac:dyDescent="0.25">
      <c r="A4098" s="41">
        <v>15983</v>
      </c>
      <c r="B4098" s="42" t="s">
        <v>4480</v>
      </c>
      <c r="C4098" s="43" t="s">
        <v>289</v>
      </c>
      <c r="D4098" s="43" t="s">
        <v>1100</v>
      </c>
      <c r="E4098" s="43" t="s">
        <v>230</v>
      </c>
    </row>
    <row r="4099" spans="1:5" x14ac:dyDescent="0.25">
      <c r="A4099" s="41">
        <v>15996</v>
      </c>
      <c r="B4099" s="42" t="s">
        <v>4481</v>
      </c>
      <c r="C4099" s="43" t="s">
        <v>289</v>
      </c>
      <c r="D4099" s="43" t="s">
        <v>3754</v>
      </c>
      <c r="E4099" s="43" t="s">
        <v>230</v>
      </c>
    </row>
    <row r="4100" spans="1:5" x14ac:dyDescent="0.25">
      <c r="A4100" s="41">
        <v>15997</v>
      </c>
      <c r="B4100" s="42" t="s">
        <v>4482</v>
      </c>
      <c r="C4100" s="43" t="s">
        <v>289</v>
      </c>
      <c r="D4100" s="43" t="s">
        <v>3754</v>
      </c>
      <c r="E4100" s="43" t="s">
        <v>230</v>
      </c>
    </row>
    <row r="4101" spans="1:5" x14ac:dyDescent="0.25">
      <c r="A4101" s="41">
        <v>16002</v>
      </c>
      <c r="B4101" s="42" t="s">
        <v>4483</v>
      </c>
      <c r="C4101" s="43" t="s">
        <v>289</v>
      </c>
      <c r="D4101" s="43" t="s">
        <v>433</v>
      </c>
      <c r="E4101" s="43" t="s">
        <v>464</v>
      </c>
    </row>
    <row r="4102" spans="1:5" x14ac:dyDescent="0.25">
      <c r="A4102" s="41">
        <v>16011</v>
      </c>
      <c r="B4102" s="42" t="s">
        <v>4484</v>
      </c>
      <c r="C4102" s="43" t="s">
        <v>289</v>
      </c>
      <c r="D4102" s="43" t="s">
        <v>499</v>
      </c>
      <c r="E4102" s="43" t="s">
        <v>472</v>
      </c>
    </row>
    <row r="4103" spans="1:5" x14ac:dyDescent="0.25">
      <c r="A4103" s="41">
        <v>16014</v>
      </c>
      <c r="B4103" s="42" t="s">
        <v>4485</v>
      </c>
      <c r="C4103" s="43" t="s">
        <v>289</v>
      </c>
      <c r="D4103" s="43" t="s">
        <v>333</v>
      </c>
      <c r="E4103" s="43" t="s">
        <v>717</v>
      </c>
    </row>
    <row r="4104" spans="1:5" x14ac:dyDescent="0.25">
      <c r="A4104" s="41">
        <v>16015</v>
      </c>
      <c r="B4104" s="42" t="s">
        <v>4486</v>
      </c>
      <c r="C4104" s="43" t="s">
        <v>289</v>
      </c>
      <c r="D4104" s="43" t="s">
        <v>314</v>
      </c>
      <c r="E4104" s="43" t="s">
        <v>230</v>
      </c>
    </row>
    <row r="4105" spans="1:5" x14ac:dyDescent="0.25">
      <c r="A4105" s="41">
        <v>16025</v>
      </c>
      <c r="B4105" s="42" t="s">
        <v>4487</v>
      </c>
      <c r="C4105" s="43" t="s">
        <v>289</v>
      </c>
      <c r="D4105" s="43" t="s">
        <v>1100</v>
      </c>
      <c r="E4105" s="43" t="s">
        <v>230</v>
      </c>
    </row>
    <row r="4106" spans="1:5" x14ac:dyDescent="0.25">
      <c r="A4106" s="41">
        <v>16045</v>
      </c>
      <c r="B4106" s="42" t="s">
        <v>4488</v>
      </c>
      <c r="C4106" s="43" t="s">
        <v>289</v>
      </c>
      <c r="D4106" s="43" t="s">
        <v>499</v>
      </c>
      <c r="E4106" s="43" t="s">
        <v>336</v>
      </c>
    </row>
    <row r="4107" spans="1:5" x14ac:dyDescent="0.25">
      <c r="A4107" s="41">
        <v>16072</v>
      </c>
      <c r="B4107" s="42" t="s">
        <v>4489</v>
      </c>
      <c r="C4107" s="43" t="s">
        <v>289</v>
      </c>
      <c r="D4107" s="43" t="s">
        <v>474</v>
      </c>
      <c r="E4107" s="43" t="s">
        <v>1093</v>
      </c>
    </row>
    <row r="4108" spans="1:5" x14ac:dyDescent="0.25">
      <c r="A4108" s="41">
        <v>16073</v>
      </c>
      <c r="B4108" s="42" t="s">
        <v>4490</v>
      </c>
      <c r="C4108" s="43" t="s">
        <v>289</v>
      </c>
      <c r="D4108" s="43" t="s">
        <v>474</v>
      </c>
      <c r="E4108" s="43" t="s">
        <v>217</v>
      </c>
    </row>
    <row r="4109" spans="1:5" x14ac:dyDescent="0.25">
      <c r="A4109" s="41">
        <v>16075</v>
      </c>
      <c r="B4109" s="42" t="s">
        <v>4491</v>
      </c>
      <c r="C4109" s="43" t="s">
        <v>289</v>
      </c>
      <c r="D4109" s="43" t="s">
        <v>474</v>
      </c>
      <c r="E4109" s="43" t="s">
        <v>217</v>
      </c>
    </row>
    <row r="4110" spans="1:5" x14ac:dyDescent="0.25">
      <c r="A4110" s="41">
        <v>16076</v>
      </c>
      <c r="B4110" s="42" t="s">
        <v>4492</v>
      </c>
      <c r="C4110" s="43" t="s">
        <v>289</v>
      </c>
      <c r="D4110" s="43" t="s">
        <v>474</v>
      </c>
      <c r="E4110" s="43" t="s">
        <v>217</v>
      </c>
    </row>
    <row r="4111" spans="1:5" x14ac:dyDescent="0.25">
      <c r="A4111" s="41">
        <v>16078</v>
      </c>
      <c r="B4111" s="42" t="s">
        <v>4493</v>
      </c>
      <c r="C4111" s="43" t="s">
        <v>289</v>
      </c>
      <c r="D4111" s="43" t="s">
        <v>474</v>
      </c>
      <c r="E4111" s="43" t="s">
        <v>217</v>
      </c>
    </row>
    <row r="4112" spans="1:5" x14ac:dyDescent="0.25">
      <c r="A4112" s="41">
        <v>16080</v>
      </c>
      <c r="B4112" s="42" t="s">
        <v>4494</v>
      </c>
      <c r="C4112" s="43" t="s">
        <v>289</v>
      </c>
      <c r="D4112" s="43" t="s">
        <v>474</v>
      </c>
      <c r="E4112" s="43" t="s">
        <v>217</v>
      </c>
    </row>
    <row r="4113" spans="1:5" x14ac:dyDescent="0.25">
      <c r="A4113" s="41">
        <v>16081</v>
      </c>
      <c r="B4113" s="42" t="s">
        <v>4495</v>
      </c>
      <c r="C4113" s="43" t="s">
        <v>289</v>
      </c>
      <c r="D4113" s="43" t="s">
        <v>474</v>
      </c>
      <c r="E4113" s="43" t="s">
        <v>217</v>
      </c>
    </row>
    <row r="4114" spans="1:5" x14ac:dyDescent="0.25">
      <c r="A4114" s="41">
        <v>16083</v>
      </c>
      <c r="B4114" s="42" t="s">
        <v>4496</v>
      </c>
      <c r="C4114" s="43" t="s">
        <v>289</v>
      </c>
      <c r="D4114" s="43" t="s">
        <v>474</v>
      </c>
      <c r="E4114" s="43" t="s">
        <v>217</v>
      </c>
    </row>
    <row r="4115" spans="1:5" x14ac:dyDescent="0.25">
      <c r="A4115" s="41">
        <v>16090</v>
      </c>
      <c r="B4115" s="42" t="s">
        <v>4497</v>
      </c>
      <c r="C4115" s="43" t="s">
        <v>289</v>
      </c>
      <c r="D4115" s="43" t="s">
        <v>941</v>
      </c>
      <c r="E4115" s="43" t="s">
        <v>230</v>
      </c>
    </row>
    <row r="4116" spans="1:5" x14ac:dyDescent="0.25">
      <c r="A4116" s="41">
        <v>16091</v>
      </c>
      <c r="B4116" s="42" t="s">
        <v>4498</v>
      </c>
      <c r="C4116" s="43" t="s">
        <v>289</v>
      </c>
      <c r="D4116" s="43" t="s">
        <v>474</v>
      </c>
      <c r="E4116" s="43" t="s">
        <v>1093</v>
      </c>
    </row>
    <row r="4117" spans="1:5" x14ac:dyDescent="0.25">
      <c r="A4117" s="41">
        <v>16092</v>
      </c>
      <c r="B4117" s="42" t="s">
        <v>4499</v>
      </c>
      <c r="C4117" s="43" t="s">
        <v>289</v>
      </c>
      <c r="D4117" s="43" t="s">
        <v>474</v>
      </c>
      <c r="E4117" s="43" t="s">
        <v>230</v>
      </c>
    </row>
    <row r="4118" spans="1:5" x14ac:dyDescent="0.25">
      <c r="A4118" s="41">
        <v>16094</v>
      </c>
      <c r="B4118" s="42" t="s">
        <v>4500</v>
      </c>
      <c r="C4118" s="43" t="s">
        <v>289</v>
      </c>
      <c r="D4118" s="43" t="s">
        <v>499</v>
      </c>
      <c r="E4118" s="43" t="s">
        <v>472</v>
      </c>
    </row>
    <row r="4119" spans="1:5" x14ac:dyDescent="0.25">
      <c r="A4119" s="41">
        <v>16101</v>
      </c>
      <c r="B4119" s="42" t="s">
        <v>4501</v>
      </c>
      <c r="C4119" s="43" t="s">
        <v>289</v>
      </c>
      <c r="D4119" s="43" t="s">
        <v>1112</v>
      </c>
      <c r="E4119" s="43" t="s">
        <v>230</v>
      </c>
    </row>
    <row r="4120" spans="1:5" x14ac:dyDescent="0.25">
      <c r="A4120" s="41">
        <v>16102</v>
      </c>
      <c r="B4120" s="42" t="s">
        <v>4502</v>
      </c>
      <c r="C4120" s="43" t="s">
        <v>289</v>
      </c>
      <c r="D4120" s="43" t="s">
        <v>1112</v>
      </c>
      <c r="E4120" s="43" t="s">
        <v>230</v>
      </c>
    </row>
    <row r="4121" spans="1:5" x14ac:dyDescent="0.25">
      <c r="A4121" s="41">
        <v>16112</v>
      </c>
      <c r="B4121" s="42" t="s">
        <v>4503</v>
      </c>
      <c r="C4121" s="43" t="s">
        <v>289</v>
      </c>
      <c r="D4121" s="43" t="s">
        <v>996</v>
      </c>
      <c r="E4121" s="43" t="s">
        <v>464</v>
      </c>
    </row>
    <row r="4122" spans="1:5" x14ac:dyDescent="0.25">
      <c r="A4122" s="41">
        <v>16113</v>
      </c>
      <c r="B4122" s="42" t="s">
        <v>4504</v>
      </c>
      <c r="C4122" s="43" t="s">
        <v>289</v>
      </c>
      <c r="D4122" s="43" t="s">
        <v>996</v>
      </c>
      <c r="E4122" s="43" t="s">
        <v>1093</v>
      </c>
    </row>
    <row r="4123" spans="1:5" x14ac:dyDescent="0.25">
      <c r="A4123" s="41">
        <v>16114</v>
      </c>
      <c r="B4123" s="42" t="s">
        <v>4505</v>
      </c>
      <c r="C4123" s="43" t="s">
        <v>289</v>
      </c>
      <c r="D4123" s="43" t="s">
        <v>996</v>
      </c>
      <c r="E4123" s="43" t="s">
        <v>1093</v>
      </c>
    </row>
    <row r="4124" spans="1:5" x14ac:dyDescent="0.25">
      <c r="A4124" s="41">
        <v>16115</v>
      </c>
      <c r="B4124" s="42" t="s">
        <v>4506</v>
      </c>
      <c r="C4124" s="43" t="s">
        <v>289</v>
      </c>
      <c r="D4124" s="43" t="s">
        <v>996</v>
      </c>
      <c r="E4124" s="43" t="s">
        <v>170</v>
      </c>
    </row>
    <row r="4125" spans="1:5" x14ac:dyDescent="0.25">
      <c r="A4125" s="41">
        <v>16117</v>
      </c>
      <c r="B4125" s="42" t="s">
        <v>4507</v>
      </c>
      <c r="C4125" s="43" t="s">
        <v>289</v>
      </c>
      <c r="D4125" s="43" t="s">
        <v>996</v>
      </c>
      <c r="E4125" s="43" t="s">
        <v>170</v>
      </c>
    </row>
    <row r="4126" spans="1:5" x14ac:dyDescent="0.25">
      <c r="A4126" s="41">
        <v>16118</v>
      </c>
      <c r="B4126" s="42" t="s">
        <v>4508</v>
      </c>
      <c r="C4126" s="43" t="s">
        <v>289</v>
      </c>
      <c r="D4126" s="43" t="s">
        <v>996</v>
      </c>
      <c r="E4126" s="43" t="s">
        <v>170</v>
      </c>
    </row>
    <row r="4127" spans="1:5" x14ac:dyDescent="0.25">
      <c r="A4127" s="41">
        <v>16119</v>
      </c>
      <c r="B4127" s="42" t="s">
        <v>4509</v>
      </c>
      <c r="C4127" s="43" t="s">
        <v>289</v>
      </c>
      <c r="D4127" s="43" t="s">
        <v>996</v>
      </c>
      <c r="E4127" s="43" t="s">
        <v>170</v>
      </c>
    </row>
    <row r="4128" spans="1:5" x14ac:dyDescent="0.25">
      <c r="A4128" s="41">
        <v>16120</v>
      </c>
      <c r="B4128" s="42" t="s">
        <v>4510</v>
      </c>
      <c r="C4128" s="43" t="s">
        <v>289</v>
      </c>
      <c r="D4128" s="43" t="s">
        <v>996</v>
      </c>
      <c r="E4128" s="43" t="s">
        <v>170</v>
      </c>
    </row>
    <row r="4129" spans="1:5" x14ac:dyDescent="0.25">
      <c r="A4129" s="41">
        <v>16141</v>
      </c>
      <c r="B4129" s="42" t="s">
        <v>4511</v>
      </c>
      <c r="C4129" s="43" t="s">
        <v>289</v>
      </c>
      <c r="D4129" s="43" t="s">
        <v>996</v>
      </c>
      <c r="E4129" s="43" t="s">
        <v>170</v>
      </c>
    </row>
    <row r="4130" spans="1:5" x14ac:dyDescent="0.25">
      <c r="A4130" s="41">
        <v>16142</v>
      </c>
      <c r="B4130" s="42" t="s">
        <v>4512</v>
      </c>
      <c r="C4130" s="43" t="s">
        <v>289</v>
      </c>
      <c r="D4130" s="43" t="s">
        <v>996</v>
      </c>
      <c r="E4130" s="43" t="s">
        <v>170</v>
      </c>
    </row>
    <row r="4131" spans="1:5" x14ac:dyDescent="0.25">
      <c r="A4131" s="41">
        <v>16143</v>
      </c>
      <c r="B4131" s="42" t="s">
        <v>4513</v>
      </c>
      <c r="C4131" s="43" t="s">
        <v>289</v>
      </c>
      <c r="D4131" s="43" t="s">
        <v>996</v>
      </c>
      <c r="E4131" s="43" t="s">
        <v>170</v>
      </c>
    </row>
    <row r="4132" spans="1:5" x14ac:dyDescent="0.25">
      <c r="A4132" s="41">
        <v>16144</v>
      </c>
      <c r="B4132" s="42" t="s">
        <v>4514</v>
      </c>
      <c r="C4132" s="43" t="s">
        <v>289</v>
      </c>
      <c r="D4132" s="43" t="s">
        <v>996</v>
      </c>
      <c r="E4132" s="43" t="s">
        <v>531</v>
      </c>
    </row>
    <row r="4133" spans="1:5" x14ac:dyDescent="0.25">
      <c r="A4133" s="41">
        <v>16145</v>
      </c>
      <c r="B4133" s="42" t="s">
        <v>4515</v>
      </c>
      <c r="C4133" s="43" t="s">
        <v>289</v>
      </c>
      <c r="D4133" s="43" t="s">
        <v>996</v>
      </c>
      <c r="E4133" s="43" t="s">
        <v>464</v>
      </c>
    </row>
    <row r="4134" spans="1:5" x14ac:dyDescent="0.25">
      <c r="A4134" s="41">
        <v>16147</v>
      </c>
      <c r="B4134" s="42" t="s">
        <v>4516</v>
      </c>
      <c r="C4134" s="43" t="s">
        <v>289</v>
      </c>
      <c r="D4134" s="43" t="s">
        <v>996</v>
      </c>
      <c r="E4134" s="43" t="s">
        <v>464</v>
      </c>
    </row>
    <row r="4135" spans="1:5" x14ac:dyDescent="0.25">
      <c r="A4135" s="41">
        <v>16148</v>
      </c>
      <c r="B4135" s="42" t="s">
        <v>4517</v>
      </c>
      <c r="C4135" s="43" t="s">
        <v>289</v>
      </c>
      <c r="D4135" s="43" t="s">
        <v>996</v>
      </c>
      <c r="E4135" s="43" t="s">
        <v>464</v>
      </c>
    </row>
    <row r="4136" spans="1:5" x14ac:dyDescent="0.25">
      <c r="A4136" s="41">
        <v>16149</v>
      </c>
      <c r="B4136" s="42" t="s">
        <v>4518</v>
      </c>
      <c r="C4136" s="43" t="s">
        <v>289</v>
      </c>
      <c r="D4136" s="43" t="s">
        <v>996</v>
      </c>
      <c r="E4136" s="43" t="s">
        <v>230</v>
      </c>
    </row>
    <row r="4137" spans="1:5" x14ac:dyDescent="0.25">
      <c r="A4137" s="41">
        <v>16151</v>
      </c>
      <c r="B4137" s="42" t="s">
        <v>4519</v>
      </c>
      <c r="C4137" s="43" t="s">
        <v>289</v>
      </c>
      <c r="D4137" s="43" t="s">
        <v>996</v>
      </c>
      <c r="E4137" s="43" t="s">
        <v>230</v>
      </c>
    </row>
    <row r="4138" spans="1:5" x14ac:dyDescent="0.25">
      <c r="A4138" s="41">
        <v>16152</v>
      </c>
      <c r="B4138" s="42" t="s">
        <v>4520</v>
      </c>
      <c r="C4138" s="43" t="s">
        <v>289</v>
      </c>
      <c r="D4138" s="43" t="s">
        <v>314</v>
      </c>
      <c r="E4138" s="43" t="s">
        <v>230</v>
      </c>
    </row>
    <row r="4139" spans="1:5" x14ac:dyDescent="0.25">
      <c r="A4139" s="41">
        <v>16153</v>
      </c>
      <c r="B4139" s="42" t="s">
        <v>4521</v>
      </c>
      <c r="C4139" s="43" t="s">
        <v>289</v>
      </c>
      <c r="D4139" s="43" t="s">
        <v>314</v>
      </c>
      <c r="E4139" s="43" t="s">
        <v>230</v>
      </c>
    </row>
    <row r="4140" spans="1:5" x14ac:dyDescent="0.25">
      <c r="A4140" s="41">
        <v>16154</v>
      </c>
      <c r="B4140" s="42" t="s">
        <v>4522</v>
      </c>
      <c r="C4140" s="43" t="s">
        <v>289</v>
      </c>
      <c r="D4140" s="43" t="s">
        <v>314</v>
      </c>
      <c r="E4140" s="43" t="s">
        <v>230</v>
      </c>
    </row>
    <row r="4141" spans="1:5" x14ac:dyDescent="0.25">
      <c r="A4141" s="41">
        <v>16155</v>
      </c>
      <c r="B4141" s="42" t="s">
        <v>4523</v>
      </c>
      <c r="C4141" s="43" t="s">
        <v>289</v>
      </c>
      <c r="D4141" s="43" t="s">
        <v>410</v>
      </c>
      <c r="E4141" s="43" t="s">
        <v>230</v>
      </c>
    </row>
    <row r="4142" spans="1:5" x14ac:dyDescent="0.25">
      <c r="A4142" s="41">
        <v>16159</v>
      </c>
      <c r="B4142" s="42" t="s">
        <v>4524</v>
      </c>
      <c r="C4142" s="43" t="s">
        <v>289</v>
      </c>
      <c r="D4142" s="43" t="s">
        <v>316</v>
      </c>
      <c r="E4142" s="43" t="s">
        <v>454</v>
      </c>
    </row>
    <row r="4143" spans="1:5" x14ac:dyDescent="0.25">
      <c r="A4143" s="41">
        <v>16160</v>
      </c>
      <c r="B4143" s="42" t="s">
        <v>4525</v>
      </c>
      <c r="C4143" s="43" t="s">
        <v>289</v>
      </c>
      <c r="D4143" s="43" t="s">
        <v>290</v>
      </c>
      <c r="E4143" s="43" t="s">
        <v>230</v>
      </c>
    </row>
    <row r="4144" spans="1:5" x14ac:dyDescent="0.25">
      <c r="A4144" s="41">
        <v>16161</v>
      </c>
      <c r="B4144" s="42" t="s">
        <v>4526</v>
      </c>
      <c r="C4144" s="43" t="s">
        <v>289</v>
      </c>
      <c r="D4144" s="43" t="s">
        <v>290</v>
      </c>
      <c r="E4144" s="43" t="s">
        <v>230</v>
      </c>
    </row>
    <row r="4145" spans="1:5" x14ac:dyDescent="0.25">
      <c r="A4145" s="41">
        <v>16162</v>
      </c>
      <c r="B4145" s="42" t="s">
        <v>4527</v>
      </c>
      <c r="C4145" s="43" t="s">
        <v>289</v>
      </c>
      <c r="D4145" s="43" t="s">
        <v>290</v>
      </c>
      <c r="E4145" s="43" t="s">
        <v>230</v>
      </c>
    </row>
    <row r="4146" spans="1:5" x14ac:dyDescent="0.25">
      <c r="A4146" s="41">
        <v>16163</v>
      </c>
      <c r="B4146" s="42" t="s">
        <v>4528</v>
      </c>
      <c r="C4146" s="43" t="s">
        <v>289</v>
      </c>
      <c r="D4146" s="43" t="s">
        <v>290</v>
      </c>
      <c r="E4146" s="43" t="s">
        <v>230</v>
      </c>
    </row>
    <row r="4147" spans="1:5" x14ac:dyDescent="0.25">
      <c r="A4147" s="41">
        <v>16167</v>
      </c>
      <c r="B4147" s="42" t="s">
        <v>4529</v>
      </c>
      <c r="C4147" s="43" t="s">
        <v>289</v>
      </c>
      <c r="D4147" s="43" t="s">
        <v>996</v>
      </c>
      <c r="E4147" s="43" t="s">
        <v>230</v>
      </c>
    </row>
    <row r="4148" spans="1:5" x14ac:dyDescent="0.25">
      <c r="A4148" s="41">
        <v>16169</v>
      </c>
      <c r="B4148" s="42" t="s">
        <v>4530</v>
      </c>
      <c r="C4148" s="43" t="s">
        <v>289</v>
      </c>
      <c r="D4148" s="43" t="s">
        <v>996</v>
      </c>
      <c r="E4148" s="43" t="s">
        <v>230</v>
      </c>
    </row>
    <row r="4149" spans="1:5" x14ac:dyDescent="0.25">
      <c r="A4149" s="41">
        <v>16170</v>
      </c>
      <c r="B4149" s="42" t="s">
        <v>540</v>
      </c>
      <c r="C4149" s="43" t="s">
        <v>289</v>
      </c>
      <c r="D4149" s="43" t="s">
        <v>996</v>
      </c>
      <c r="E4149" s="43" t="s">
        <v>230</v>
      </c>
    </row>
    <row r="4150" spans="1:5" x14ac:dyDescent="0.25">
      <c r="A4150" s="41">
        <v>16171</v>
      </c>
      <c r="B4150" s="42" t="s">
        <v>4531</v>
      </c>
      <c r="C4150" s="43" t="s">
        <v>289</v>
      </c>
      <c r="D4150" s="43" t="s">
        <v>996</v>
      </c>
      <c r="E4150" s="43" t="s">
        <v>4532</v>
      </c>
    </row>
    <row r="4151" spans="1:5" x14ac:dyDescent="0.25">
      <c r="A4151" s="41">
        <v>16172</v>
      </c>
      <c r="B4151" s="42" t="s">
        <v>4533</v>
      </c>
      <c r="C4151" s="43" t="s">
        <v>289</v>
      </c>
      <c r="D4151" s="43" t="s">
        <v>996</v>
      </c>
      <c r="E4151" s="43" t="s">
        <v>4532</v>
      </c>
    </row>
    <row r="4152" spans="1:5" x14ac:dyDescent="0.25">
      <c r="A4152" s="41">
        <v>16175</v>
      </c>
      <c r="B4152" s="42" t="s">
        <v>4534</v>
      </c>
      <c r="C4152" s="43" t="s">
        <v>289</v>
      </c>
      <c r="D4152" s="43" t="s">
        <v>996</v>
      </c>
      <c r="E4152" s="43" t="s">
        <v>436</v>
      </c>
    </row>
    <row r="4153" spans="1:5" x14ac:dyDescent="0.25">
      <c r="A4153" s="41">
        <v>16176</v>
      </c>
      <c r="B4153" s="42" t="s">
        <v>4535</v>
      </c>
      <c r="C4153" s="43" t="s">
        <v>289</v>
      </c>
      <c r="D4153" s="43" t="s">
        <v>996</v>
      </c>
      <c r="E4153" s="43" t="s">
        <v>4532</v>
      </c>
    </row>
    <row r="4154" spans="1:5" x14ac:dyDescent="0.25">
      <c r="A4154" s="41">
        <v>16177</v>
      </c>
      <c r="B4154" s="42" t="s">
        <v>4536</v>
      </c>
      <c r="C4154" s="43" t="s">
        <v>289</v>
      </c>
      <c r="D4154" s="43" t="s">
        <v>996</v>
      </c>
      <c r="E4154" s="43" t="s">
        <v>4532</v>
      </c>
    </row>
    <row r="4155" spans="1:5" x14ac:dyDescent="0.25">
      <c r="A4155" s="41">
        <v>16178</v>
      </c>
      <c r="B4155" s="42" t="s">
        <v>4537</v>
      </c>
      <c r="C4155" s="43" t="s">
        <v>289</v>
      </c>
      <c r="D4155" s="43" t="s">
        <v>996</v>
      </c>
      <c r="E4155" s="43" t="s">
        <v>4532</v>
      </c>
    </row>
    <row r="4156" spans="1:5" x14ac:dyDescent="0.25">
      <c r="A4156" s="41">
        <v>16179</v>
      </c>
      <c r="B4156" s="42" t="s">
        <v>4538</v>
      </c>
      <c r="C4156" s="43" t="s">
        <v>289</v>
      </c>
      <c r="D4156" s="43" t="s">
        <v>996</v>
      </c>
      <c r="E4156" s="43" t="s">
        <v>464</v>
      </c>
    </row>
    <row r="4157" spans="1:5" x14ac:dyDescent="0.25">
      <c r="A4157" s="41">
        <v>16180</v>
      </c>
      <c r="B4157" s="42" t="s">
        <v>4539</v>
      </c>
      <c r="C4157" s="43" t="s">
        <v>289</v>
      </c>
      <c r="D4157" s="43" t="s">
        <v>996</v>
      </c>
      <c r="E4157" s="43" t="s">
        <v>464</v>
      </c>
    </row>
    <row r="4158" spans="1:5" x14ac:dyDescent="0.25">
      <c r="A4158" s="41">
        <v>16183</v>
      </c>
      <c r="B4158" s="42" t="s">
        <v>4540</v>
      </c>
      <c r="C4158" s="43" t="s">
        <v>289</v>
      </c>
      <c r="D4158" s="43" t="s">
        <v>996</v>
      </c>
      <c r="E4158" s="43" t="s">
        <v>230</v>
      </c>
    </row>
    <row r="4159" spans="1:5" x14ac:dyDescent="0.25">
      <c r="A4159" s="41">
        <v>16185</v>
      </c>
      <c r="B4159" s="42" t="s">
        <v>4541</v>
      </c>
      <c r="C4159" s="43" t="s">
        <v>289</v>
      </c>
      <c r="D4159" s="43" t="s">
        <v>996</v>
      </c>
      <c r="E4159" s="43" t="s">
        <v>769</v>
      </c>
    </row>
    <row r="4160" spans="1:5" x14ac:dyDescent="0.25">
      <c r="A4160" s="41">
        <v>16186</v>
      </c>
      <c r="B4160" s="42" t="s">
        <v>4542</v>
      </c>
      <c r="C4160" s="43" t="s">
        <v>289</v>
      </c>
      <c r="D4160" s="43" t="s">
        <v>996</v>
      </c>
      <c r="E4160" s="43" t="s">
        <v>769</v>
      </c>
    </row>
    <row r="4161" spans="1:5" x14ac:dyDescent="0.25">
      <c r="A4161" s="41">
        <v>16187</v>
      </c>
      <c r="B4161" s="42" t="s">
        <v>4543</v>
      </c>
      <c r="C4161" s="43" t="s">
        <v>289</v>
      </c>
      <c r="D4161" s="43" t="s">
        <v>996</v>
      </c>
      <c r="E4161" s="43" t="s">
        <v>769</v>
      </c>
    </row>
    <row r="4162" spans="1:5" x14ac:dyDescent="0.25">
      <c r="A4162" s="41">
        <v>16189</v>
      </c>
      <c r="B4162" s="42" t="s">
        <v>4544</v>
      </c>
      <c r="C4162" s="43" t="s">
        <v>289</v>
      </c>
      <c r="D4162" s="43" t="s">
        <v>996</v>
      </c>
      <c r="E4162" s="43" t="s">
        <v>4532</v>
      </c>
    </row>
    <row r="4163" spans="1:5" x14ac:dyDescent="0.25">
      <c r="A4163" s="41">
        <v>16190</v>
      </c>
      <c r="B4163" s="42" t="s">
        <v>4545</v>
      </c>
      <c r="C4163" s="43" t="s">
        <v>289</v>
      </c>
      <c r="D4163" s="43" t="s">
        <v>996</v>
      </c>
      <c r="E4163" s="43" t="s">
        <v>769</v>
      </c>
    </row>
    <row r="4164" spans="1:5" x14ac:dyDescent="0.25">
      <c r="A4164" s="41">
        <v>16191</v>
      </c>
      <c r="B4164" s="42" t="s">
        <v>4546</v>
      </c>
      <c r="C4164" s="43" t="s">
        <v>289</v>
      </c>
      <c r="D4164" s="43" t="s">
        <v>996</v>
      </c>
      <c r="E4164" s="43" t="s">
        <v>769</v>
      </c>
    </row>
    <row r="4165" spans="1:5" x14ac:dyDescent="0.25">
      <c r="A4165" s="41">
        <v>16194</v>
      </c>
      <c r="B4165" s="42" t="s">
        <v>4547</v>
      </c>
      <c r="C4165" s="43" t="s">
        <v>289</v>
      </c>
      <c r="D4165" s="43" t="s">
        <v>996</v>
      </c>
      <c r="E4165" s="43" t="s">
        <v>769</v>
      </c>
    </row>
    <row r="4166" spans="1:5" x14ac:dyDescent="0.25">
      <c r="A4166" s="41">
        <v>16195</v>
      </c>
      <c r="B4166" s="42" t="s">
        <v>4548</v>
      </c>
      <c r="C4166" s="43" t="s">
        <v>289</v>
      </c>
      <c r="D4166" s="43" t="s">
        <v>996</v>
      </c>
      <c r="E4166" s="43" t="s">
        <v>769</v>
      </c>
    </row>
    <row r="4167" spans="1:5" x14ac:dyDescent="0.25">
      <c r="A4167" s="41">
        <v>16198</v>
      </c>
      <c r="B4167" s="42" t="s">
        <v>4549</v>
      </c>
      <c r="C4167" s="43" t="s">
        <v>289</v>
      </c>
      <c r="D4167" s="43" t="s">
        <v>316</v>
      </c>
      <c r="E4167" s="43" t="s">
        <v>230</v>
      </c>
    </row>
    <row r="4168" spans="1:5" x14ac:dyDescent="0.25">
      <c r="A4168" s="41">
        <v>16199</v>
      </c>
      <c r="B4168" s="42" t="s">
        <v>4550</v>
      </c>
      <c r="C4168" s="43" t="s">
        <v>289</v>
      </c>
      <c r="D4168" s="43" t="s">
        <v>316</v>
      </c>
      <c r="E4168" s="43" t="s">
        <v>230</v>
      </c>
    </row>
    <row r="4169" spans="1:5" x14ac:dyDescent="0.25">
      <c r="A4169" s="41">
        <v>16200</v>
      </c>
      <c r="B4169" s="42" t="s">
        <v>4551</v>
      </c>
      <c r="C4169" s="43" t="s">
        <v>289</v>
      </c>
      <c r="D4169" s="43" t="s">
        <v>316</v>
      </c>
      <c r="E4169" s="43" t="s">
        <v>454</v>
      </c>
    </row>
    <row r="4170" spans="1:5" x14ac:dyDescent="0.25">
      <c r="A4170" s="41">
        <v>16201</v>
      </c>
      <c r="B4170" s="42" t="s">
        <v>4552</v>
      </c>
      <c r="C4170" s="43" t="s">
        <v>289</v>
      </c>
      <c r="D4170" s="43" t="s">
        <v>466</v>
      </c>
      <c r="E4170" s="43" t="s">
        <v>230</v>
      </c>
    </row>
    <row r="4171" spans="1:5" x14ac:dyDescent="0.25">
      <c r="A4171" s="41">
        <v>16203</v>
      </c>
      <c r="B4171" s="42" t="s">
        <v>4553</v>
      </c>
      <c r="C4171" s="43" t="s">
        <v>289</v>
      </c>
      <c r="D4171" s="43" t="s">
        <v>466</v>
      </c>
      <c r="E4171" s="43" t="s">
        <v>230</v>
      </c>
    </row>
    <row r="4172" spans="1:5" x14ac:dyDescent="0.25">
      <c r="A4172" s="41">
        <v>16205</v>
      </c>
      <c r="B4172" s="42" t="s">
        <v>4554</v>
      </c>
      <c r="C4172" s="43" t="s">
        <v>289</v>
      </c>
      <c r="D4172" s="43" t="s">
        <v>466</v>
      </c>
      <c r="E4172" s="43" t="s">
        <v>230</v>
      </c>
    </row>
    <row r="4173" spans="1:5" x14ac:dyDescent="0.25">
      <c r="A4173" s="41">
        <v>16206</v>
      </c>
      <c r="B4173" s="42" t="s">
        <v>4555</v>
      </c>
      <c r="C4173" s="43" t="s">
        <v>289</v>
      </c>
      <c r="D4173" s="43" t="s">
        <v>466</v>
      </c>
      <c r="E4173" s="43" t="s">
        <v>230</v>
      </c>
    </row>
    <row r="4174" spans="1:5" x14ac:dyDescent="0.25">
      <c r="A4174" s="41">
        <v>16207</v>
      </c>
      <c r="B4174" s="42" t="s">
        <v>4556</v>
      </c>
      <c r="C4174" s="43" t="s">
        <v>289</v>
      </c>
      <c r="D4174" s="43" t="s">
        <v>410</v>
      </c>
      <c r="E4174" s="43" t="s">
        <v>230</v>
      </c>
    </row>
    <row r="4175" spans="1:5" x14ac:dyDescent="0.25">
      <c r="A4175" s="41">
        <v>16208</v>
      </c>
      <c r="B4175" s="42" t="s">
        <v>4557</v>
      </c>
      <c r="C4175" s="43" t="s">
        <v>289</v>
      </c>
      <c r="D4175" s="43" t="s">
        <v>996</v>
      </c>
      <c r="E4175" s="43" t="s">
        <v>769</v>
      </c>
    </row>
    <row r="4176" spans="1:5" x14ac:dyDescent="0.25">
      <c r="A4176" s="41">
        <v>16209</v>
      </c>
      <c r="B4176" s="42" t="s">
        <v>4558</v>
      </c>
      <c r="C4176" s="43" t="s">
        <v>289</v>
      </c>
      <c r="D4176" s="43" t="s">
        <v>996</v>
      </c>
      <c r="E4176" s="43" t="s">
        <v>769</v>
      </c>
    </row>
    <row r="4177" spans="1:5" x14ac:dyDescent="0.25">
      <c r="A4177" s="41">
        <v>16212</v>
      </c>
      <c r="B4177" s="42" t="s">
        <v>4559</v>
      </c>
      <c r="C4177" s="43" t="s">
        <v>289</v>
      </c>
      <c r="D4177" s="43" t="s">
        <v>996</v>
      </c>
      <c r="E4177" s="43" t="s">
        <v>769</v>
      </c>
    </row>
    <row r="4178" spans="1:5" x14ac:dyDescent="0.25">
      <c r="A4178" s="41">
        <v>16218</v>
      </c>
      <c r="B4178" s="42" t="s">
        <v>4560</v>
      </c>
      <c r="C4178" s="43" t="s">
        <v>289</v>
      </c>
      <c r="D4178" s="43" t="s">
        <v>996</v>
      </c>
      <c r="E4178" s="43" t="s">
        <v>769</v>
      </c>
    </row>
    <row r="4179" spans="1:5" x14ac:dyDescent="0.25">
      <c r="A4179" s="41">
        <v>16226</v>
      </c>
      <c r="B4179" s="42" t="s">
        <v>4561</v>
      </c>
      <c r="C4179" s="43" t="s">
        <v>289</v>
      </c>
      <c r="D4179" s="43" t="s">
        <v>314</v>
      </c>
      <c r="E4179" s="43" t="s">
        <v>4562</v>
      </c>
    </row>
    <row r="4180" spans="1:5" x14ac:dyDescent="0.25">
      <c r="A4180" s="41">
        <v>16227</v>
      </c>
      <c r="B4180" s="42" t="s">
        <v>4563</v>
      </c>
      <c r="C4180" s="43" t="s">
        <v>289</v>
      </c>
      <c r="D4180" s="43" t="s">
        <v>811</v>
      </c>
      <c r="E4180" s="43" t="s">
        <v>4562</v>
      </c>
    </row>
    <row r="4181" spans="1:5" x14ac:dyDescent="0.25">
      <c r="A4181" s="41">
        <v>16228</v>
      </c>
      <c r="B4181" s="42" t="s">
        <v>4564</v>
      </c>
      <c r="C4181" s="43" t="s">
        <v>289</v>
      </c>
      <c r="D4181" s="43" t="s">
        <v>314</v>
      </c>
      <c r="E4181" s="43" t="s">
        <v>4562</v>
      </c>
    </row>
    <row r="4182" spans="1:5" x14ac:dyDescent="0.25">
      <c r="A4182" s="41">
        <v>16229</v>
      </c>
      <c r="B4182" s="42" t="s">
        <v>4565</v>
      </c>
      <c r="C4182" s="43" t="s">
        <v>289</v>
      </c>
      <c r="D4182" s="43" t="s">
        <v>314</v>
      </c>
      <c r="E4182" s="43" t="s">
        <v>4562</v>
      </c>
    </row>
    <row r="4183" spans="1:5" x14ac:dyDescent="0.25">
      <c r="A4183" s="41">
        <v>16231</v>
      </c>
      <c r="B4183" s="42" t="s">
        <v>4566</v>
      </c>
      <c r="C4183" s="43" t="s">
        <v>289</v>
      </c>
      <c r="D4183" s="43" t="s">
        <v>314</v>
      </c>
      <c r="E4183" s="43" t="s">
        <v>4562</v>
      </c>
    </row>
    <row r="4184" spans="1:5" x14ac:dyDescent="0.25">
      <c r="A4184" s="41">
        <v>16234</v>
      </c>
      <c r="B4184" s="42" t="s">
        <v>4567</v>
      </c>
      <c r="C4184" s="43" t="s">
        <v>289</v>
      </c>
      <c r="D4184" s="43" t="s">
        <v>996</v>
      </c>
      <c r="E4184" s="43" t="s">
        <v>436</v>
      </c>
    </row>
    <row r="4185" spans="1:5" x14ac:dyDescent="0.25">
      <c r="A4185" s="41">
        <v>16236</v>
      </c>
      <c r="B4185" s="42" t="s">
        <v>4568</v>
      </c>
      <c r="C4185" s="43" t="s">
        <v>289</v>
      </c>
      <c r="D4185" s="43" t="s">
        <v>996</v>
      </c>
      <c r="E4185" s="43" t="s">
        <v>766</v>
      </c>
    </row>
    <row r="4186" spans="1:5" x14ac:dyDescent="0.25">
      <c r="A4186" s="41">
        <v>16238</v>
      </c>
      <c r="B4186" s="42" t="s">
        <v>4569</v>
      </c>
      <c r="C4186" s="43" t="s">
        <v>289</v>
      </c>
      <c r="D4186" s="43" t="s">
        <v>996</v>
      </c>
      <c r="E4186" s="43" t="s">
        <v>766</v>
      </c>
    </row>
    <row r="4187" spans="1:5" x14ac:dyDescent="0.25">
      <c r="A4187" s="41">
        <v>16239</v>
      </c>
      <c r="B4187" s="42" t="s">
        <v>4570</v>
      </c>
      <c r="C4187" s="43" t="s">
        <v>289</v>
      </c>
      <c r="D4187" s="43" t="s">
        <v>996</v>
      </c>
      <c r="E4187" s="43" t="s">
        <v>766</v>
      </c>
    </row>
    <row r="4188" spans="1:5" x14ac:dyDescent="0.25">
      <c r="A4188" s="41">
        <v>16244</v>
      </c>
      <c r="B4188" s="42" t="s">
        <v>4571</v>
      </c>
      <c r="C4188" s="43" t="s">
        <v>289</v>
      </c>
      <c r="D4188" s="43" t="s">
        <v>410</v>
      </c>
      <c r="E4188" s="43" t="s">
        <v>230</v>
      </c>
    </row>
    <row r="4189" spans="1:5" x14ac:dyDescent="0.25">
      <c r="A4189" s="41">
        <v>16246</v>
      </c>
      <c r="B4189" s="42" t="s">
        <v>4572</v>
      </c>
      <c r="C4189" s="43" t="s">
        <v>289</v>
      </c>
      <c r="D4189" s="43" t="s">
        <v>314</v>
      </c>
      <c r="E4189" s="43" t="s">
        <v>769</v>
      </c>
    </row>
    <row r="4190" spans="1:5" x14ac:dyDescent="0.25">
      <c r="A4190" s="41">
        <v>16247</v>
      </c>
      <c r="B4190" s="42" t="s">
        <v>4573</v>
      </c>
      <c r="C4190" s="43" t="s">
        <v>289</v>
      </c>
      <c r="D4190" s="43" t="s">
        <v>1100</v>
      </c>
      <c r="E4190" s="43" t="s">
        <v>230</v>
      </c>
    </row>
    <row r="4191" spans="1:5" x14ac:dyDescent="0.25">
      <c r="A4191" s="41">
        <v>16259</v>
      </c>
      <c r="B4191" s="42" t="s">
        <v>4574</v>
      </c>
      <c r="C4191" s="43" t="s">
        <v>289</v>
      </c>
      <c r="D4191" s="43" t="s">
        <v>996</v>
      </c>
      <c r="E4191" s="43" t="s">
        <v>769</v>
      </c>
    </row>
    <row r="4192" spans="1:5" x14ac:dyDescent="0.25">
      <c r="A4192" s="41">
        <v>16261</v>
      </c>
      <c r="B4192" s="42" t="s">
        <v>4575</v>
      </c>
      <c r="C4192" s="43" t="s">
        <v>289</v>
      </c>
      <c r="D4192" s="43" t="s">
        <v>795</v>
      </c>
      <c r="E4192" s="43" t="s">
        <v>230</v>
      </c>
    </row>
    <row r="4193" spans="1:5" x14ac:dyDescent="0.25">
      <c r="A4193" s="41">
        <v>16262</v>
      </c>
      <c r="B4193" s="42" t="s">
        <v>4576</v>
      </c>
      <c r="C4193" s="43" t="s">
        <v>289</v>
      </c>
      <c r="D4193" s="43" t="s">
        <v>795</v>
      </c>
      <c r="E4193" s="43" t="s">
        <v>230</v>
      </c>
    </row>
    <row r="4194" spans="1:5" x14ac:dyDescent="0.25">
      <c r="A4194" s="41">
        <v>16266</v>
      </c>
      <c r="B4194" s="42" t="s">
        <v>4577</v>
      </c>
      <c r="C4194" s="43" t="s">
        <v>289</v>
      </c>
      <c r="D4194" s="43" t="s">
        <v>494</v>
      </c>
      <c r="E4194" s="43" t="s">
        <v>230</v>
      </c>
    </row>
    <row r="4195" spans="1:5" x14ac:dyDescent="0.25">
      <c r="A4195" s="41">
        <v>16270</v>
      </c>
      <c r="B4195" s="42" t="s">
        <v>4578</v>
      </c>
      <c r="C4195" s="43" t="s">
        <v>289</v>
      </c>
      <c r="D4195" s="43" t="s">
        <v>996</v>
      </c>
      <c r="E4195" s="43" t="s">
        <v>230</v>
      </c>
    </row>
    <row r="4196" spans="1:5" x14ac:dyDescent="0.25">
      <c r="A4196" s="41">
        <v>16275</v>
      </c>
      <c r="B4196" s="42" t="s">
        <v>4579</v>
      </c>
      <c r="C4196" s="43" t="s">
        <v>289</v>
      </c>
      <c r="D4196" s="43" t="s">
        <v>966</v>
      </c>
      <c r="E4196" s="43" t="s">
        <v>230</v>
      </c>
    </row>
    <row r="4197" spans="1:5" x14ac:dyDescent="0.25">
      <c r="A4197" s="41">
        <v>16277</v>
      </c>
      <c r="B4197" s="42" t="s">
        <v>4580</v>
      </c>
      <c r="C4197" s="43" t="s">
        <v>289</v>
      </c>
      <c r="D4197" s="43" t="s">
        <v>329</v>
      </c>
      <c r="E4197" s="43" t="s">
        <v>472</v>
      </c>
    </row>
    <row r="4198" spans="1:5" x14ac:dyDescent="0.25">
      <c r="A4198" s="41">
        <v>16278</v>
      </c>
      <c r="B4198" s="42" t="s">
        <v>471</v>
      </c>
      <c r="C4198" s="43" t="s">
        <v>289</v>
      </c>
      <c r="D4198" s="43" t="s">
        <v>329</v>
      </c>
      <c r="E4198" s="43" t="s">
        <v>373</v>
      </c>
    </row>
    <row r="4199" spans="1:5" x14ac:dyDescent="0.25">
      <c r="A4199" s="41">
        <v>16279</v>
      </c>
      <c r="B4199" s="42" t="s">
        <v>4581</v>
      </c>
      <c r="C4199" s="43" t="s">
        <v>289</v>
      </c>
      <c r="D4199" s="43" t="s">
        <v>329</v>
      </c>
      <c r="E4199" s="43" t="s">
        <v>472</v>
      </c>
    </row>
    <row r="4200" spans="1:5" x14ac:dyDescent="0.25">
      <c r="A4200" s="41">
        <v>16280</v>
      </c>
      <c r="B4200" s="42" t="s">
        <v>4582</v>
      </c>
      <c r="C4200" s="43" t="s">
        <v>289</v>
      </c>
      <c r="D4200" s="43" t="s">
        <v>487</v>
      </c>
      <c r="E4200" s="43" t="s">
        <v>230</v>
      </c>
    </row>
    <row r="4201" spans="1:5" x14ac:dyDescent="0.25">
      <c r="A4201" s="41">
        <v>16284</v>
      </c>
      <c r="B4201" s="42" t="s">
        <v>4583</v>
      </c>
      <c r="C4201" s="43" t="s">
        <v>289</v>
      </c>
      <c r="D4201" s="43" t="s">
        <v>487</v>
      </c>
      <c r="E4201" s="43" t="s">
        <v>230</v>
      </c>
    </row>
    <row r="4202" spans="1:5" x14ac:dyDescent="0.25">
      <c r="A4202" s="41">
        <v>16285</v>
      </c>
      <c r="B4202" s="42" t="s">
        <v>4584</v>
      </c>
      <c r="C4202" s="43" t="s">
        <v>289</v>
      </c>
      <c r="D4202" s="43" t="s">
        <v>996</v>
      </c>
      <c r="E4202" s="43" t="s">
        <v>769</v>
      </c>
    </row>
    <row r="4203" spans="1:5" x14ac:dyDescent="0.25">
      <c r="A4203" s="41">
        <v>16286</v>
      </c>
      <c r="B4203" s="42" t="s">
        <v>4585</v>
      </c>
      <c r="C4203" s="43" t="s">
        <v>289</v>
      </c>
      <c r="D4203" s="43" t="s">
        <v>996</v>
      </c>
      <c r="E4203" s="43" t="s">
        <v>4532</v>
      </c>
    </row>
    <row r="4204" spans="1:5" x14ac:dyDescent="0.25">
      <c r="A4204" s="41">
        <v>16287</v>
      </c>
      <c r="B4204" s="42" t="s">
        <v>4586</v>
      </c>
      <c r="C4204" s="43" t="s">
        <v>289</v>
      </c>
      <c r="D4204" s="43" t="s">
        <v>996</v>
      </c>
      <c r="E4204" s="43" t="s">
        <v>4532</v>
      </c>
    </row>
    <row r="4205" spans="1:5" x14ac:dyDescent="0.25">
      <c r="A4205" s="41">
        <v>16289</v>
      </c>
      <c r="B4205" s="42" t="s">
        <v>4587</v>
      </c>
      <c r="C4205" s="43" t="s">
        <v>289</v>
      </c>
      <c r="D4205" s="43" t="s">
        <v>996</v>
      </c>
      <c r="E4205" s="43" t="s">
        <v>864</v>
      </c>
    </row>
    <row r="4206" spans="1:5" x14ac:dyDescent="0.25">
      <c r="A4206" s="41">
        <v>16290</v>
      </c>
      <c r="B4206" s="42" t="s">
        <v>4588</v>
      </c>
      <c r="C4206" s="43" t="s">
        <v>289</v>
      </c>
      <c r="D4206" s="43" t="s">
        <v>996</v>
      </c>
      <c r="E4206" s="43" t="s">
        <v>864</v>
      </c>
    </row>
    <row r="4207" spans="1:5" x14ac:dyDescent="0.25">
      <c r="A4207" s="41">
        <v>16293</v>
      </c>
      <c r="B4207" s="42" t="s">
        <v>4589</v>
      </c>
      <c r="C4207" s="43" t="s">
        <v>289</v>
      </c>
      <c r="D4207" s="43" t="s">
        <v>996</v>
      </c>
      <c r="E4207" s="43" t="s">
        <v>769</v>
      </c>
    </row>
    <row r="4208" spans="1:5" x14ac:dyDescent="0.25">
      <c r="A4208" s="41">
        <v>16295</v>
      </c>
      <c r="B4208" s="42" t="s">
        <v>4590</v>
      </c>
      <c r="C4208" s="43" t="s">
        <v>289</v>
      </c>
      <c r="D4208" s="43" t="s">
        <v>996</v>
      </c>
      <c r="E4208" s="43" t="s">
        <v>769</v>
      </c>
    </row>
    <row r="4209" spans="1:5" x14ac:dyDescent="0.25">
      <c r="A4209" s="41">
        <v>16296</v>
      </c>
      <c r="B4209" s="42" t="s">
        <v>4591</v>
      </c>
      <c r="C4209" s="43" t="s">
        <v>289</v>
      </c>
      <c r="D4209" s="43" t="s">
        <v>996</v>
      </c>
      <c r="E4209" s="43" t="s">
        <v>464</v>
      </c>
    </row>
    <row r="4210" spans="1:5" x14ac:dyDescent="0.25">
      <c r="A4210" s="41">
        <v>16299</v>
      </c>
      <c r="B4210" s="42" t="s">
        <v>4592</v>
      </c>
      <c r="C4210" s="43" t="s">
        <v>289</v>
      </c>
      <c r="D4210" s="43" t="s">
        <v>996</v>
      </c>
      <c r="E4210" s="43" t="s">
        <v>769</v>
      </c>
    </row>
    <row r="4211" spans="1:5" x14ac:dyDescent="0.25">
      <c r="A4211" s="41">
        <v>16318</v>
      </c>
      <c r="B4211" s="42" t="s">
        <v>4593</v>
      </c>
      <c r="C4211" s="43" t="s">
        <v>289</v>
      </c>
      <c r="D4211" s="43" t="s">
        <v>996</v>
      </c>
      <c r="E4211" s="43" t="s">
        <v>1093</v>
      </c>
    </row>
    <row r="4212" spans="1:5" x14ac:dyDescent="0.25">
      <c r="A4212" s="41">
        <v>16322</v>
      </c>
      <c r="B4212" s="42" t="s">
        <v>4594</v>
      </c>
      <c r="C4212" s="43" t="s">
        <v>289</v>
      </c>
      <c r="D4212" s="43" t="s">
        <v>996</v>
      </c>
      <c r="E4212" s="43" t="s">
        <v>864</v>
      </c>
    </row>
    <row r="4213" spans="1:5" x14ac:dyDescent="0.25">
      <c r="A4213" s="41">
        <v>16323</v>
      </c>
      <c r="B4213" s="42" t="s">
        <v>4595</v>
      </c>
      <c r="C4213" s="43" t="s">
        <v>289</v>
      </c>
      <c r="D4213" s="43" t="s">
        <v>996</v>
      </c>
      <c r="E4213" s="43" t="s">
        <v>864</v>
      </c>
    </row>
    <row r="4214" spans="1:5" x14ac:dyDescent="0.25">
      <c r="A4214" s="41">
        <v>16324</v>
      </c>
      <c r="B4214" s="42" t="s">
        <v>4596</v>
      </c>
      <c r="C4214" s="43" t="s">
        <v>289</v>
      </c>
      <c r="D4214" s="43" t="s">
        <v>996</v>
      </c>
      <c r="E4214" s="43" t="s">
        <v>864</v>
      </c>
    </row>
    <row r="4215" spans="1:5" x14ac:dyDescent="0.25">
      <c r="A4215" s="41">
        <v>16326</v>
      </c>
      <c r="B4215" s="42" t="s">
        <v>4597</v>
      </c>
      <c r="C4215" s="43" t="s">
        <v>289</v>
      </c>
      <c r="D4215" s="43" t="s">
        <v>996</v>
      </c>
      <c r="E4215" s="43" t="s">
        <v>864</v>
      </c>
    </row>
    <row r="4216" spans="1:5" x14ac:dyDescent="0.25">
      <c r="A4216" s="41">
        <v>16328</v>
      </c>
      <c r="B4216" s="42" t="s">
        <v>4598</v>
      </c>
      <c r="C4216" s="43" t="s">
        <v>289</v>
      </c>
      <c r="D4216" s="43" t="s">
        <v>996</v>
      </c>
      <c r="E4216" s="43" t="s">
        <v>766</v>
      </c>
    </row>
    <row r="4217" spans="1:5" x14ac:dyDescent="0.25">
      <c r="A4217" s="41">
        <v>16329</v>
      </c>
      <c r="B4217" s="42" t="s">
        <v>4599</v>
      </c>
      <c r="C4217" s="43" t="s">
        <v>289</v>
      </c>
      <c r="D4217" s="43" t="s">
        <v>996</v>
      </c>
      <c r="E4217" s="43" t="s">
        <v>864</v>
      </c>
    </row>
    <row r="4218" spans="1:5" x14ac:dyDescent="0.25">
      <c r="A4218" s="41">
        <v>16333</v>
      </c>
      <c r="B4218" s="42" t="s">
        <v>4600</v>
      </c>
      <c r="C4218" s="43" t="s">
        <v>289</v>
      </c>
      <c r="D4218" s="43" t="s">
        <v>996</v>
      </c>
      <c r="E4218" s="43" t="s">
        <v>230</v>
      </c>
    </row>
    <row r="4219" spans="1:5" x14ac:dyDescent="0.25">
      <c r="A4219" s="41">
        <v>16334</v>
      </c>
      <c r="B4219" s="42" t="s">
        <v>4601</v>
      </c>
      <c r="C4219" s="43" t="s">
        <v>289</v>
      </c>
      <c r="D4219" s="43" t="s">
        <v>996</v>
      </c>
      <c r="E4219" s="43" t="s">
        <v>230</v>
      </c>
    </row>
    <row r="4220" spans="1:5" x14ac:dyDescent="0.25">
      <c r="A4220" s="41">
        <v>16335</v>
      </c>
      <c r="B4220" s="42" t="s">
        <v>4602</v>
      </c>
      <c r="C4220" s="43" t="s">
        <v>289</v>
      </c>
      <c r="D4220" s="43" t="s">
        <v>996</v>
      </c>
      <c r="E4220" s="43" t="s">
        <v>373</v>
      </c>
    </row>
    <row r="4221" spans="1:5" x14ac:dyDescent="0.25">
      <c r="A4221" s="41">
        <v>16336</v>
      </c>
      <c r="B4221" s="42" t="s">
        <v>4603</v>
      </c>
      <c r="C4221" s="43" t="s">
        <v>289</v>
      </c>
      <c r="D4221" s="43" t="s">
        <v>996</v>
      </c>
      <c r="E4221" s="43" t="s">
        <v>531</v>
      </c>
    </row>
    <row r="4222" spans="1:5" x14ac:dyDescent="0.25">
      <c r="A4222" s="41">
        <v>16337</v>
      </c>
      <c r="B4222" s="42" t="s">
        <v>4604</v>
      </c>
      <c r="C4222" s="43" t="s">
        <v>289</v>
      </c>
      <c r="D4222" s="43" t="s">
        <v>1526</v>
      </c>
      <c r="E4222" s="43" t="s">
        <v>4605</v>
      </c>
    </row>
    <row r="4223" spans="1:5" x14ac:dyDescent="0.25">
      <c r="A4223" s="41">
        <v>16343</v>
      </c>
      <c r="B4223" s="42" t="s">
        <v>4606</v>
      </c>
      <c r="C4223" s="43" t="s">
        <v>289</v>
      </c>
      <c r="D4223" s="43" t="s">
        <v>996</v>
      </c>
      <c r="E4223" s="43" t="s">
        <v>531</v>
      </c>
    </row>
    <row r="4224" spans="1:5" x14ac:dyDescent="0.25">
      <c r="A4224" s="41">
        <v>16344</v>
      </c>
      <c r="B4224" s="42" t="s">
        <v>4607</v>
      </c>
      <c r="C4224" s="43" t="s">
        <v>289</v>
      </c>
      <c r="D4224" s="43" t="s">
        <v>996</v>
      </c>
      <c r="E4224" s="43" t="s">
        <v>864</v>
      </c>
    </row>
    <row r="4225" spans="1:5" x14ac:dyDescent="0.25">
      <c r="A4225" s="41">
        <v>16346</v>
      </c>
      <c r="B4225" s="42" t="s">
        <v>4608</v>
      </c>
      <c r="C4225" s="43" t="s">
        <v>289</v>
      </c>
      <c r="D4225" s="43" t="s">
        <v>996</v>
      </c>
      <c r="E4225" s="43" t="s">
        <v>531</v>
      </c>
    </row>
    <row r="4226" spans="1:5" x14ac:dyDescent="0.25">
      <c r="A4226" s="41">
        <v>16349</v>
      </c>
      <c r="B4226" s="42" t="s">
        <v>4609</v>
      </c>
      <c r="C4226" s="43" t="s">
        <v>289</v>
      </c>
      <c r="D4226" s="43" t="s">
        <v>996</v>
      </c>
      <c r="E4226" s="43" t="s">
        <v>769</v>
      </c>
    </row>
    <row r="4227" spans="1:5" x14ac:dyDescent="0.25">
      <c r="A4227" s="41">
        <v>16351</v>
      </c>
      <c r="B4227" s="42" t="s">
        <v>4610</v>
      </c>
      <c r="C4227" s="43" t="s">
        <v>289</v>
      </c>
      <c r="D4227" s="43" t="s">
        <v>996</v>
      </c>
      <c r="E4227" s="43" t="s">
        <v>769</v>
      </c>
    </row>
    <row r="4228" spans="1:5" x14ac:dyDescent="0.25">
      <c r="A4228" s="41">
        <v>16353</v>
      </c>
      <c r="B4228" s="42" t="s">
        <v>4611</v>
      </c>
      <c r="C4228" s="43" t="s">
        <v>289</v>
      </c>
      <c r="D4228" s="43" t="s">
        <v>996</v>
      </c>
      <c r="E4228" s="43" t="s">
        <v>864</v>
      </c>
    </row>
    <row r="4229" spans="1:5" x14ac:dyDescent="0.25">
      <c r="A4229" s="41">
        <v>16355</v>
      </c>
      <c r="B4229" s="42" t="s">
        <v>4612</v>
      </c>
      <c r="C4229" s="43" t="s">
        <v>289</v>
      </c>
      <c r="D4229" s="43" t="s">
        <v>996</v>
      </c>
      <c r="E4229" s="43" t="s">
        <v>864</v>
      </c>
    </row>
    <row r="4230" spans="1:5" x14ac:dyDescent="0.25">
      <c r="A4230" s="41">
        <v>16358</v>
      </c>
      <c r="B4230" s="42" t="s">
        <v>4613</v>
      </c>
      <c r="C4230" s="43" t="s">
        <v>289</v>
      </c>
      <c r="D4230" s="43" t="s">
        <v>327</v>
      </c>
      <c r="E4230" s="43" t="s">
        <v>4605</v>
      </c>
    </row>
    <row r="4231" spans="1:5" x14ac:dyDescent="0.25">
      <c r="A4231" s="41">
        <v>16361</v>
      </c>
      <c r="B4231" s="42" t="s">
        <v>4614</v>
      </c>
      <c r="C4231" s="43" t="s">
        <v>289</v>
      </c>
      <c r="D4231" s="43" t="s">
        <v>996</v>
      </c>
      <c r="E4231" s="43" t="s">
        <v>864</v>
      </c>
    </row>
    <row r="4232" spans="1:5" x14ac:dyDescent="0.25">
      <c r="A4232" s="41">
        <v>16363</v>
      </c>
      <c r="B4232" s="42" t="s">
        <v>4615</v>
      </c>
      <c r="C4232" s="43" t="s">
        <v>289</v>
      </c>
      <c r="D4232" s="43" t="s">
        <v>996</v>
      </c>
      <c r="E4232" s="43" t="s">
        <v>230</v>
      </c>
    </row>
    <row r="4233" spans="1:5" x14ac:dyDescent="0.25">
      <c r="A4233" s="41">
        <v>16368</v>
      </c>
      <c r="B4233" s="42" t="s">
        <v>4616</v>
      </c>
      <c r="C4233" s="43" t="s">
        <v>289</v>
      </c>
      <c r="D4233" s="43" t="s">
        <v>996</v>
      </c>
      <c r="E4233" s="43" t="s">
        <v>170</v>
      </c>
    </row>
    <row r="4234" spans="1:5" x14ac:dyDescent="0.25">
      <c r="A4234" s="41">
        <v>16369</v>
      </c>
      <c r="B4234" s="42" t="s">
        <v>4617</v>
      </c>
      <c r="C4234" s="43" t="s">
        <v>289</v>
      </c>
      <c r="D4234" s="43" t="s">
        <v>996</v>
      </c>
      <c r="E4234" s="43" t="s">
        <v>436</v>
      </c>
    </row>
    <row r="4235" spans="1:5" x14ac:dyDescent="0.25">
      <c r="A4235" s="41">
        <v>16370</v>
      </c>
      <c r="B4235" s="42" t="s">
        <v>4618</v>
      </c>
      <c r="C4235" s="43" t="s">
        <v>289</v>
      </c>
      <c r="D4235" s="43" t="s">
        <v>482</v>
      </c>
      <c r="E4235" s="43" t="s">
        <v>373</v>
      </c>
    </row>
    <row r="4236" spans="1:5" x14ac:dyDescent="0.25">
      <c r="A4236" s="41">
        <v>16375</v>
      </c>
      <c r="B4236" s="42" t="s">
        <v>4619</v>
      </c>
      <c r="C4236" s="43" t="s">
        <v>289</v>
      </c>
      <c r="D4236" s="43" t="s">
        <v>996</v>
      </c>
      <c r="E4236" s="43" t="s">
        <v>531</v>
      </c>
    </row>
    <row r="4237" spans="1:5" x14ac:dyDescent="0.25">
      <c r="A4237" s="41">
        <v>16379</v>
      </c>
      <c r="B4237" s="42" t="s">
        <v>4620</v>
      </c>
      <c r="C4237" s="43" t="s">
        <v>289</v>
      </c>
      <c r="D4237" s="43" t="s">
        <v>996</v>
      </c>
      <c r="E4237" s="43" t="s">
        <v>373</v>
      </c>
    </row>
    <row r="4238" spans="1:5" x14ac:dyDescent="0.25">
      <c r="A4238" s="41">
        <v>16391</v>
      </c>
      <c r="B4238" s="42" t="s">
        <v>4621</v>
      </c>
      <c r="C4238" s="43" t="s">
        <v>289</v>
      </c>
      <c r="D4238" s="43" t="s">
        <v>996</v>
      </c>
      <c r="E4238" s="43" t="s">
        <v>230</v>
      </c>
    </row>
    <row r="4239" spans="1:5" x14ac:dyDescent="0.25">
      <c r="A4239" s="41">
        <v>16392</v>
      </c>
      <c r="B4239" s="42" t="s">
        <v>4622</v>
      </c>
      <c r="C4239" s="43" t="s">
        <v>289</v>
      </c>
      <c r="D4239" s="43" t="s">
        <v>996</v>
      </c>
      <c r="E4239" s="43" t="s">
        <v>230</v>
      </c>
    </row>
    <row r="4240" spans="1:5" x14ac:dyDescent="0.25">
      <c r="A4240" s="41">
        <v>16393</v>
      </c>
      <c r="B4240" s="42" t="s">
        <v>4623</v>
      </c>
      <c r="C4240" s="43" t="s">
        <v>289</v>
      </c>
      <c r="D4240" s="43" t="s">
        <v>996</v>
      </c>
      <c r="E4240" s="43" t="s">
        <v>230</v>
      </c>
    </row>
    <row r="4241" spans="1:5" x14ac:dyDescent="0.25">
      <c r="A4241" s="41">
        <v>16394</v>
      </c>
      <c r="B4241" s="42" t="s">
        <v>4624</v>
      </c>
      <c r="C4241" s="43" t="s">
        <v>289</v>
      </c>
      <c r="D4241" s="43" t="s">
        <v>996</v>
      </c>
      <c r="E4241" s="43" t="s">
        <v>230</v>
      </c>
    </row>
    <row r="4242" spans="1:5" x14ac:dyDescent="0.25">
      <c r="A4242" s="41">
        <v>16395</v>
      </c>
      <c r="B4242" s="42" t="s">
        <v>4625</v>
      </c>
      <c r="C4242" s="43" t="s">
        <v>289</v>
      </c>
      <c r="D4242" s="43" t="s">
        <v>996</v>
      </c>
      <c r="E4242" s="43" t="s">
        <v>230</v>
      </c>
    </row>
    <row r="4243" spans="1:5" x14ac:dyDescent="0.25">
      <c r="A4243" s="41">
        <v>16396</v>
      </c>
      <c r="B4243" s="42" t="s">
        <v>4626</v>
      </c>
      <c r="C4243" s="43" t="s">
        <v>289</v>
      </c>
      <c r="D4243" s="43" t="s">
        <v>996</v>
      </c>
      <c r="E4243" s="43" t="s">
        <v>170</v>
      </c>
    </row>
    <row r="4244" spans="1:5" x14ac:dyDescent="0.25">
      <c r="A4244" s="41">
        <v>16397</v>
      </c>
      <c r="B4244" s="42" t="s">
        <v>4627</v>
      </c>
      <c r="C4244" s="43" t="s">
        <v>289</v>
      </c>
      <c r="D4244" s="43" t="s">
        <v>996</v>
      </c>
      <c r="E4244" s="43" t="s">
        <v>170</v>
      </c>
    </row>
    <row r="4245" spans="1:5" x14ac:dyDescent="0.25">
      <c r="A4245" s="41">
        <v>16399</v>
      </c>
      <c r="B4245" s="42" t="s">
        <v>1424</v>
      </c>
      <c r="C4245" s="43" t="s">
        <v>289</v>
      </c>
      <c r="D4245" s="43" t="s">
        <v>996</v>
      </c>
      <c r="E4245" s="43" t="s">
        <v>230</v>
      </c>
    </row>
    <row r="4246" spans="1:5" x14ac:dyDescent="0.25">
      <c r="A4246" s="41">
        <v>16400</v>
      </c>
      <c r="B4246" s="42" t="s">
        <v>4628</v>
      </c>
      <c r="C4246" s="43" t="s">
        <v>289</v>
      </c>
      <c r="D4246" s="43" t="s">
        <v>996</v>
      </c>
      <c r="E4246" s="43" t="s">
        <v>230</v>
      </c>
    </row>
    <row r="4247" spans="1:5" x14ac:dyDescent="0.25">
      <c r="A4247" s="41">
        <v>16402</v>
      </c>
      <c r="B4247" s="42" t="s">
        <v>4629</v>
      </c>
      <c r="C4247" s="43" t="s">
        <v>289</v>
      </c>
      <c r="D4247" s="43" t="s">
        <v>996</v>
      </c>
      <c r="E4247" s="43" t="s">
        <v>764</v>
      </c>
    </row>
    <row r="4248" spans="1:5" x14ac:dyDescent="0.25">
      <c r="A4248" s="41">
        <v>16405</v>
      </c>
      <c r="B4248" s="42" t="s">
        <v>4630</v>
      </c>
      <c r="C4248" s="43" t="s">
        <v>289</v>
      </c>
      <c r="D4248" s="43" t="s">
        <v>996</v>
      </c>
      <c r="E4248" s="43" t="s">
        <v>766</v>
      </c>
    </row>
    <row r="4249" spans="1:5" x14ac:dyDescent="0.25">
      <c r="A4249" s="41">
        <v>16407</v>
      </c>
      <c r="B4249" s="42" t="s">
        <v>4631</v>
      </c>
      <c r="C4249" s="43" t="s">
        <v>289</v>
      </c>
      <c r="D4249" s="43" t="s">
        <v>996</v>
      </c>
      <c r="E4249" s="43" t="s">
        <v>766</v>
      </c>
    </row>
    <row r="4250" spans="1:5" x14ac:dyDescent="0.25">
      <c r="A4250" s="41">
        <v>16423</v>
      </c>
      <c r="B4250" s="42" t="s">
        <v>4632</v>
      </c>
      <c r="C4250" s="43" t="s">
        <v>289</v>
      </c>
      <c r="D4250" s="43" t="s">
        <v>1112</v>
      </c>
      <c r="E4250" s="43" t="s">
        <v>464</v>
      </c>
    </row>
    <row r="4251" spans="1:5" x14ac:dyDescent="0.25">
      <c r="A4251" s="41">
        <v>16431</v>
      </c>
      <c r="B4251" s="42" t="s">
        <v>4633</v>
      </c>
      <c r="C4251" s="43" t="s">
        <v>289</v>
      </c>
      <c r="D4251" s="43" t="s">
        <v>499</v>
      </c>
      <c r="E4251" s="43" t="s">
        <v>454</v>
      </c>
    </row>
    <row r="4252" spans="1:5" x14ac:dyDescent="0.25">
      <c r="A4252" s="41">
        <v>16432</v>
      </c>
      <c r="B4252" s="42" t="s">
        <v>4634</v>
      </c>
      <c r="C4252" s="43" t="s">
        <v>289</v>
      </c>
      <c r="D4252" s="43" t="s">
        <v>1112</v>
      </c>
      <c r="E4252" s="43" t="s">
        <v>230</v>
      </c>
    </row>
    <row r="4253" spans="1:5" x14ac:dyDescent="0.25">
      <c r="A4253" s="41">
        <v>16438</v>
      </c>
      <c r="B4253" s="42" t="s">
        <v>4635</v>
      </c>
      <c r="C4253" s="43" t="s">
        <v>289</v>
      </c>
      <c r="D4253" s="43" t="s">
        <v>996</v>
      </c>
      <c r="E4253" s="43" t="s">
        <v>230</v>
      </c>
    </row>
    <row r="4254" spans="1:5" x14ac:dyDescent="0.25">
      <c r="A4254" s="41">
        <v>16439</v>
      </c>
      <c r="B4254" s="42" t="s">
        <v>4636</v>
      </c>
      <c r="C4254" s="43" t="s">
        <v>289</v>
      </c>
      <c r="D4254" s="43" t="s">
        <v>996</v>
      </c>
      <c r="E4254" s="43" t="s">
        <v>230</v>
      </c>
    </row>
    <row r="4255" spans="1:5" x14ac:dyDescent="0.25">
      <c r="A4255" s="41">
        <v>16450</v>
      </c>
      <c r="B4255" s="42" t="s">
        <v>4637</v>
      </c>
      <c r="C4255" s="43" t="s">
        <v>289</v>
      </c>
      <c r="D4255" s="43" t="s">
        <v>996</v>
      </c>
      <c r="E4255" s="43" t="s">
        <v>230</v>
      </c>
    </row>
    <row r="4256" spans="1:5" x14ac:dyDescent="0.25">
      <c r="A4256" s="41">
        <v>16451</v>
      </c>
      <c r="B4256" s="42" t="s">
        <v>4638</v>
      </c>
      <c r="C4256" s="43" t="s">
        <v>289</v>
      </c>
      <c r="D4256" s="43" t="s">
        <v>996</v>
      </c>
      <c r="E4256" s="43" t="s">
        <v>230</v>
      </c>
    </row>
    <row r="4257" spans="1:5" x14ac:dyDescent="0.25">
      <c r="A4257" s="41">
        <v>16452</v>
      </c>
      <c r="B4257" s="42" t="s">
        <v>4639</v>
      </c>
      <c r="C4257" s="43" t="s">
        <v>289</v>
      </c>
      <c r="D4257" s="43" t="s">
        <v>499</v>
      </c>
      <c r="E4257" s="43" t="s">
        <v>472</v>
      </c>
    </row>
    <row r="4258" spans="1:5" x14ac:dyDescent="0.25">
      <c r="A4258" s="41">
        <v>16492</v>
      </c>
      <c r="B4258" s="42" t="s">
        <v>4640</v>
      </c>
      <c r="C4258" s="43" t="s">
        <v>289</v>
      </c>
      <c r="D4258" s="43" t="s">
        <v>996</v>
      </c>
      <c r="E4258" s="43" t="s">
        <v>769</v>
      </c>
    </row>
    <row r="4259" spans="1:5" x14ac:dyDescent="0.25">
      <c r="A4259" s="41">
        <v>16493</v>
      </c>
      <c r="B4259" s="42" t="s">
        <v>4641</v>
      </c>
      <c r="C4259" s="43" t="s">
        <v>289</v>
      </c>
      <c r="D4259" s="43" t="s">
        <v>996</v>
      </c>
      <c r="E4259" s="43" t="s">
        <v>769</v>
      </c>
    </row>
    <row r="4260" spans="1:5" x14ac:dyDescent="0.25">
      <c r="A4260" s="41">
        <v>16497</v>
      </c>
      <c r="B4260" s="42" t="s">
        <v>4642</v>
      </c>
      <c r="C4260" s="43" t="s">
        <v>289</v>
      </c>
      <c r="D4260" s="43" t="s">
        <v>996</v>
      </c>
      <c r="E4260" s="43" t="s">
        <v>230</v>
      </c>
    </row>
    <row r="4261" spans="1:5" x14ac:dyDescent="0.25">
      <c r="A4261" s="41">
        <v>16501</v>
      </c>
      <c r="B4261" s="42" t="s">
        <v>4643</v>
      </c>
      <c r="C4261" s="43" t="s">
        <v>289</v>
      </c>
      <c r="D4261" s="43" t="s">
        <v>1734</v>
      </c>
      <c r="E4261" s="43" t="s">
        <v>230</v>
      </c>
    </row>
    <row r="4262" spans="1:5" x14ac:dyDescent="0.25">
      <c r="A4262" s="41">
        <v>16502</v>
      </c>
      <c r="B4262" s="42" t="s">
        <v>4644</v>
      </c>
      <c r="C4262" s="43" t="s">
        <v>289</v>
      </c>
      <c r="D4262" s="43" t="s">
        <v>1734</v>
      </c>
      <c r="E4262" s="43" t="s">
        <v>230</v>
      </c>
    </row>
    <row r="4263" spans="1:5" x14ac:dyDescent="0.25">
      <c r="A4263" s="41">
        <v>16506</v>
      </c>
      <c r="B4263" s="42" t="s">
        <v>4645</v>
      </c>
      <c r="C4263" s="43" t="s">
        <v>289</v>
      </c>
      <c r="D4263" s="43" t="s">
        <v>1112</v>
      </c>
      <c r="E4263" s="43" t="s">
        <v>464</v>
      </c>
    </row>
    <row r="4264" spans="1:5" x14ac:dyDescent="0.25">
      <c r="A4264" s="41">
        <v>16508</v>
      </c>
      <c r="B4264" s="42" t="s">
        <v>4646</v>
      </c>
      <c r="C4264" s="43" t="s">
        <v>289</v>
      </c>
      <c r="D4264" s="43" t="s">
        <v>1112</v>
      </c>
      <c r="E4264" s="43" t="s">
        <v>464</v>
      </c>
    </row>
    <row r="4265" spans="1:5" x14ac:dyDescent="0.25">
      <c r="A4265" s="41">
        <v>16509</v>
      </c>
      <c r="B4265" s="42" t="s">
        <v>4647</v>
      </c>
      <c r="C4265" s="43" t="s">
        <v>289</v>
      </c>
      <c r="D4265" s="43" t="s">
        <v>1112</v>
      </c>
      <c r="E4265" s="43" t="s">
        <v>464</v>
      </c>
    </row>
    <row r="4266" spans="1:5" x14ac:dyDescent="0.25">
      <c r="A4266" s="41">
        <v>16513</v>
      </c>
      <c r="B4266" s="42" t="s">
        <v>4648</v>
      </c>
      <c r="C4266" s="43" t="s">
        <v>289</v>
      </c>
      <c r="D4266" s="43" t="s">
        <v>682</v>
      </c>
      <c r="E4266" s="43" t="s">
        <v>454</v>
      </c>
    </row>
    <row r="4267" spans="1:5" x14ac:dyDescent="0.25">
      <c r="A4267" s="41">
        <v>16515</v>
      </c>
      <c r="B4267" s="42" t="s">
        <v>4649</v>
      </c>
      <c r="C4267" s="43" t="s">
        <v>289</v>
      </c>
      <c r="D4267" s="43" t="s">
        <v>1100</v>
      </c>
      <c r="E4267" s="43" t="s">
        <v>230</v>
      </c>
    </row>
    <row r="4268" spans="1:5" x14ac:dyDescent="0.25">
      <c r="A4268" s="41">
        <v>16516</v>
      </c>
      <c r="B4268" s="42" t="s">
        <v>4650</v>
      </c>
      <c r="C4268" s="43" t="s">
        <v>289</v>
      </c>
      <c r="D4268" s="43" t="s">
        <v>996</v>
      </c>
      <c r="E4268" s="43" t="s">
        <v>1071</v>
      </c>
    </row>
    <row r="4269" spans="1:5" x14ac:dyDescent="0.25">
      <c r="A4269" s="41">
        <v>16518</v>
      </c>
      <c r="B4269" s="42" t="s">
        <v>4651</v>
      </c>
      <c r="C4269" s="43" t="s">
        <v>289</v>
      </c>
      <c r="D4269" s="43" t="s">
        <v>996</v>
      </c>
      <c r="E4269" s="43" t="s">
        <v>864</v>
      </c>
    </row>
    <row r="4270" spans="1:5" x14ac:dyDescent="0.25">
      <c r="A4270" s="41">
        <v>16519</v>
      </c>
      <c r="B4270" s="42" t="s">
        <v>4652</v>
      </c>
      <c r="C4270" s="43" t="s">
        <v>289</v>
      </c>
      <c r="D4270" s="43" t="s">
        <v>996</v>
      </c>
      <c r="E4270" s="43" t="s">
        <v>864</v>
      </c>
    </row>
    <row r="4271" spans="1:5" x14ac:dyDescent="0.25">
      <c r="A4271" s="41">
        <v>16520</v>
      </c>
      <c r="B4271" s="42" t="s">
        <v>4653</v>
      </c>
      <c r="C4271" s="43" t="s">
        <v>289</v>
      </c>
      <c r="D4271" s="43" t="s">
        <v>996</v>
      </c>
      <c r="E4271" s="43" t="s">
        <v>864</v>
      </c>
    </row>
    <row r="4272" spans="1:5" x14ac:dyDescent="0.25">
      <c r="A4272" s="41">
        <v>16521</v>
      </c>
      <c r="B4272" s="42" t="s">
        <v>4654</v>
      </c>
      <c r="C4272" s="43" t="s">
        <v>289</v>
      </c>
      <c r="D4272" s="43" t="s">
        <v>996</v>
      </c>
      <c r="E4272" s="43" t="s">
        <v>864</v>
      </c>
    </row>
    <row r="4273" spans="1:5" x14ac:dyDescent="0.25">
      <c r="A4273" s="41">
        <v>16523</v>
      </c>
      <c r="B4273" s="42" t="s">
        <v>4655</v>
      </c>
      <c r="C4273" s="43" t="s">
        <v>289</v>
      </c>
      <c r="D4273" s="43" t="s">
        <v>1112</v>
      </c>
      <c r="E4273" s="43" t="s">
        <v>464</v>
      </c>
    </row>
    <row r="4274" spans="1:5" x14ac:dyDescent="0.25">
      <c r="A4274" s="41">
        <v>16524</v>
      </c>
      <c r="B4274" s="42" t="s">
        <v>4656</v>
      </c>
      <c r="C4274" s="43" t="s">
        <v>289</v>
      </c>
      <c r="D4274" s="43" t="s">
        <v>1112</v>
      </c>
      <c r="E4274" s="43" t="s">
        <v>464</v>
      </c>
    </row>
    <row r="4275" spans="1:5" x14ac:dyDescent="0.25">
      <c r="A4275" s="41">
        <v>16525</v>
      </c>
      <c r="B4275" s="42" t="s">
        <v>4657</v>
      </c>
      <c r="C4275" s="43" t="s">
        <v>289</v>
      </c>
      <c r="D4275" s="43" t="s">
        <v>1112</v>
      </c>
      <c r="E4275" s="43" t="s">
        <v>464</v>
      </c>
    </row>
    <row r="4276" spans="1:5" x14ac:dyDescent="0.25">
      <c r="A4276" s="41">
        <v>16526</v>
      </c>
      <c r="B4276" s="42" t="s">
        <v>4658</v>
      </c>
      <c r="C4276" s="43" t="s">
        <v>289</v>
      </c>
      <c r="D4276" s="43" t="s">
        <v>1112</v>
      </c>
      <c r="E4276" s="43" t="s">
        <v>464</v>
      </c>
    </row>
    <row r="4277" spans="1:5" x14ac:dyDescent="0.25">
      <c r="A4277" s="41">
        <v>16527</v>
      </c>
      <c r="B4277" s="42" t="s">
        <v>4659</v>
      </c>
      <c r="C4277" s="43" t="s">
        <v>289</v>
      </c>
      <c r="D4277" s="43" t="s">
        <v>1112</v>
      </c>
      <c r="E4277" s="43" t="s">
        <v>464</v>
      </c>
    </row>
    <row r="4278" spans="1:5" x14ac:dyDescent="0.25">
      <c r="A4278" s="41">
        <v>16528</v>
      </c>
      <c r="B4278" s="42" t="s">
        <v>4660</v>
      </c>
      <c r="C4278" s="43" t="s">
        <v>289</v>
      </c>
      <c r="D4278" s="43" t="s">
        <v>1112</v>
      </c>
      <c r="E4278" s="43" t="s">
        <v>464</v>
      </c>
    </row>
    <row r="4279" spans="1:5" x14ac:dyDescent="0.25">
      <c r="A4279" s="41">
        <v>16530</v>
      </c>
      <c r="B4279" s="42" t="s">
        <v>4661</v>
      </c>
      <c r="C4279" s="43" t="s">
        <v>289</v>
      </c>
      <c r="D4279" s="43" t="s">
        <v>333</v>
      </c>
      <c r="E4279" s="43" t="s">
        <v>230</v>
      </c>
    </row>
    <row r="4280" spans="1:5" x14ac:dyDescent="0.25">
      <c r="A4280" s="41">
        <v>16531</v>
      </c>
      <c r="B4280" s="42" t="s">
        <v>4662</v>
      </c>
      <c r="C4280" s="43" t="s">
        <v>289</v>
      </c>
      <c r="D4280" s="43" t="s">
        <v>333</v>
      </c>
      <c r="E4280" s="43" t="s">
        <v>230</v>
      </c>
    </row>
    <row r="4281" spans="1:5" x14ac:dyDescent="0.25">
      <c r="A4281" s="41">
        <v>16532</v>
      </c>
      <c r="B4281" s="42" t="s">
        <v>4663</v>
      </c>
      <c r="C4281" s="43" t="s">
        <v>289</v>
      </c>
      <c r="D4281" s="43" t="s">
        <v>333</v>
      </c>
      <c r="E4281" s="43" t="s">
        <v>230</v>
      </c>
    </row>
    <row r="4282" spans="1:5" x14ac:dyDescent="0.25">
      <c r="A4282" s="41">
        <v>16533</v>
      </c>
      <c r="B4282" s="42" t="s">
        <v>4664</v>
      </c>
      <c r="C4282" s="43" t="s">
        <v>289</v>
      </c>
      <c r="D4282" s="43" t="s">
        <v>333</v>
      </c>
      <c r="E4282" s="43" t="s">
        <v>230</v>
      </c>
    </row>
    <row r="4283" spans="1:5" x14ac:dyDescent="0.25">
      <c r="A4283" s="41">
        <v>16534</v>
      </c>
      <c r="B4283" s="42" t="s">
        <v>4665</v>
      </c>
      <c r="C4283" s="43" t="s">
        <v>289</v>
      </c>
      <c r="D4283" s="43" t="s">
        <v>333</v>
      </c>
      <c r="E4283" s="43" t="s">
        <v>230</v>
      </c>
    </row>
    <row r="4284" spans="1:5" x14ac:dyDescent="0.25">
      <c r="A4284" s="41">
        <v>16535</v>
      </c>
      <c r="B4284" s="42" t="s">
        <v>4666</v>
      </c>
      <c r="C4284" s="43" t="s">
        <v>289</v>
      </c>
      <c r="D4284" s="43" t="s">
        <v>333</v>
      </c>
      <c r="E4284" s="43" t="s">
        <v>230</v>
      </c>
    </row>
    <row r="4285" spans="1:5" x14ac:dyDescent="0.25">
      <c r="A4285" s="41">
        <v>16537</v>
      </c>
      <c r="B4285" s="42" t="s">
        <v>4667</v>
      </c>
      <c r="C4285" s="43" t="s">
        <v>289</v>
      </c>
      <c r="D4285" s="43" t="s">
        <v>941</v>
      </c>
      <c r="E4285" s="43" t="s">
        <v>336</v>
      </c>
    </row>
    <row r="4286" spans="1:5" x14ac:dyDescent="0.25">
      <c r="A4286" s="41">
        <v>16538</v>
      </c>
      <c r="B4286" s="42" t="s">
        <v>4668</v>
      </c>
      <c r="C4286" s="43" t="s">
        <v>289</v>
      </c>
      <c r="D4286" s="43" t="s">
        <v>941</v>
      </c>
      <c r="E4286" s="43" t="s">
        <v>336</v>
      </c>
    </row>
    <row r="4287" spans="1:5" x14ac:dyDescent="0.25">
      <c r="A4287" s="41">
        <v>16539</v>
      </c>
      <c r="B4287" s="42" t="s">
        <v>4669</v>
      </c>
      <c r="C4287" s="43" t="s">
        <v>289</v>
      </c>
      <c r="D4287" s="43" t="s">
        <v>941</v>
      </c>
      <c r="E4287" s="43" t="s">
        <v>336</v>
      </c>
    </row>
    <row r="4288" spans="1:5" x14ac:dyDescent="0.25">
      <c r="A4288" s="41">
        <v>16540</v>
      </c>
      <c r="B4288" s="42" t="s">
        <v>4670</v>
      </c>
      <c r="C4288" s="43" t="s">
        <v>289</v>
      </c>
      <c r="D4288" s="43" t="s">
        <v>941</v>
      </c>
      <c r="E4288" s="43" t="s">
        <v>336</v>
      </c>
    </row>
    <row r="4289" spans="1:5" x14ac:dyDescent="0.25">
      <c r="A4289" s="41">
        <v>16541</v>
      </c>
      <c r="B4289" s="42" t="s">
        <v>4671</v>
      </c>
      <c r="C4289" s="43" t="s">
        <v>289</v>
      </c>
      <c r="D4289" s="43" t="s">
        <v>941</v>
      </c>
      <c r="E4289" s="43" t="s">
        <v>4605</v>
      </c>
    </row>
    <row r="4290" spans="1:5" x14ac:dyDescent="0.25">
      <c r="A4290" s="41">
        <v>16542</v>
      </c>
      <c r="B4290" s="42" t="s">
        <v>4672</v>
      </c>
      <c r="C4290" s="43" t="s">
        <v>289</v>
      </c>
      <c r="D4290" s="43" t="s">
        <v>941</v>
      </c>
      <c r="E4290" s="43" t="s">
        <v>4605</v>
      </c>
    </row>
    <row r="4291" spans="1:5" x14ac:dyDescent="0.25">
      <c r="A4291" s="41">
        <v>16543</v>
      </c>
      <c r="B4291" s="42" t="s">
        <v>4673</v>
      </c>
      <c r="C4291" s="43" t="s">
        <v>289</v>
      </c>
      <c r="D4291" s="43" t="s">
        <v>327</v>
      </c>
      <c r="E4291" s="43" t="s">
        <v>454</v>
      </c>
    </row>
    <row r="4292" spans="1:5" x14ac:dyDescent="0.25">
      <c r="A4292" s="41">
        <v>16544</v>
      </c>
      <c r="B4292" s="42" t="s">
        <v>4674</v>
      </c>
      <c r="C4292" s="43" t="s">
        <v>289</v>
      </c>
      <c r="D4292" s="43" t="s">
        <v>996</v>
      </c>
      <c r="E4292" s="43" t="s">
        <v>336</v>
      </c>
    </row>
    <row r="4293" spans="1:5" x14ac:dyDescent="0.25">
      <c r="A4293" s="41">
        <v>16545</v>
      </c>
      <c r="B4293" s="42" t="s">
        <v>4675</v>
      </c>
      <c r="C4293" s="43" t="s">
        <v>289</v>
      </c>
      <c r="D4293" s="43" t="s">
        <v>996</v>
      </c>
      <c r="E4293" s="43" t="s">
        <v>769</v>
      </c>
    </row>
    <row r="4294" spans="1:5" x14ac:dyDescent="0.25">
      <c r="A4294" s="41">
        <v>16546</v>
      </c>
      <c r="B4294" s="42" t="s">
        <v>4676</v>
      </c>
      <c r="C4294" s="43" t="s">
        <v>289</v>
      </c>
      <c r="D4294" s="43" t="s">
        <v>996</v>
      </c>
      <c r="E4294" s="43" t="s">
        <v>864</v>
      </c>
    </row>
    <row r="4295" spans="1:5" x14ac:dyDescent="0.25">
      <c r="A4295" s="41">
        <v>16547</v>
      </c>
      <c r="B4295" s="42" t="s">
        <v>4677</v>
      </c>
      <c r="C4295" s="43" t="s">
        <v>289</v>
      </c>
      <c r="D4295" s="43" t="s">
        <v>996</v>
      </c>
      <c r="E4295" s="43" t="s">
        <v>864</v>
      </c>
    </row>
    <row r="4296" spans="1:5" x14ac:dyDescent="0.25">
      <c r="A4296" s="41">
        <v>16548</v>
      </c>
      <c r="B4296" s="42" t="s">
        <v>4678</v>
      </c>
      <c r="C4296" s="43" t="s">
        <v>289</v>
      </c>
      <c r="D4296" s="43" t="s">
        <v>996</v>
      </c>
      <c r="E4296" s="43" t="s">
        <v>864</v>
      </c>
    </row>
    <row r="4297" spans="1:5" x14ac:dyDescent="0.25">
      <c r="A4297" s="41">
        <v>16549</v>
      </c>
      <c r="B4297" s="42" t="s">
        <v>4679</v>
      </c>
      <c r="C4297" s="43" t="s">
        <v>289</v>
      </c>
      <c r="D4297" s="43" t="s">
        <v>941</v>
      </c>
      <c r="E4297" s="43" t="s">
        <v>4605</v>
      </c>
    </row>
    <row r="4298" spans="1:5" x14ac:dyDescent="0.25">
      <c r="A4298" s="41">
        <v>16550</v>
      </c>
      <c r="B4298" s="42" t="s">
        <v>4680</v>
      </c>
      <c r="C4298" s="43" t="s">
        <v>289</v>
      </c>
      <c r="D4298" s="43" t="s">
        <v>435</v>
      </c>
      <c r="E4298" s="43" t="s">
        <v>336</v>
      </c>
    </row>
    <row r="4299" spans="1:5" x14ac:dyDescent="0.25">
      <c r="A4299" s="41">
        <v>16561</v>
      </c>
      <c r="B4299" s="42" t="s">
        <v>4681</v>
      </c>
      <c r="C4299" s="43" t="s">
        <v>289</v>
      </c>
      <c r="D4299" s="43" t="s">
        <v>333</v>
      </c>
      <c r="E4299" s="43" t="s">
        <v>230</v>
      </c>
    </row>
    <row r="4300" spans="1:5" x14ac:dyDescent="0.25">
      <c r="A4300" s="41">
        <v>16572</v>
      </c>
      <c r="B4300" s="42" t="s">
        <v>4682</v>
      </c>
      <c r="C4300" s="43" t="s">
        <v>289</v>
      </c>
      <c r="D4300" s="43" t="s">
        <v>845</v>
      </c>
      <c r="E4300" s="43" t="s">
        <v>230</v>
      </c>
    </row>
    <row r="4301" spans="1:5" x14ac:dyDescent="0.25">
      <c r="A4301" s="41">
        <v>16574</v>
      </c>
      <c r="B4301" s="42" t="s">
        <v>4683</v>
      </c>
      <c r="C4301" s="43" t="s">
        <v>289</v>
      </c>
      <c r="D4301" s="43" t="s">
        <v>996</v>
      </c>
      <c r="E4301" s="43" t="s">
        <v>769</v>
      </c>
    </row>
    <row r="4302" spans="1:5" x14ac:dyDescent="0.25">
      <c r="A4302" s="41">
        <v>16575</v>
      </c>
      <c r="B4302" s="42" t="s">
        <v>4684</v>
      </c>
      <c r="C4302" s="43" t="s">
        <v>289</v>
      </c>
      <c r="D4302" s="43" t="s">
        <v>327</v>
      </c>
      <c r="E4302" s="43" t="s">
        <v>336</v>
      </c>
    </row>
    <row r="4303" spans="1:5" x14ac:dyDescent="0.25">
      <c r="A4303" s="41">
        <v>16576</v>
      </c>
      <c r="B4303" s="42" t="s">
        <v>4685</v>
      </c>
      <c r="C4303" s="43" t="s">
        <v>289</v>
      </c>
      <c r="D4303" s="43" t="s">
        <v>435</v>
      </c>
      <c r="E4303" s="43" t="s">
        <v>464</v>
      </c>
    </row>
    <row r="4304" spans="1:5" x14ac:dyDescent="0.25">
      <c r="A4304" s="41">
        <v>16577</v>
      </c>
      <c r="B4304" s="42" t="s">
        <v>4686</v>
      </c>
      <c r="C4304" s="43" t="s">
        <v>289</v>
      </c>
      <c r="D4304" s="43" t="s">
        <v>410</v>
      </c>
      <c r="E4304" s="43" t="s">
        <v>464</v>
      </c>
    </row>
    <row r="4305" spans="1:5" x14ac:dyDescent="0.25">
      <c r="A4305" s="41">
        <v>16578</v>
      </c>
      <c r="B4305" s="42" t="s">
        <v>4687</v>
      </c>
      <c r="C4305" s="43" t="s">
        <v>289</v>
      </c>
      <c r="D4305" s="43" t="s">
        <v>1100</v>
      </c>
      <c r="E4305" s="43" t="s">
        <v>464</v>
      </c>
    </row>
    <row r="4306" spans="1:5" x14ac:dyDescent="0.25">
      <c r="A4306" s="41">
        <v>16580</v>
      </c>
      <c r="B4306" s="42" t="s">
        <v>4688</v>
      </c>
      <c r="C4306" s="43" t="s">
        <v>289</v>
      </c>
      <c r="D4306" s="43" t="s">
        <v>335</v>
      </c>
      <c r="E4306" s="43" t="s">
        <v>464</v>
      </c>
    </row>
    <row r="4307" spans="1:5" x14ac:dyDescent="0.25">
      <c r="A4307" s="41">
        <v>16582</v>
      </c>
      <c r="B4307" s="42" t="s">
        <v>4689</v>
      </c>
      <c r="C4307" s="43" t="s">
        <v>289</v>
      </c>
      <c r="D4307" s="43" t="s">
        <v>1100</v>
      </c>
      <c r="E4307" s="43" t="s">
        <v>230</v>
      </c>
    </row>
    <row r="4308" spans="1:5" x14ac:dyDescent="0.25">
      <c r="A4308" s="41">
        <v>16592</v>
      </c>
      <c r="B4308" s="42" t="s">
        <v>4690</v>
      </c>
      <c r="C4308" s="43" t="s">
        <v>289</v>
      </c>
      <c r="D4308" s="43" t="s">
        <v>996</v>
      </c>
      <c r="E4308" s="43" t="s">
        <v>864</v>
      </c>
    </row>
    <row r="4309" spans="1:5" x14ac:dyDescent="0.25">
      <c r="A4309" s="41">
        <v>16593</v>
      </c>
      <c r="B4309" s="42" t="s">
        <v>4691</v>
      </c>
      <c r="C4309" s="43" t="s">
        <v>289</v>
      </c>
      <c r="D4309" s="43" t="s">
        <v>996</v>
      </c>
      <c r="E4309" s="43" t="s">
        <v>864</v>
      </c>
    </row>
    <row r="4310" spans="1:5" x14ac:dyDescent="0.25">
      <c r="A4310" s="41">
        <v>16594</v>
      </c>
      <c r="B4310" s="42" t="s">
        <v>4692</v>
      </c>
      <c r="C4310" s="43" t="s">
        <v>289</v>
      </c>
      <c r="D4310" s="43" t="s">
        <v>996</v>
      </c>
      <c r="E4310" s="43" t="s">
        <v>864</v>
      </c>
    </row>
    <row r="4311" spans="1:5" x14ac:dyDescent="0.25">
      <c r="A4311" s="41">
        <v>16595</v>
      </c>
      <c r="B4311" s="42" t="s">
        <v>4693</v>
      </c>
      <c r="C4311" s="43" t="s">
        <v>289</v>
      </c>
      <c r="D4311" s="43" t="s">
        <v>996</v>
      </c>
      <c r="E4311" s="43" t="s">
        <v>864</v>
      </c>
    </row>
    <row r="4312" spans="1:5" x14ac:dyDescent="0.25">
      <c r="A4312" s="41">
        <v>16596</v>
      </c>
      <c r="B4312" s="42" t="s">
        <v>4694</v>
      </c>
      <c r="C4312" s="43" t="s">
        <v>289</v>
      </c>
      <c r="D4312" s="43" t="s">
        <v>996</v>
      </c>
      <c r="E4312" s="43" t="s">
        <v>766</v>
      </c>
    </row>
    <row r="4313" spans="1:5" x14ac:dyDescent="0.25">
      <c r="A4313" s="41">
        <v>16597</v>
      </c>
      <c r="B4313" s="42" t="s">
        <v>4695</v>
      </c>
      <c r="C4313" s="43" t="s">
        <v>289</v>
      </c>
      <c r="D4313" s="43" t="s">
        <v>996</v>
      </c>
      <c r="E4313" s="43" t="s">
        <v>864</v>
      </c>
    </row>
    <row r="4314" spans="1:5" x14ac:dyDescent="0.25">
      <c r="A4314" s="41">
        <v>16598</v>
      </c>
      <c r="B4314" s="42" t="s">
        <v>4696</v>
      </c>
      <c r="C4314" s="43" t="s">
        <v>289</v>
      </c>
      <c r="D4314" s="43" t="s">
        <v>996</v>
      </c>
      <c r="E4314" s="43" t="s">
        <v>864</v>
      </c>
    </row>
    <row r="4315" spans="1:5" x14ac:dyDescent="0.25">
      <c r="A4315" s="41">
        <v>16599</v>
      </c>
      <c r="B4315" s="42" t="s">
        <v>4697</v>
      </c>
      <c r="C4315" s="43" t="s">
        <v>289</v>
      </c>
      <c r="D4315" s="43" t="s">
        <v>996</v>
      </c>
      <c r="E4315" s="43" t="s">
        <v>864</v>
      </c>
    </row>
    <row r="4316" spans="1:5" x14ac:dyDescent="0.25">
      <c r="A4316" s="41">
        <v>16600</v>
      </c>
      <c r="B4316" s="42" t="s">
        <v>4698</v>
      </c>
      <c r="C4316" s="43" t="s">
        <v>289</v>
      </c>
      <c r="D4316" s="43" t="s">
        <v>996</v>
      </c>
      <c r="E4316" s="43" t="s">
        <v>769</v>
      </c>
    </row>
    <row r="4317" spans="1:5" x14ac:dyDescent="0.25">
      <c r="A4317" s="41">
        <v>16601</v>
      </c>
      <c r="B4317" s="42" t="s">
        <v>4699</v>
      </c>
      <c r="C4317" s="43" t="s">
        <v>289</v>
      </c>
      <c r="D4317" s="43" t="s">
        <v>996</v>
      </c>
      <c r="E4317" s="43" t="s">
        <v>864</v>
      </c>
    </row>
    <row r="4318" spans="1:5" x14ac:dyDescent="0.25">
      <c r="A4318" s="41">
        <v>16602</v>
      </c>
      <c r="B4318" s="42" t="s">
        <v>4700</v>
      </c>
      <c r="C4318" s="43" t="s">
        <v>289</v>
      </c>
      <c r="D4318" s="43" t="s">
        <v>996</v>
      </c>
      <c r="E4318" s="43" t="s">
        <v>769</v>
      </c>
    </row>
    <row r="4319" spans="1:5" x14ac:dyDescent="0.25">
      <c r="A4319" s="41">
        <v>16603</v>
      </c>
      <c r="B4319" s="42" t="s">
        <v>4701</v>
      </c>
      <c r="C4319" s="43" t="s">
        <v>289</v>
      </c>
      <c r="D4319" s="43" t="s">
        <v>996</v>
      </c>
      <c r="E4319" s="43" t="s">
        <v>766</v>
      </c>
    </row>
    <row r="4320" spans="1:5" x14ac:dyDescent="0.25">
      <c r="A4320" s="41">
        <v>16604</v>
      </c>
      <c r="B4320" s="42" t="s">
        <v>4702</v>
      </c>
      <c r="C4320" s="43" t="s">
        <v>289</v>
      </c>
      <c r="D4320" s="43" t="s">
        <v>996</v>
      </c>
      <c r="E4320" s="43" t="s">
        <v>864</v>
      </c>
    </row>
    <row r="4321" spans="1:5" x14ac:dyDescent="0.25">
      <c r="A4321" s="41">
        <v>16605</v>
      </c>
      <c r="B4321" s="42" t="s">
        <v>4703</v>
      </c>
      <c r="C4321" s="43" t="s">
        <v>289</v>
      </c>
      <c r="D4321" s="43" t="s">
        <v>996</v>
      </c>
      <c r="E4321" s="43" t="s">
        <v>404</v>
      </c>
    </row>
    <row r="4322" spans="1:5" x14ac:dyDescent="0.25">
      <c r="A4322" s="41">
        <v>16606</v>
      </c>
      <c r="B4322" s="42" t="s">
        <v>4704</v>
      </c>
      <c r="C4322" s="43" t="s">
        <v>289</v>
      </c>
      <c r="D4322" s="43" t="s">
        <v>996</v>
      </c>
      <c r="E4322" s="43" t="s">
        <v>404</v>
      </c>
    </row>
    <row r="4323" spans="1:5" x14ac:dyDescent="0.25">
      <c r="A4323" s="41">
        <v>16607</v>
      </c>
      <c r="B4323" s="42" t="s">
        <v>4705</v>
      </c>
      <c r="C4323" s="43" t="s">
        <v>289</v>
      </c>
      <c r="D4323" s="43" t="s">
        <v>996</v>
      </c>
      <c r="E4323" s="43" t="s">
        <v>230</v>
      </c>
    </row>
    <row r="4324" spans="1:5" x14ac:dyDescent="0.25">
      <c r="A4324" s="41">
        <v>16612</v>
      </c>
      <c r="B4324" s="42" t="s">
        <v>4706</v>
      </c>
      <c r="C4324" s="43" t="s">
        <v>289</v>
      </c>
      <c r="D4324" s="43" t="s">
        <v>1112</v>
      </c>
      <c r="E4324" s="43" t="s">
        <v>464</v>
      </c>
    </row>
    <row r="4325" spans="1:5" x14ac:dyDescent="0.25">
      <c r="A4325" s="41">
        <v>16615</v>
      </c>
      <c r="B4325" s="42" t="s">
        <v>4707</v>
      </c>
      <c r="C4325" s="43" t="s">
        <v>289</v>
      </c>
      <c r="D4325" s="43" t="s">
        <v>1112</v>
      </c>
      <c r="E4325" s="43" t="s">
        <v>464</v>
      </c>
    </row>
    <row r="4326" spans="1:5" x14ac:dyDescent="0.25">
      <c r="A4326" s="41">
        <v>16616</v>
      </c>
      <c r="B4326" s="42" t="s">
        <v>4708</v>
      </c>
      <c r="C4326" s="43" t="s">
        <v>289</v>
      </c>
      <c r="D4326" s="43" t="s">
        <v>1112</v>
      </c>
      <c r="E4326" s="43" t="s">
        <v>464</v>
      </c>
    </row>
    <row r="4327" spans="1:5" x14ac:dyDescent="0.25">
      <c r="A4327" s="41">
        <v>16617</v>
      </c>
      <c r="B4327" s="42" t="s">
        <v>4709</v>
      </c>
      <c r="C4327" s="43" t="s">
        <v>289</v>
      </c>
      <c r="D4327" s="43" t="s">
        <v>1112</v>
      </c>
      <c r="E4327" s="43" t="s">
        <v>464</v>
      </c>
    </row>
    <row r="4328" spans="1:5" x14ac:dyDescent="0.25">
      <c r="A4328" s="41">
        <v>16618</v>
      </c>
      <c r="B4328" s="42" t="s">
        <v>4710</v>
      </c>
      <c r="C4328" s="43" t="s">
        <v>289</v>
      </c>
      <c r="D4328" s="43" t="s">
        <v>1112</v>
      </c>
      <c r="E4328" s="43" t="s">
        <v>464</v>
      </c>
    </row>
    <row r="4329" spans="1:5" x14ac:dyDescent="0.25">
      <c r="A4329" s="41">
        <v>16619</v>
      </c>
      <c r="B4329" s="42" t="s">
        <v>4711</v>
      </c>
      <c r="C4329" s="43" t="s">
        <v>289</v>
      </c>
      <c r="D4329" s="43" t="s">
        <v>410</v>
      </c>
      <c r="E4329" s="43" t="s">
        <v>230</v>
      </c>
    </row>
    <row r="4330" spans="1:5" x14ac:dyDescent="0.25">
      <c r="A4330" s="41">
        <v>16620</v>
      </c>
      <c r="B4330" s="42" t="s">
        <v>4712</v>
      </c>
      <c r="C4330" s="43" t="s">
        <v>289</v>
      </c>
      <c r="D4330" s="43" t="s">
        <v>314</v>
      </c>
      <c r="E4330" s="43" t="s">
        <v>230</v>
      </c>
    </row>
    <row r="4331" spans="1:5" x14ac:dyDescent="0.25">
      <c r="A4331" s="41">
        <v>16621</v>
      </c>
      <c r="B4331" s="42" t="s">
        <v>4713</v>
      </c>
      <c r="C4331" s="43" t="s">
        <v>289</v>
      </c>
      <c r="D4331" s="43" t="s">
        <v>633</v>
      </c>
      <c r="E4331" s="43" t="s">
        <v>230</v>
      </c>
    </row>
    <row r="4332" spans="1:5" x14ac:dyDescent="0.25">
      <c r="A4332" s="41">
        <v>16622</v>
      </c>
      <c r="B4332" s="42" t="s">
        <v>4714</v>
      </c>
      <c r="C4332" s="43" t="s">
        <v>289</v>
      </c>
      <c r="D4332" s="43" t="s">
        <v>316</v>
      </c>
      <c r="E4332" s="43" t="s">
        <v>454</v>
      </c>
    </row>
    <row r="4333" spans="1:5" x14ac:dyDescent="0.25">
      <c r="A4333" s="41">
        <v>16623</v>
      </c>
      <c r="B4333" s="42" t="s">
        <v>4715</v>
      </c>
      <c r="C4333" s="43" t="s">
        <v>289</v>
      </c>
      <c r="D4333" s="43" t="s">
        <v>316</v>
      </c>
      <c r="E4333" s="43" t="s">
        <v>454</v>
      </c>
    </row>
    <row r="4334" spans="1:5" x14ac:dyDescent="0.25">
      <c r="A4334" s="41">
        <v>16624</v>
      </c>
      <c r="B4334" s="42" t="s">
        <v>4716</v>
      </c>
      <c r="C4334" s="43" t="s">
        <v>289</v>
      </c>
      <c r="D4334" s="43" t="s">
        <v>316</v>
      </c>
      <c r="E4334" s="43" t="s">
        <v>454</v>
      </c>
    </row>
    <row r="4335" spans="1:5" x14ac:dyDescent="0.25">
      <c r="A4335" s="41">
        <v>16625</v>
      </c>
      <c r="B4335" s="42" t="s">
        <v>4717</v>
      </c>
      <c r="C4335" s="43" t="s">
        <v>289</v>
      </c>
      <c r="D4335" s="43" t="s">
        <v>316</v>
      </c>
      <c r="E4335" s="43" t="s">
        <v>454</v>
      </c>
    </row>
    <row r="4336" spans="1:5" x14ac:dyDescent="0.25">
      <c r="A4336" s="41">
        <v>16626</v>
      </c>
      <c r="B4336" s="42" t="s">
        <v>4718</v>
      </c>
      <c r="C4336" s="43" t="s">
        <v>289</v>
      </c>
      <c r="D4336" s="43" t="s">
        <v>996</v>
      </c>
      <c r="E4336" s="43" t="s">
        <v>864</v>
      </c>
    </row>
    <row r="4337" spans="1:5" x14ac:dyDescent="0.25">
      <c r="A4337" s="41">
        <v>16627</v>
      </c>
      <c r="B4337" s="42" t="s">
        <v>4719</v>
      </c>
      <c r="C4337" s="43" t="s">
        <v>289</v>
      </c>
      <c r="D4337" s="43" t="s">
        <v>996</v>
      </c>
      <c r="E4337" s="43" t="s">
        <v>864</v>
      </c>
    </row>
    <row r="4338" spans="1:5" x14ac:dyDescent="0.25">
      <c r="A4338" s="41">
        <v>16628</v>
      </c>
      <c r="B4338" s="42" t="s">
        <v>4720</v>
      </c>
      <c r="C4338" s="43" t="s">
        <v>289</v>
      </c>
      <c r="D4338" s="43" t="s">
        <v>996</v>
      </c>
      <c r="E4338" s="43" t="s">
        <v>864</v>
      </c>
    </row>
    <row r="4339" spans="1:5" x14ac:dyDescent="0.25">
      <c r="A4339" s="41">
        <v>16629</v>
      </c>
      <c r="B4339" s="42" t="s">
        <v>4721</v>
      </c>
      <c r="C4339" s="43" t="s">
        <v>289</v>
      </c>
      <c r="D4339" s="43" t="s">
        <v>996</v>
      </c>
      <c r="E4339" s="43" t="s">
        <v>864</v>
      </c>
    </row>
    <row r="4340" spans="1:5" x14ac:dyDescent="0.25">
      <c r="A4340" s="41">
        <v>16630</v>
      </c>
      <c r="B4340" s="42" t="s">
        <v>4722</v>
      </c>
      <c r="C4340" s="43" t="s">
        <v>289</v>
      </c>
      <c r="D4340" s="43" t="s">
        <v>996</v>
      </c>
      <c r="E4340" s="43" t="s">
        <v>864</v>
      </c>
    </row>
    <row r="4341" spans="1:5" x14ac:dyDescent="0.25">
      <c r="A4341" s="41">
        <v>16631</v>
      </c>
      <c r="B4341" s="42" t="s">
        <v>4723</v>
      </c>
      <c r="C4341" s="43" t="s">
        <v>289</v>
      </c>
      <c r="D4341" s="43" t="s">
        <v>996</v>
      </c>
      <c r="E4341" s="43" t="s">
        <v>864</v>
      </c>
    </row>
    <row r="4342" spans="1:5" x14ac:dyDescent="0.25">
      <c r="A4342" s="41">
        <v>16632</v>
      </c>
      <c r="B4342" s="42" t="s">
        <v>4724</v>
      </c>
      <c r="C4342" s="43" t="s">
        <v>289</v>
      </c>
      <c r="D4342" s="43" t="s">
        <v>996</v>
      </c>
      <c r="E4342" s="43" t="s">
        <v>864</v>
      </c>
    </row>
    <row r="4343" spans="1:5" x14ac:dyDescent="0.25">
      <c r="A4343" s="41">
        <v>16633</v>
      </c>
      <c r="B4343" s="42" t="s">
        <v>4725</v>
      </c>
      <c r="C4343" s="43" t="s">
        <v>289</v>
      </c>
      <c r="D4343" s="43" t="s">
        <v>996</v>
      </c>
      <c r="E4343" s="43" t="s">
        <v>864</v>
      </c>
    </row>
    <row r="4344" spans="1:5" x14ac:dyDescent="0.25">
      <c r="A4344" s="41">
        <v>16634</v>
      </c>
      <c r="B4344" s="42" t="s">
        <v>4726</v>
      </c>
      <c r="C4344" s="43" t="s">
        <v>289</v>
      </c>
      <c r="D4344" s="43" t="s">
        <v>996</v>
      </c>
      <c r="E4344" s="43" t="s">
        <v>864</v>
      </c>
    </row>
    <row r="4345" spans="1:5" x14ac:dyDescent="0.25">
      <c r="A4345" s="41">
        <v>16635</v>
      </c>
      <c r="B4345" s="42" t="s">
        <v>4727</v>
      </c>
      <c r="C4345" s="43" t="s">
        <v>289</v>
      </c>
      <c r="D4345" s="43" t="s">
        <v>996</v>
      </c>
      <c r="E4345" s="43" t="s">
        <v>864</v>
      </c>
    </row>
    <row r="4346" spans="1:5" x14ac:dyDescent="0.25">
      <c r="A4346" s="41">
        <v>16636</v>
      </c>
      <c r="B4346" s="42" t="s">
        <v>4728</v>
      </c>
      <c r="C4346" s="43" t="s">
        <v>289</v>
      </c>
      <c r="D4346" s="43" t="s">
        <v>996</v>
      </c>
      <c r="E4346" s="43" t="s">
        <v>864</v>
      </c>
    </row>
    <row r="4347" spans="1:5" x14ac:dyDescent="0.25">
      <c r="A4347" s="41">
        <v>16637</v>
      </c>
      <c r="B4347" s="42" t="s">
        <v>4729</v>
      </c>
      <c r="C4347" s="43" t="s">
        <v>289</v>
      </c>
      <c r="D4347" s="43" t="s">
        <v>996</v>
      </c>
      <c r="E4347" s="43" t="s">
        <v>864</v>
      </c>
    </row>
    <row r="4348" spans="1:5" x14ac:dyDescent="0.25">
      <c r="A4348" s="41">
        <v>16638</v>
      </c>
      <c r="B4348" s="42" t="s">
        <v>4730</v>
      </c>
      <c r="C4348" s="43" t="s">
        <v>289</v>
      </c>
      <c r="D4348" s="43" t="s">
        <v>996</v>
      </c>
      <c r="E4348" s="43" t="s">
        <v>769</v>
      </c>
    </row>
    <row r="4349" spans="1:5" x14ac:dyDescent="0.25">
      <c r="A4349" s="41">
        <v>16639</v>
      </c>
      <c r="B4349" s="42" t="s">
        <v>4731</v>
      </c>
      <c r="C4349" s="43" t="s">
        <v>289</v>
      </c>
      <c r="D4349" s="43" t="s">
        <v>996</v>
      </c>
      <c r="E4349" s="43" t="s">
        <v>769</v>
      </c>
    </row>
    <row r="4350" spans="1:5" x14ac:dyDescent="0.25">
      <c r="A4350" s="41">
        <v>16640</v>
      </c>
      <c r="B4350" s="42" t="s">
        <v>4732</v>
      </c>
      <c r="C4350" s="43" t="s">
        <v>289</v>
      </c>
      <c r="D4350" s="43" t="s">
        <v>996</v>
      </c>
      <c r="E4350" s="43" t="s">
        <v>769</v>
      </c>
    </row>
    <row r="4351" spans="1:5" x14ac:dyDescent="0.25">
      <c r="A4351" s="41">
        <v>16641</v>
      </c>
      <c r="B4351" s="42" t="s">
        <v>4733</v>
      </c>
      <c r="C4351" s="43" t="s">
        <v>289</v>
      </c>
      <c r="D4351" s="43" t="s">
        <v>996</v>
      </c>
      <c r="E4351" s="43" t="s">
        <v>769</v>
      </c>
    </row>
    <row r="4352" spans="1:5" x14ac:dyDescent="0.25">
      <c r="A4352" s="41">
        <v>16642</v>
      </c>
      <c r="B4352" s="42" t="s">
        <v>4734</v>
      </c>
      <c r="C4352" s="43" t="s">
        <v>289</v>
      </c>
      <c r="D4352" s="43" t="s">
        <v>996</v>
      </c>
      <c r="E4352" s="43" t="s">
        <v>769</v>
      </c>
    </row>
    <row r="4353" spans="1:5" x14ac:dyDescent="0.25">
      <c r="A4353" s="41">
        <v>16643</v>
      </c>
      <c r="B4353" s="42" t="s">
        <v>4735</v>
      </c>
      <c r="C4353" s="43" t="s">
        <v>289</v>
      </c>
      <c r="D4353" s="43" t="s">
        <v>996</v>
      </c>
      <c r="E4353" s="43" t="s">
        <v>769</v>
      </c>
    </row>
    <row r="4354" spans="1:5" x14ac:dyDescent="0.25">
      <c r="A4354" s="41">
        <v>16644</v>
      </c>
      <c r="B4354" s="42" t="s">
        <v>4736</v>
      </c>
      <c r="C4354" s="43" t="s">
        <v>289</v>
      </c>
      <c r="D4354" s="43" t="s">
        <v>996</v>
      </c>
      <c r="E4354" s="43" t="s">
        <v>769</v>
      </c>
    </row>
    <row r="4355" spans="1:5" x14ac:dyDescent="0.25">
      <c r="A4355" s="41">
        <v>16645</v>
      </c>
      <c r="B4355" s="42" t="s">
        <v>4737</v>
      </c>
      <c r="C4355" s="43" t="s">
        <v>289</v>
      </c>
      <c r="D4355" s="43" t="s">
        <v>996</v>
      </c>
      <c r="E4355" s="43" t="s">
        <v>769</v>
      </c>
    </row>
    <row r="4356" spans="1:5" x14ac:dyDescent="0.25">
      <c r="A4356" s="41">
        <v>16646</v>
      </c>
      <c r="B4356" s="42" t="s">
        <v>4738</v>
      </c>
      <c r="C4356" s="43" t="s">
        <v>289</v>
      </c>
      <c r="D4356" s="43" t="s">
        <v>996</v>
      </c>
      <c r="E4356" s="43" t="s">
        <v>769</v>
      </c>
    </row>
    <row r="4357" spans="1:5" x14ac:dyDescent="0.25">
      <c r="A4357" s="41">
        <v>16647</v>
      </c>
      <c r="B4357" s="42" t="s">
        <v>4739</v>
      </c>
      <c r="C4357" s="43" t="s">
        <v>289</v>
      </c>
      <c r="D4357" s="43" t="s">
        <v>996</v>
      </c>
      <c r="E4357" s="43" t="s">
        <v>769</v>
      </c>
    </row>
    <row r="4358" spans="1:5" x14ac:dyDescent="0.25">
      <c r="A4358" s="41">
        <v>16648</v>
      </c>
      <c r="B4358" s="42" t="s">
        <v>4740</v>
      </c>
      <c r="C4358" s="43" t="s">
        <v>289</v>
      </c>
      <c r="D4358" s="43" t="s">
        <v>996</v>
      </c>
      <c r="E4358" s="43" t="s">
        <v>769</v>
      </c>
    </row>
    <row r="4359" spans="1:5" x14ac:dyDescent="0.25">
      <c r="A4359" s="41">
        <v>16649</v>
      </c>
      <c r="B4359" s="42" t="s">
        <v>4741</v>
      </c>
      <c r="C4359" s="43" t="s">
        <v>289</v>
      </c>
      <c r="D4359" s="43" t="s">
        <v>996</v>
      </c>
      <c r="E4359" s="43" t="s">
        <v>769</v>
      </c>
    </row>
    <row r="4360" spans="1:5" x14ac:dyDescent="0.25">
      <c r="A4360" s="41">
        <v>16650</v>
      </c>
      <c r="B4360" s="42" t="s">
        <v>4742</v>
      </c>
      <c r="C4360" s="43" t="s">
        <v>289</v>
      </c>
      <c r="D4360" s="43" t="s">
        <v>996</v>
      </c>
      <c r="E4360" s="43" t="s">
        <v>769</v>
      </c>
    </row>
    <row r="4361" spans="1:5" x14ac:dyDescent="0.25">
      <c r="A4361" s="41">
        <v>16651</v>
      </c>
      <c r="B4361" s="42" t="s">
        <v>4743</v>
      </c>
      <c r="C4361" s="43" t="s">
        <v>289</v>
      </c>
      <c r="D4361" s="43" t="s">
        <v>474</v>
      </c>
      <c r="E4361" s="43" t="s">
        <v>336</v>
      </c>
    </row>
    <row r="4362" spans="1:5" x14ac:dyDescent="0.25">
      <c r="A4362" s="41">
        <v>16652</v>
      </c>
      <c r="B4362" s="42" t="s">
        <v>4744</v>
      </c>
      <c r="C4362" s="43" t="s">
        <v>289</v>
      </c>
      <c r="D4362" s="43" t="s">
        <v>1092</v>
      </c>
      <c r="E4362" s="43" t="s">
        <v>230</v>
      </c>
    </row>
    <row r="4363" spans="1:5" x14ac:dyDescent="0.25">
      <c r="A4363" s="41">
        <v>16653</v>
      </c>
      <c r="B4363" s="42" t="s">
        <v>4745</v>
      </c>
      <c r="C4363" s="43" t="s">
        <v>289</v>
      </c>
      <c r="D4363" s="43" t="s">
        <v>1092</v>
      </c>
      <c r="E4363" s="43" t="s">
        <v>230</v>
      </c>
    </row>
    <row r="4364" spans="1:5" x14ac:dyDescent="0.25">
      <c r="A4364" s="41">
        <v>16655</v>
      </c>
      <c r="B4364" s="42" t="s">
        <v>4746</v>
      </c>
      <c r="C4364" s="43" t="s">
        <v>289</v>
      </c>
      <c r="D4364" s="43" t="s">
        <v>314</v>
      </c>
      <c r="E4364" s="43" t="s">
        <v>230</v>
      </c>
    </row>
    <row r="4365" spans="1:5" x14ac:dyDescent="0.25">
      <c r="A4365" s="41">
        <v>16656</v>
      </c>
      <c r="B4365" s="42" t="s">
        <v>4747</v>
      </c>
      <c r="C4365" s="43" t="s">
        <v>289</v>
      </c>
      <c r="D4365" s="43" t="s">
        <v>327</v>
      </c>
      <c r="E4365" s="43" t="s">
        <v>230</v>
      </c>
    </row>
    <row r="4366" spans="1:5" x14ac:dyDescent="0.25">
      <c r="A4366" s="41">
        <v>16657</v>
      </c>
      <c r="B4366" s="42" t="s">
        <v>4748</v>
      </c>
      <c r="C4366" s="43" t="s">
        <v>289</v>
      </c>
      <c r="D4366" s="43" t="s">
        <v>327</v>
      </c>
      <c r="E4366" s="43" t="s">
        <v>230</v>
      </c>
    </row>
    <row r="4367" spans="1:5" x14ac:dyDescent="0.25">
      <c r="A4367" s="41">
        <v>16661</v>
      </c>
      <c r="B4367" s="42" t="s">
        <v>4749</v>
      </c>
      <c r="C4367" s="43" t="s">
        <v>289</v>
      </c>
      <c r="D4367" s="43" t="s">
        <v>996</v>
      </c>
      <c r="E4367" s="43" t="s">
        <v>769</v>
      </c>
    </row>
    <row r="4368" spans="1:5" x14ac:dyDescent="0.25">
      <c r="A4368" s="41">
        <v>16662</v>
      </c>
      <c r="B4368" s="42" t="s">
        <v>4750</v>
      </c>
      <c r="C4368" s="43" t="s">
        <v>289</v>
      </c>
      <c r="D4368" s="43" t="s">
        <v>996</v>
      </c>
      <c r="E4368" s="43" t="s">
        <v>769</v>
      </c>
    </row>
    <row r="4369" spans="1:5" x14ac:dyDescent="0.25">
      <c r="A4369" s="41">
        <v>16663</v>
      </c>
      <c r="B4369" s="42" t="s">
        <v>4751</v>
      </c>
      <c r="C4369" s="43" t="s">
        <v>289</v>
      </c>
      <c r="D4369" s="43" t="s">
        <v>996</v>
      </c>
      <c r="E4369" s="43" t="s">
        <v>769</v>
      </c>
    </row>
    <row r="4370" spans="1:5" x14ac:dyDescent="0.25">
      <c r="A4370" s="41">
        <v>16664</v>
      </c>
      <c r="B4370" s="42" t="s">
        <v>4752</v>
      </c>
      <c r="C4370" s="43" t="s">
        <v>289</v>
      </c>
      <c r="D4370" s="43" t="s">
        <v>996</v>
      </c>
      <c r="E4370" s="43" t="s">
        <v>769</v>
      </c>
    </row>
    <row r="4371" spans="1:5" x14ac:dyDescent="0.25">
      <c r="A4371" s="41">
        <v>16665</v>
      </c>
      <c r="B4371" s="42" t="s">
        <v>4753</v>
      </c>
      <c r="C4371" s="43" t="s">
        <v>289</v>
      </c>
      <c r="D4371" s="43" t="s">
        <v>996</v>
      </c>
      <c r="E4371" s="43" t="s">
        <v>769</v>
      </c>
    </row>
    <row r="4372" spans="1:5" x14ac:dyDescent="0.25">
      <c r="A4372" s="41">
        <v>16666</v>
      </c>
      <c r="B4372" s="42" t="s">
        <v>4754</v>
      </c>
      <c r="C4372" s="43" t="s">
        <v>289</v>
      </c>
      <c r="D4372" s="43" t="s">
        <v>996</v>
      </c>
      <c r="E4372" s="43" t="s">
        <v>769</v>
      </c>
    </row>
    <row r="4373" spans="1:5" x14ac:dyDescent="0.25">
      <c r="A4373" s="41">
        <v>16667</v>
      </c>
      <c r="B4373" s="42" t="s">
        <v>4755</v>
      </c>
      <c r="C4373" s="43" t="s">
        <v>289</v>
      </c>
      <c r="D4373" s="43" t="s">
        <v>996</v>
      </c>
      <c r="E4373" s="43" t="s">
        <v>769</v>
      </c>
    </row>
    <row r="4374" spans="1:5" x14ac:dyDescent="0.25">
      <c r="A4374" s="41">
        <v>16668</v>
      </c>
      <c r="B4374" s="42" t="s">
        <v>4756</v>
      </c>
      <c r="C4374" s="43" t="s">
        <v>289</v>
      </c>
      <c r="D4374" s="43" t="s">
        <v>996</v>
      </c>
      <c r="E4374" s="43" t="s">
        <v>769</v>
      </c>
    </row>
    <row r="4375" spans="1:5" x14ac:dyDescent="0.25">
      <c r="A4375" s="41">
        <v>16669</v>
      </c>
      <c r="B4375" s="42" t="s">
        <v>4757</v>
      </c>
      <c r="C4375" s="43" t="s">
        <v>289</v>
      </c>
      <c r="D4375" s="43" t="s">
        <v>1041</v>
      </c>
      <c r="E4375" s="43" t="s">
        <v>454</v>
      </c>
    </row>
    <row r="4376" spans="1:5" x14ac:dyDescent="0.25">
      <c r="A4376" s="41">
        <v>16670</v>
      </c>
      <c r="B4376" s="42" t="s">
        <v>4758</v>
      </c>
      <c r="C4376" s="43" t="s">
        <v>289</v>
      </c>
      <c r="D4376" s="43" t="s">
        <v>1041</v>
      </c>
      <c r="E4376" s="43" t="s">
        <v>454</v>
      </c>
    </row>
    <row r="4377" spans="1:5" x14ac:dyDescent="0.25">
      <c r="A4377" s="41">
        <v>16671</v>
      </c>
      <c r="B4377" s="42" t="s">
        <v>4673</v>
      </c>
      <c r="C4377" s="43" t="s">
        <v>289</v>
      </c>
      <c r="D4377" s="43" t="s">
        <v>327</v>
      </c>
      <c r="E4377" s="43" t="s">
        <v>454</v>
      </c>
    </row>
    <row r="4378" spans="1:5" x14ac:dyDescent="0.25">
      <c r="A4378" s="41">
        <v>16672</v>
      </c>
      <c r="B4378" s="42" t="s">
        <v>4759</v>
      </c>
      <c r="C4378" s="43" t="s">
        <v>289</v>
      </c>
      <c r="D4378" s="43" t="s">
        <v>996</v>
      </c>
      <c r="E4378" s="43" t="s">
        <v>230</v>
      </c>
    </row>
    <row r="4379" spans="1:5" x14ac:dyDescent="0.25">
      <c r="A4379" s="41">
        <v>16673</v>
      </c>
      <c r="B4379" s="42" t="s">
        <v>4760</v>
      </c>
      <c r="C4379" s="43" t="s">
        <v>289</v>
      </c>
      <c r="D4379" s="43" t="s">
        <v>996</v>
      </c>
      <c r="E4379" s="43" t="s">
        <v>230</v>
      </c>
    </row>
    <row r="4380" spans="1:5" x14ac:dyDescent="0.25">
      <c r="A4380" s="41">
        <v>16674</v>
      </c>
      <c r="B4380" s="42" t="s">
        <v>4761</v>
      </c>
      <c r="C4380" s="43" t="s">
        <v>289</v>
      </c>
      <c r="D4380" s="43" t="s">
        <v>996</v>
      </c>
      <c r="E4380" s="43" t="s">
        <v>464</v>
      </c>
    </row>
    <row r="4381" spans="1:5" x14ac:dyDescent="0.25">
      <c r="A4381" s="41">
        <v>16675</v>
      </c>
      <c r="B4381" s="42" t="s">
        <v>4762</v>
      </c>
      <c r="C4381" s="43" t="s">
        <v>289</v>
      </c>
      <c r="D4381" s="43" t="s">
        <v>996</v>
      </c>
      <c r="E4381" s="43" t="s">
        <v>769</v>
      </c>
    </row>
    <row r="4382" spans="1:5" x14ac:dyDescent="0.25">
      <c r="A4382" s="41">
        <v>16676</v>
      </c>
      <c r="B4382" s="42" t="s">
        <v>4763</v>
      </c>
      <c r="C4382" s="43" t="s">
        <v>289</v>
      </c>
      <c r="D4382" s="43" t="s">
        <v>996</v>
      </c>
      <c r="E4382" s="43" t="s">
        <v>769</v>
      </c>
    </row>
    <row r="4383" spans="1:5" x14ac:dyDescent="0.25">
      <c r="A4383" s="41">
        <v>16677</v>
      </c>
      <c r="B4383" s="42" t="s">
        <v>4764</v>
      </c>
      <c r="C4383" s="43" t="s">
        <v>289</v>
      </c>
      <c r="D4383" s="43" t="s">
        <v>996</v>
      </c>
      <c r="E4383" s="43" t="s">
        <v>769</v>
      </c>
    </row>
    <row r="4384" spans="1:5" x14ac:dyDescent="0.25">
      <c r="A4384" s="41">
        <v>16678</v>
      </c>
      <c r="B4384" s="42" t="s">
        <v>4765</v>
      </c>
      <c r="C4384" s="43" t="s">
        <v>289</v>
      </c>
      <c r="D4384" s="43" t="s">
        <v>996</v>
      </c>
      <c r="E4384" s="43" t="s">
        <v>769</v>
      </c>
    </row>
    <row r="4385" spans="1:5" x14ac:dyDescent="0.25">
      <c r="A4385" s="41">
        <v>16679</v>
      </c>
      <c r="B4385" s="42" t="s">
        <v>4766</v>
      </c>
      <c r="C4385" s="43" t="s">
        <v>289</v>
      </c>
      <c r="D4385" s="43" t="s">
        <v>290</v>
      </c>
      <c r="E4385" s="43" t="s">
        <v>230</v>
      </c>
    </row>
    <row r="4386" spans="1:5" x14ac:dyDescent="0.25">
      <c r="A4386" s="41">
        <v>16681</v>
      </c>
      <c r="B4386" s="42" t="s">
        <v>4767</v>
      </c>
      <c r="C4386" s="43" t="s">
        <v>289</v>
      </c>
      <c r="D4386" s="43" t="s">
        <v>314</v>
      </c>
      <c r="E4386" s="43" t="s">
        <v>464</v>
      </c>
    </row>
    <row r="4387" spans="1:5" x14ac:dyDescent="0.25">
      <c r="A4387" s="41">
        <v>16682</v>
      </c>
      <c r="B4387" s="42" t="s">
        <v>4768</v>
      </c>
      <c r="C4387" s="43" t="s">
        <v>289</v>
      </c>
      <c r="D4387" s="43" t="s">
        <v>1112</v>
      </c>
      <c r="E4387" s="43" t="s">
        <v>230</v>
      </c>
    </row>
    <row r="4388" spans="1:5" x14ac:dyDescent="0.25">
      <c r="A4388" s="41">
        <v>16683</v>
      </c>
      <c r="B4388" s="42" t="s">
        <v>4769</v>
      </c>
      <c r="C4388" s="43" t="s">
        <v>289</v>
      </c>
      <c r="D4388" s="43" t="s">
        <v>1112</v>
      </c>
      <c r="E4388" s="43" t="s">
        <v>230</v>
      </c>
    </row>
    <row r="4389" spans="1:5" x14ac:dyDescent="0.25">
      <c r="A4389" s="41">
        <v>16684</v>
      </c>
      <c r="B4389" s="42" t="s">
        <v>4770</v>
      </c>
      <c r="C4389" s="43" t="s">
        <v>289</v>
      </c>
      <c r="D4389" s="43" t="s">
        <v>1112</v>
      </c>
      <c r="E4389" s="43" t="s">
        <v>230</v>
      </c>
    </row>
    <row r="4390" spans="1:5" x14ac:dyDescent="0.25">
      <c r="A4390" s="41">
        <v>16685</v>
      </c>
      <c r="B4390" s="42" t="s">
        <v>4771</v>
      </c>
      <c r="C4390" s="43" t="s">
        <v>289</v>
      </c>
      <c r="D4390" s="43" t="s">
        <v>1112</v>
      </c>
      <c r="E4390" s="43" t="s">
        <v>230</v>
      </c>
    </row>
    <row r="4391" spans="1:5" x14ac:dyDescent="0.25">
      <c r="A4391" s="41">
        <v>16687</v>
      </c>
      <c r="B4391" s="42" t="s">
        <v>4772</v>
      </c>
      <c r="C4391" s="43" t="s">
        <v>289</v>
      </c>
      <c r="D4391" s="43" t="s">
        <v>290</v>
      </c>
      <c r="E4391" s="43" t="s">
        <v>230</v>
      </c>
    </row>
    <row r="4392" spans="1:5" x14ac:dyDescent="0.25">
      <c r="A4392" s="41">
        <v>16688</v>
      </c>
      <c r="B4392" s="42" t="s">
        <v>4773</v>
      </c>
      <c r="C4392" s="43" t="s">
        <v>289</v>
      </c>
      <c r="D4392" s="43" t="s">
        <v>996</v>
      </c>
      <c r="E4392" s="43" t="s">
        <v>531</v>
      </c>
    </row>
    <row r="4393" spans="1:5" x14ac:dyDescent="0.25">
      <c r="A4393" s="41">
        <v>16689</v>
      </c>
      <c r="B4393" s="42" t="s">
        <v>4774</v>
      </c>
      <c r="C4393" s="43" t="s">
        <v>289</v>
      </c>
      <c r="D4393" s="43" t="s">
        <v>996</v>
      </c>
      <c r="E4393" s="43" t="s">
        <v>531</v>
      </c>
    </row>
    <row r="4394" spans="1:5" x14ac:dyDescent="0.25">
      <c r="A4394" s="41">
        <v>16692</v>
      </c>
      <c r="B4394" s="42" t="s">
        <v>4775</v>
      </c>
      <c r="C4394" s="43" t="s">
        <v>289</v>
      </c>
      <c r="D4394" s="43" t="s">
        <v>2334</v>
      </c>
      <c r="E4394" s="43" t="s">
        <v>464</v>
      </c>
    </row>
    <row r="4395" spans="1:5" x14ac:dyDescent="0.25">
      <c r="A4395" s="41">
        <v>16694</v>
      </c>
      <c r="B4395" s="42" t="s">
        <v>4776</v>
      </c>
      <c r="C4395" s="43" t="s">
        <v>289</v>
      </c>
      <c r="D4395" s="43" t="s">
        <v>996</v>
      </c>
      <c r="E4395" s="43" t="s">
        <v>336</v>
      </c>
    </row>
    <row r="4396" spans="1:5" x14ac:dyDescent="0.25">
      <c r="A4396" s="41">
        <v>16696</v>
      </c>
      <c r="B4396" s="42" t="s">
        <v>4777</v>
      </c>
      <c r="C4396" s="43" t="s">
        <v>289</v>
      </c>
      <c r="D4396" s="43" t="s">
        <v>941</v>
      </c>
      <c r="E4396" s="43" t="s">
        <v>230</v>
      </c>
    </row>
    <row r="4397" spans="1:5" x14ac:dyDescent="0.25">
      <c r="A4397" s="41">
        <v>16697</v>
      </c>
      <c r="B4397" s="42" t="s">
        <v>4778</v>
      </c>
      <c r="C4397" s="43" t="s">
        <v>289</v>
      </c>
      <c r="D4397" s="43" t="s">
        <v>410</v>
      </c>
      <c r="E4397" s="43" t="s">
        <v>230</v>
      </c>
    </row>
    <row r="4398" spans="1:5" x14ac:dyDescent="0.25">
      <c r="A4398" s="41">
        <v>16698</v>
      </c>
      <c r="B4398" s="42" t="s">
        <v>4779</v>
      </c>
      <c r="C4398" s="43" t="s">
        <v>289</v>
      </c>
      <c r="D4398" s="43" t="s">
        <v>996</v>
      </c>
      <c r="E4398" s="43" t="s">
        <v>436</v>
      </c>
    </row>
    <row r="4399" spans="1:5" x14ac:dyDescent="0.25">
      <c r="A4399" s="41">
        <v>16699</v>
      </c>
      <c r="B4399" s="42" t="s">
        <v>4780</v>
      </c>
      <c r="C4399" s="43" t="s">
        <v>289</v>
      </c>
      <c r="D4399" s="43" t="s">
        <v>996</v>
      </c>
      <c r="E4399" s="43" t="s">
        <v>766</v>
      </c>
    </row>
    <row r="4400" spans="1:5" x14ac:dyDescent="0.25">
      <c r="A4400" s="41">
        <v>16700</v>
      </c>
      <c r="B4400" s="42" t="s">
        <v>4781</v>
      </c>
      <c r="C4400" s="43" t="s">
        <v>289</v>
      </c>
      <c r="D4400" s="43" t="s">
        <v>996</v>
      </c>
      <c r="E4400" s="43" t="s">
        <v>766</v>
      </c>
    </row>
    <row r="4401" spans="1:5" x14ac:dyDescent="0.25">
      <c r="A4401" s="41">
        <v>16702</v>
      </c>
      <c r="B4401" s="42" t="s">
        <v>4782</v>
      </c>
      <c r="C4401" s="43" t="s">
        <v>289</v>
      </c>
      <c r="D4401" s="43" t="s">
        <v>1100</v>
      </c>
      <c r="E4401" s="43" t="s">
        <v>230</v>
      </c>
    </row>
    <row r="4402" spans="1:5" x14ac:dyDescent="0.25">
      <c r="A4402" s="41">
        <v>16706</v>
      </c>
      <c r="B4402" s="42" t="s">
        <v>4783</v>
      </c>
      <c r="C4402" s="43" t="s">
        <v>289</v>
      </c>
      <c r="D4402" s="43" t="s">
        <v>333</v>
      </c>
      <c r="E4402" s="43" t="s">
        <v>170</v>
      </c>
    </row>
    <row r="4403" spans="1:5" x14ac:dyDescent="0.25">
      <c r="A4403" s="41">
        <v>16708</v>
      </c>
      <c r="B4403" s="42" t="s">
        <v>4784</v>
      </c>
      <c r="C4403" s="43" t="s">
        <v>289</v>
      </c>
      <c r="D4403" s="43" t="s">
        <v>333</v>
      </c>
      <c r="E4403" s="43" t="s">
        <v>230</v>
      </c>
    </row>
    <row r="4404" spans="1:5" x14ac:dyDescent="0.25">
      <c r="A4404" s="41">
        <v>16709</v>
      </c>
      <c r="B4404" s="42" t="s">
        <v>4785</v>
      </c>
      <c r="C4404" s="43" t="s">
        <v>289</v>
      </c>
      <c r="D4404" s="43" t="s">
        <v>333</v>
      </c>
      <c r="E4404" s="43" t="s">
        <v>531</v>
      </c>
    </row>
    <row r="4405" spans="1:5" x14ac:dyDescent="0.25">
      <c r="A4405" s="41">
        <v>16710</v>
      </c>
      <c r="B4405" s="42" t="s">
        <v>4786</v>
      </c>
      <c r="C4405" s="43" t="s">
        <v>289</v>
      </c>
      <c r="D4405" s="43" t="s">
        <v>333</v>
      </c>
      <c r="E4405" s="43" t="s">
        <v>230</v>
      </c>
    </row>
    <row r="4406" spans="1:5" x14ac:dyDescent="0.25">
      <c r="A4406" s="41">
        <v>16711</v>
      </c>
      <c r="B4406" s="42" t="s">
        <v>4787</v>
      </c>
      <c r="C4406" s="43" t="s">
        <v>289</v>
      </c>
      <c r="D4406" s="43" t="s">
        <v>314</v>
      </c>
      <c r="E4406" s="43" t="s">
        <v>230</v>
      </c>
    </row>
    <row r="4407" spans="1:5" x14ac:dyDescent="0.25">
      <c r="A4407" s="41">
        <v>16712</v>
      </c>
      <c r="B4407" s="42" t="s">
        <v>4788</v>
      </c>
      <c r="C4407" s="43" t="s">
        <v>289</v>
      </c>
      <c r="D4407" s="43" t="s">
        <v>314</v>
      </c>
      <c r="E4407" s="43" t="s">
        <v>230</v>
      </c>
    </row>
    <row r="4408" spans="1:5" x14ac:dyDescent="0.25">
      <c r="A4408" s="41">
        <v>16714</v>
      </c>
      <c r="B4408" s="42" t="s">
        <v>4789</v>
      </c>
      <c r="C4408" s="43" t="s">
        <v>289</v>
      </c>
      <c r="D4408" s="43" t="s">
        <v>1112</v>
      </c>
      <c r="E4408" s="43" t="s">
        <v>464</v>
      </c>
    </row>
    <row r="4409" spans="1:5" x14ac:dyDescent="0.25">
      <c r="A4409" s="41">
        <v>16716</v>
      </c>
      <c r="B4409" s="42" t="s">
        <v>4790</v>
      </c>
      <c r="C4409" s="43" t="s">
        <v>289</v>
      </c>
      <c r="D4409" s="43" t="s">
        <v>1112</v>
      </c>
      <c r="E4409" s="43" t="s">
        <v>464</v>
      </c>
    </row>
    <row r="4410" spans="1:5" x14ac:dyDescent="0.25">
      <c r="A4410" s="41">
        <v>16717</v>
      </c>
      <c r="B4410" s="42" t="s">
        <v>4791</v>
      </c>
      <c r="C4410" s="43" t="s">
        <v>289</v>
      </c>
      <c r="D4410" s="43" t="s">
        <v>1138</v>
      </c>
      <c r="E4410" s="43" t="s">
        <v>454</v>
      </c>
    </row>
    <row r="4411" spans="1:5" x14ac:dyDescent="0.25">
      <c r="A4411" s="41">
        <v>16718</v>
      </c>
      <c r="B4411" s="42" t="s">
        <v>4792</v>
      </c>
      <c r="C4411" s="43" t="s">
        <v>289</v>
      </c>
      <c r="D4411" s="43" t="s">
        <v>316</v>
      </c>
      <c r="E4411" s="43" t="s">
        <v>336</v>
      </c>
    </row>
    <row r="4412" spans="1:5" x14ac:dyDescent="0.25">
      <c r="A4412" s="41">
        <v>16719</v>
      </c>
      <c r="B4412" s="42" t="s">
        <v>4793</v>
      </c>
      <c r="C4412" s="43" t="s">
        <v>289</v>
      </c>
      <c r="D4412" s="43" t="s">
        <v>316</v>
      </c>
      <c r="E4412" s="43" t="s">
        <v>336</v>
      </c>
    </row>
    <row r="4413" spans="1:5" x14ac:dyDescent="0.25">
      <c r="A4413" s="41">
        <v>16720</v>
      </c>
      <c r="B4413" s="42" t="s">
        <v>4578</v>
      </c>
      <c r="C4413" s="43" t="s">
        <v>289</v>
      </c>
      <c r="D4413" s="43" t="s">
        <v>996</v>
      </c>
      <c r="E4413" s="43" t="s">
        <v>230</v>
      </c>
    </row>
    <row r="4414" spans="1:5" x14ac:dyDescent="0.25">
      <c r="A4414" s="41">
        <v>16721</v>
      </c>
      <c r="B4414" s="42" t="s">
        <v>4794</v>
      </c>
      <c r="C4414" s="43" t="s">
        <v>289</v>
      </c>
      <c r="D4414" s="43" t="s">
        <v>996</v>
      </c>
      <c r="E4414" s="43" t="s">
        <v>230</v>
      </c>
    </row>
    <row r="4415" spans="1:5" x14ac:dyDescent="0.25">
      <c r="A4415" s="41">
        <v>16722</v>
      </c>
      <c r="B4415" s="42" t="s">
        <v>4795</v>
      </c>
      <c r="C4415" s="43" t="s">
        <v>289</v>
      </c>
      <c r="D4415" s="43" t="s">
        <v>996</v>
      </c>
      <c r="E4415" s="43" t="s">
        <v>230</v>
      </c>
    </row>
    <row r="4416" spans="1:5" x14ac:dyDescent="0.25">
      <c r="A4416" s="41">
        <v>16723</v>
      </c>
      <c r="B4416" s="42" t="s">
        <v>4796</v>
      </c>
      <c r="C4416" s="43" t="s">
        <v>289</v>
      </c>
      <c r="D4416" s="43" t="s">
        <v>996</v>
      </c>
      <c r="E4416" s="43" t="s">
        <v>230</v>
      </c>
    </row>
    <row r="4417" spans="1:5" x14ac:dyDescent="0.25">
      <c r="A4417" s="41">
        <v>16724</v>
      </c>
      <c r="B4417" s="42" t="s">
        <v>4797</v>
      </c>
      <c r="C4417" s="43" t="s">
        <v>289</v>
      </c>
      <c r="D4417" s="43" t="s">
        <v>996</v>
      </c>
      <c r="E4417" s="43" t="s">
        <v>230</v>
      </c>
    </row>
    <row r="4418" spans="1:5" x14ac:dyDescent="0.25">
      <c r="A4418" s="41">
        <v>16726</v>
      </c>
      <c r="B4418" s="42" t="s">
        <v>4798</v>
      </c>
      <c r="C4418" s="43" t="s">
        <v>289</v>
      </c>
      <c r="D4418" s="43" t="s">
        <v>1112</v>
      </c>
      <c r="E4418" s="43" t="s">
        <v>464</v>
      </c>
    </row>
    <row r="4419" spans="1:5" x14ac:dyDescent="0.25">
      <c r="A4419" s="41">
        <v>16727</v>
      </c>
      <c r="B4419" s="42" t="s">
        <v>4799</v>
      </c>
      <c r="C4419" s="43" t="s">
        <v>289</v>
      </c>
      <c r="D4419" s="43" t="s">
        <v>410</v>
      </c>
      <c r="E4419" s="43" t="s">
        <v>230</v>
      </c>
    </row>
    <row r="4420" spans="1:5" x14ac:dyDescent="0.25">
      <c r="A4420" s="41">
        <v>16728</v>
      </c>
      <c r="B4420" s="42" t="s">
        <v>4800</v>
      </c>
      <c r="C4420" s="43" t="s">
        <v>289</v>
      </c>
      <c r="D4420" s="43" t="s">
        <v>410</v>
      </c>
      <c r="E4420" s="43" t="s">
        <v>230</v>
      </c>
    </row>
    <row r="4421" spans="1:5" x14ac:dyDescent="0.25">
      <c r="A4421" s="41">
        <v>16729</v>
      </c>
      <c r="B4421" s="42" t="s">
        <v>4801</v>
      </c>
      <c r="C4421" s="43" t="s">
        <v>289</v>
      </c>
      <c r="D4421" s="43" t="s">
        <v>410</v>
      </c>
      <c r="E4421" s="43" t="s">
        <v>230</v>
      </c>
    </row>
    <row r="4422" spans="1:5" x14ac:dyDescent="0.25">
      <c r="A4422" s="41">
        <v>16730</v>
      </c>
      <c r="B4422" s="42" t="s">
        <v>4802</v>
      </c>
      <c r="C4422" s="43" t="s">
        <v>289</v>
      </c>
      <c r="D4422" s="43" t="s">
        <v>410</v>
      </c>
      <c r="E4422" s="43" t="s">
        <v>230</v>
      </c>
    </row>
    <row r="4423" spans="1:5" x14ac:dyDescent="0.25">
      <c r="A4423" s="41">
        <v>16731</v>
      </c>
      <c r="B4423" s="42" t="s">
        <v>4803</v>
      </c>
      <c r="C4423" s="43" t="s">
        <v>289</v>
      </c>
      <c r="D4423" s="43" t="s">
        <v>410</v>
      </c>
      <c r="E4423" s="43" t="s">
        <v>230</v>
      </c>
    </row>
    <row r="4424" spans="1:5" x14ac:dyDescent="0.25">
      <c r="A4424" s="41">
        <v>16737</v>
      </c>
      <c r="B4424" s="42" t="s">
        <v>4804</v>
      </c>
      <c r="C4424" s="43" t="s">
        <v>289</v>
      </c>
      <c r="D4424" s="43" t="s">
        <v>410</v>
      </c>
      <c r="E4424" s="43" t="s">
        <v>230</v>
      </c>
    </row>
    <row r="4425" spans="1:5" x14ac:dyDescent="0.25">
      <c r="A4425" s="41">
        <v>16738</v>
      </c>
      <c r="B4425" s="42" t="s">
        <v>4805</v>
      </c>
      <c r="C4425" s="43" t="s">
        <v>289</v>
      </c>
      <c r="D4425" s="43" t="s">
        <v>4116</v>
      </c>
      <c r="E4425" s="43" t="s">
        <v>769</v>
      </c>
    </row>
    <row r="4426" spans="1:5" x14ac:dyDescent="0.25">
      <c r="A4426" s="41">
        <v>16739</v>
      </c>
      <c r="B4426" s="42" t="s">
        <v>4806</v>
      </c>
      <c r="C4426" s="43" t="s">
        <v>289</v>
      </c>
      <c r="D4426" s="43" t="s">
        <v>482</v>
      </c>
      <c r="E4426" s="43" t="s">
        <v>230</v>
      </c>
    </row>
    <row r="4427" spans="1:5" x14ac:dyDescent="0.25">
      <c r="A4427" s="41">
        <v>16745</v>
      </c>
      <c r="B4427" s="42" t="s">
        <v>4807</v>
      </c>
      <c r="C4427" s="43" t="s">
        <v>289</v>
      </c>
      <c r="D4427" s="43" t="s">
        <v>1112</v>
      </c>
      <c r="E4427" s="43" t="s">
        <v>230</v>
      </c>
    </row>
    <row r="4428" spans="1:5" x14ac:dyDescent="0.25">
      <c r="A4428" s="41">
        <v>16746</v>
      </c>
      <c r="B4428" s="42" t="s">
        <v>4808</v>
      </c>
      <c r="C4428" s="43" t="s">
        <v>289</v>
      </c>
      <c r="D4428" s="43" t="s">
        <v>1112</v>
      </c>
      <c r="E4428" s="43" t="s">
        <v>230</v>
      </c>
    </row>
    <row r="4429" spans="1:5" x14ac:dyDescent="0.25">
      <c r="A4429" s="41">
        <v>16747</v>
      </c>
      <c r="B4429" s="42" t="s">
        <v>4809</v>
      </c>
      <c r="C4429" s="43" t="s">
        <v>289</v>
      </c>
      <c r="D4429" s="43" t="s">
        <v>1112</v>
      </c>
      <c r="E4429" s="43" t="s">
        <v>230</v>
      </c>
    </row>
    <row r="4430" spans="1:5" x14ac:dyDescent="0.25">
      <c r="A4430" s="41">
        <v>16759</v>
      </c>
      <c r="B4430" s="42" t="s">
        <v>4810</v>
      </c>
      <c r="C4430" s="43" t="s">
        <v>289</v>
      </c>
      <c r="D4430" s="43" t="s">
        <v>635</v>
      </c>
      <c r="E4430" s="43" t="s">
        <v>230</v>
      </c>
    </row>
    <row r="4431" spans="1:5" x14ac:dyDescent="0.25">
      <c r="A4431" s="41">
        <v>16761</v>
      </c>
      <c r="B4431" s="42" t="s">
        <v>4811</v>
      </c>
      <c r="C4431" s="43" t="s">
        <v>289</v>
      </c>
      <c r="D4431" s="43" t="s">
        <v>633</v>
      </c>
      <c r="E4431" s="43" t="s">
        <v>230</v>
      </c>
    </row>
    <row r="4432" spans="1:5" x14ac:dyDescent="0.25">
      <c r="A4432" s="41">
        <v>16763</v>
      </c>
      <c r="B4432" s="42" t="s">
        <v>4812</v>
      </c>
      <c r="C4432" s="43" t="s">
        <v>289</v>
      </c>
      <c r="D4432" s="43" t="s">
        <v>635</v>
      </c>
      <c r="E4432" s="43" t="s">
        <v>230</v>
      </c>
    </row>
    <row r="4433" spans="1:5" x14ac:dyDescent="0.25">
      <c r="A4433" s="41">
        <v>16764</v>
      </c>
      <c r="B4433" s="42" t="s">
        <v>4813</v>
      </c>
      <c r="C4433" s="43" t="s">
        <v>289</v>
      </c>
      <c r="D4433" s="43" t="s">
        <v>635</v>
      </c>
      <c r="E4433" s="43" t="s">
        <v>230</v>
      </c>
    </row>
    <row r="4434" spans="1:5" x14ac:dyDescent="0.25">
      <c r="A4434" s="41">
        <v>16765</v>
      </c>
      <c r="B4434" s="42" t="s">
        <v>4814</v>
      </c>
      <c r="C4434" s="43" t="s">
        <v>289</v>
      </c>
      <c r="D4434" s="43" t="s">
        <v>1100</v>
      </c>
      <c r="E4434" s="43" t="s">
        <v>230</v>
      </c>
    </row>
    <row r="4435" spans="1:5" x14ac:dyDescent="0.25">
      <c r="A4435" s="41">
        <v>16766</v>
      </c>
      <c r="B4435" s="42" t="s">
        <v>4815</v>
      </c>
      <c r="C4435" s="43" t="s">
        <v>289</v>
      </c>
      <c r="D4435" s="43" t="s">
        <v>1112</v>
      </c>
      <c r="E4435" s="43" t="s">
        <v>464</v>
      </c>
    </row>
    <row r="4436" spans="1:5" x14ac:dyDescent="0.25">
      <c r="A4436" s="41">
        <v>16767</v>
      </c>
      <c r="B4436" s="42" t="s">
        <v>4816</v>
      </c>
      <c r="C4436" s="43" t="s">
        <v>289</v>
      </c>
      <c r="D4436" s="43" t="s">
        <v>1112</v>
      </c>
      <c r="E4436" s="43" t="s">
        <v>464</v>
      </c>
    </row>
    <row r="4437" spans="1:5" x14ac:dyDescent="0.25">
      <c r="A4437" s="41">
        <v>16769</v>
      </c>
      <c r="B4437" s="42" t="s">
        <v>4817</v>
      </c>
      <c r="C4437" s="43" t="s">
        <v>289</v>
      </c>
      <c r="D4437" s="43" t="s">
        <v>1112</v>
      </c>
      <c r="E4437" s="43" t="s">
        <v>464</v>
      </c>
    </row>
    <row r="4438" spans="1:5" x14ac:dyDescent="0.25">
      <c r="A4438" s="41">
        <v>16770</v>
      </c>
      <c r="B4438" s="42" t="s">
        <v>4818</v>
      </c>
      <c r="C4438" s="43" t="s">
        <v>289</v>
      </c>
      <c r="D4438" s="43" t="s">
        <v>1041</v>
      </c>
      <c r="E4438" s="43" t="s">
        <v>230</v>
      </c>
    </row>
    <row r="4439" spans="1:5" x14ac:dyDescent="0.25">
      <c r="A4439" s="41">
        <v>16771</v>
      </c>
      <c r="B4439" s="42" t="s">
        <v>4819</v>
      </c>
      <c r="C4439" s="43" t="s">
        <v>289</v>
      </c>
      <c r="D4439" s="43" t="s">
        <v>3754</v>
      </c>
      <c r="E4439" s="43" t="s">
        <v>769</v>
      </c>
    </row>
    <row r="4440" spans="1:5" x14ac:dyDescent="0.25">
      <c r="A4440" s="41">
        <v>16774</v>
      </c>
      <c r="B4440" s="42" t="s">
        <v>4820</v>
      </c>
      <c r="C4440" s="43" t="s">
        <v>289</v>
      </c>
      <c r="D4440" s="43" t="s">
        <v>1112</v>
      </c>
      <c r="E4440" s="43" t="s">
        <v>464</v>
      </c>
    </row>
    <row r="4441" spans="1:5" x14ac:dyDescent="0.25">
      <c r="A4441" s="41">
        <v>16782</v>
      </c>
      <c r="B4441" s="42" t="s">
        <v>4821</v>
      </c>
      <c r="C4441" s="43" t="s">
        <v>289</v>
      </c>
      <c r="D4441" s="43" t="s">
        <v>433</v>
      </c>
      <c r="E4441" s="43" t="s">
        <v>230</v>
      </c>
    </row>
    <row r="4442" spans="1:5" x14ac:dyDescent="0.25">
      <c r="A4442" s="41">
        <v>16791</v>
      </c>
      <c r="B4442" s="42" t="s">
        <v>4822</v>
      </c>
      <c r="C4442" s="43" t="s">
        <v>289</v>
      </c>
      <c r="D4442" s="43" t="s">
        <v>1041</v>
      </c>
      <c r="E4442" s="43" t="s">
        <v>230</v>
      </c>
    </row>
    <row r="4443" spans="1:5" x14ac:dyDescent="0.25">
      <c r="A4443" s="41">
        <v>16792</v>
      </c>
      <c r="B4443" s="42" t="s">
        <v>4823</v>
      </c>
      <c r="C4443" s="43" t="s">
        <v>289</v>
      </c>
      <c r="D4443" s="43" t="s">
        <v>1041</v>
      </c>
      <c r="E4443" s="43" t="s">
        <v>230</v>
      </c>
    </row>
    <row r="4444" spans="1:5" x14ac:dyDescent="0.25">
      <c r="A4444" s="41">
        <v>16793</v>
      </c>
      <c r="B4444" s="42" t="s">
        <v>4824</v>
      </c>
      <c r="C4444" s="43" t="s">
        <v>289</v>
      </c>
      <c r="D4444" s="43" t="s">
        <v>1041</v>
      </c>
      <c r="E4444" s="43" t="s">
        <v>230</v>
      </c>
    </row>
    <row r="4445" spans="1:5" x14ac:dyDescent="0.25">
      <c r="A4445" s="41">
        <v>16794</v>
      </c>
      <c r="B4445" s="42" t="s">
        <v>4825</v>
      </c>
      <c r="C4445" s="43" t="s">
        <v>289</v>
      </c>
      <c r="D4445" s="43" t="s">
        <v>1041</v>
      </c>
      <c r="E4445" s="43" t="s">
        <v>230</v>
      </c>
    </row>
    <row r="4446" spans="1:5" x14ac:dyDescent="0.25">
      <c r="A4446" s="41">
        <v>16795</v>
      </c>
      <c r="B4446" s="42" t="s">
        <v>4826</v>
      </c>
      <c r="C4446" s="43" t="s">
        <v>289</v>
      </c>
      <c r="D4446" s="43" t="s">
        <v>1041</v>
      </c>
      <c r="E4446" s="43" t="s">
        <v>230</v>
      </c>
    </row>
    <row r="4447" spans="1:5" x14ac:dyDescent="0.25">
      <c r="A4447" s="41">
        <v>16796</v>
      </c>
      <c r="B4447" s="42" t="s">
        <v>4827</v>
      </c>
      <c r="C4447" s="43" t="s">
        <v>289</v>
      </c>
      <c r="D4447" s="43" t="s">
        <v>1112</v>
      </c>
      <c r="E4447" s="43" t="s">
        <v>464</v>
      </c>
    </row>
    <row r="4448" spans="1:5" x14ac:dyDescent="0.25">
      <c r="A4448" s="41">
        <v>16797</v>
      </c>
      <c r="B4448" s="42" t="s">
        <v>4828</v>
      </c>
      <c r="C4448" s="43" t="s">
        <v>289</v>
      </c>
      <c r="D4448" s="43" t="s">
        <v>1112</v>
      </c>
      <c r="E4448" s="43" t="s">
        <v>464</v>
      </c>
    </row>
    <row r="4449" spans="1:5" x14ac:dyDescent="0.25">
      <c r="A4449" s="41">
        <v>16798</v>
      </c>
      <c r="B4449" s="42" t="s">
        <v>4829</v>
      </c>
      <c r="C4449" s="43" t="s">
        <v>289</v>
      </c>
      <c r="D4449" s="43" t="s">
        <v>314</v>
      </c>
      <c r="E4449" s="43" t="s">
        <v>336</v>
      </c>
    </row>
    <row r="4450" spans="1:5" x14ac:dyDescent="0.25">
      <c r="A4450" s="41">
        <v>16799</v>
      </c>
      <c r="B4450" s="42" t="s">
        <v>4830</v>
      </c>
      <c r="C4450" s="43" t="s">
        <v>289</v>
      </c>
      <c r="D4450" s="43" t="s">
        <v>314</v>
      </c>
      <c r="E4450" s="43" t="s">
        <v>336</v>
      </c>
    </row>
    <row r="4451" spans="1:5" x14ac:dyDescent="0.25">
      <c r="A4451" s="41">
        <v>16800</v>
      </c>
      <c r="B4451" s="42" t="s">
        <v>4804</v>
      </c>
      <c r="C4451" s="43" t="s">
        <v>289</v>
      </c>
      <c r="D4451" s="43" t="s">
        <v>410</v>
      </c>
      <c r="E4451" s="43" t="s">
        <v>470</v>
      </c>
    </row>
    <row r="4452" spans="1:5" x14ac:dyDescent="0.25">
      <c r="A4452" s="41">
        <v>16803</v>
      </c>
      <c r="B4452" s="42" t="s">
        <v>4831</v>
      </c>
      <c r="C4452" s="43" t="s">
        <v>289</v>
      </c>
      <c r="D4452" s="43" t="s">
        <v>1112</v>
      </c>
      <c r="E4452" s="43" t="s">
        <v>464</v>
      </c>
    </row>
    <row r="4453" spans="1:5" x14ac:dyDescent="0.25">
      <c r="A4453" s="41">
        <v>16805</v>
      </c>
      <c r="B4453" s="42" t="s">
        <v>4832</v>
      </c>
      <c r="C4453" s="43" t="s">
        <v>289</v>
      </c>
      <c r="D4453" s="43" t="s">
        <v>1112</v>
      </c>
      <c r="E4453" s="43" t="s">
        <v>464</v>
      </c>
    </row>
    <row r="4454" spans="1:5" x14ac:dyDescent="0.25">
      <c r="A4454" s="41">
        <v>16832</v>
      </c>
      <c r="B4454" s="42" t="s">
        <v>4833</v>
      </c>
      <c r="C4454" s="43" t="s">
        <v>289</v>
      </c>
      <c r="D4454" s="43" t="s">
        <v>1112</v>
      </c>
      <c r="E4454" s="43" t="s">
        <v>230</v>
      </c>
    </row>
    <row r="4455" spans="1:5" x14ac:dyDescent="0.25">
      <c r="A4455" s="41">
        <v>16833</v>
      </c>
      <c r="B4455" s="42" t="s">
        <v>4834</v>
      </c>
      <c r="C4455" s="43" t="s">
        <v>289</v>
      </c>
      <c r="D4455" s="43" t="s">
        <v>1112</v>
      </c>
      <c r="E4455" s="43" t="s">
        <v>230</v>
      </c>
    </row>
    <row r="4456" spans="1:5" x14ac:dyDescent="0.25">
      <c r="A4456" s="41">
        <v>16835</v>
      </c>
      <c r="B4456" s="42" t="s">
        <v>4835</v>
      </c>
      <c r="C4456" s="43" t="s">
        <v>289</v>
      </c>
      <c r="D4456" s="43" t="s">
        <v>1112</v>
      </c>
      <c r="E4456" s="43" t="s">
        <v>230</v>
      </c>
    </row>
    <row r="4457" spans="1:5" x14ac:dyDescent="0.25">
      <c r="A4457" s="41">
        <v>16836</v>
      </c>
      <c r="B4457" s="42" t="s">
        <v>4836</v>
      </c>
      <c r="C4457" s="43" t="s">
        <v>289</v>
      </c>
      <c r="D4457" s="43" t="s">
        <v>1112</v>
      </c>
      <c r="E4457" s="43" t="s">
        <v>230</v>
      </c>
    </row>
    <row r="4458" spans="1:5" x14ac:dyDescent="0.25">
      <c r="A4458" s="41">
        <v>16841</v>
      </c>
      <c r="B4458" s="42" t="s">
        <v>4837</v>
      </c>
      <c r="C4458" s="43" t="s">
        <v>289</v>
      </c>
      <c r="D4458" s="43" t="s">
        <v>1112</v>
      </c>
      <c r="E4458" s="43" t="s">
        <v>230</v>
      </c>
    </row>
    <row r="4459" spans="1:5" x14ac:dyDescent="0.25">
      <c r="A4459" s="41">
        <v>16846</v>
      </c>
      <c r="B4459" s="42" t="s">
        <v>4838</v>
      </c>
      <c r="C4459" s="43" t="s">
        <v>289</v>
      </c>
      <c r="D4459" s="43" t="s">
        <v>1112</v>
      </c>
      <c r="E4459" s="43" t="s">
        <v>230</v>
      </c>
    </row>
    <row r="4460" spans="1:5" x14ac:dyDescent="0.25">
      <c r="A4460" s="41">
        <v>16848</v>
      </c>
      <c r="B4460" s="42" t="s">
        <v>4839</v>
      </c>
      <c r="C4460" s="43" t="s">
        <v>289</v>
      </c>
      <c r="D4460" s="43" t="s">
        <v>635</v>
      </c>
      <c r="E4460" s="43" t="s">
        <v>464</v>
      </c>
    </row>
    <row r="4461" spans="1:5" x14ac:dyDescent="0.25">
      <c r="A4461" s="41">
        <v>16849</v>
      </c>
      <c r="B4461" s="42" t="s">
        <v>4840</v>
      </c>
      <c r="C4461" s="43" t="s">
        <v>289</v>
      </c>
      <c r="D4461" s="43" t="s">
        <v>635</v>
      </c>
      <c r="E4461" s="43" t="s">
        <v>464</v>
      </c>
    </row>
    <row r="4462" spans="1:5" x14ac:dyDescent="0.25">
      <c r="A4462" s="41">
        <v>16850</v>
      </c>
      <c r="B4462" s="42" t="s">
        <v>4841</v>
      </c>
      <c r="C4462" s="43" t="s">
        <v>289</v>
      </c>
      <c r="D4462" s="43" t="s">
        <v>314</v>
      </c>
      <c r="E4462" s="43" t="s">
        <v>230</v>
      </c>
    </row>
    <row r="4463" spans="1:5" x14ac:dyDescent="0.25">
      <c r="A4463" s="41">
        <v>16851</v>
      </c>
      <c r="B4463" s="42" t="s">
        <v>4842</v>
      </c>
      <c r="C4463" s="43" t="s">
        <v>289</v>
      </c>
      <c r="D4463" s="43" t="s">
        <v>327</v>
      </c>
      <c r="E4463" s="43" t="s">
        <v>230</v>
      </c>
    </row>
    <row r="4464" spans="1:5" x14ac:dyDescent="0.25">
      <c r="A4464" s="41">
        <v>16852</v>
      </c>
      <c r="B4464" s="42" t="s">
        <v>4843</v>
      </c>
      <c r="C4464" s="43" t="s">
        <v>289</v>
      </c>
      <c r="D4464" s="43" t="s">
        <v>327</v>
      </c>
      <c r="E4464" s="43" t="s">
        <v>230</v>
      </c>
    </row>
    <row r="4465" spans="1:5" x14ac:dyDescent="0.25">
      <c r="A4465" s="41">
        <v>16853</v>
      </c>
      <c r="B4465" s="42" t="s">
        <v>4844</v>
      </c>
      <c r="C4465" s="43" t="s">
        <v>289</v>
      </c>
      <c r="D4465" s="43" t="s">
        <v>327</v>
      </c>
      <c r="E4465" s="43" t="s">
        <v>230</v>
      </c>
    </row>
    <row r="4466" spans="1:5" x14ac:dyDescent="0.25">
      <c r="A4466" s="41">
        <v>16854</v>
      </c>
      <c r="B4466" s="42" t="s">
        <v>4845</v>
      </c>
      <c r="C4466" s="43" t="s">
        <v>289</v>
      </c>
      <c r="D4466" s="43" t="s">
        <v>327</v>
      </c>
      <c r="E4466" s="43" t="s">
        <v>230</v>
      </c>
    </row>
    <row r="4467" spans="1:5" x14ac:dyDescent="0.25">
      <c r="A4467" s="41">
        <v>16855</v>
      </c>
      <c r="B4467" s="42" t="s">
        <v>4846</v>
      </c>
      <c r="C4467" s="43" t="s">
        <v>289</v>
      </c>
      <c r="D4467" s="43" t="s">
        <v>327</v>
      </c>
      <c r="E4467" s="43" t="s">
        <v>230</v>
      </c>
    </row>
    <row r="4468" spans="1:5" x14ac:dyDescent="0.25">
      <c r="A4468" s="41">
        <v>16856</v>
      </c>
      <c r="B4468" s="42" t="s">
        <v>4847</v>
      </c>
      <c r="C4468" s="43" t="s">
        <v>289</v>
      </c>
      <c r="D4468" s="43" t="s">
        <v>327</v>
      </c>
      <c r="E4468" s="43" t="s">
        <v>230</v>
      </c>
    </row>
    <row r="4469" spans="1:5" x14ac:dyDescent="0.25">
      <c r="A4469" s="41">
        <v>16857</v>
      </c>
      <c r="B4469" s="42" t="s">
        <v>4848</v>
      </c>
      <c r="C4469" s="43" t="s">
        <v>289</v>
      </c>
      <c r="D4469" s="43" t="s">
        <v>682</v>
      </c>
      <c r="E4469" s="43" t="s">
        <v>454</v>
      </c>
    </row>
    <row r="4470" spans="1:5" x14ac:dyDescent="0.25">
      <c r="A4470" s="41">
        <v>16858</v>
      </c>
      <c r="B4470" s="42" t="s">
        <v>4844</v>
      </c>
      <c r="C4470" s="43" t="s">
        <v>289</v>
      </c>
      <c r="D4470" s="43" t="s">
        <v>327</v>
      </c>
      <c r="E4470" s="43" t="s">
        <v>230</v>
      </c>
    </row>
    <row r="4471" spans="1:5" x14ac:dyDescent="0.25">
      <c r="A4471" s="41">
        <v>16859</v>
      </c>
      <c r="B4471" s="42" t="s">
        <v>4845</v>
      </c>
      <c r="C4471" s="43" t="s">
        <v>289</v>
      </c>
      <c r="D4471" s="43" t="s">
        <v>327</v>
      </c>
      <c r="E4471" s="43" t="s">
        <v>230</v>
      </c>
    </row>
    <row r="4472" spans="1:5" x14ac:dyDescent="0.25">
      <c r="A4472" s="41">
        <v>16860</v>
      </c>
      <c r="B4472" s="42" t="s">
        <v>4846</v>
      </c>
      <c r="C4472" s="43" t="s">
        <v>289</v>
      </c>
      <c r="D4472" s="43" t="s">
        <v>327</v>
      </c>
      <c r="E4472" s="43" t="s">
        <v>230</v>
      </c>
    </row>
    <row r="4473" spans="1:5" x14ac:dyDescent="0.25">
      <c r="A4473" s="41">
        <v>16861</v>
      </c>
      <c r="B4473" s="42" t="s">
        <v>4847</v>
      </c>
      <c r="C4473" s="43" t="s">
        <v>289</v>
      </c>
      <c r="D4473" s="43" t="s">
        <v>327</v>
      </c>
      <c r="E4473" s="43" t="s">
        <v>230</v>
      </c>
    </row>
    <row r="4474" spans="1:5" x14ac:dyDescent="0.25">
      <c r="A4474" s="41">
        <v>16864</v>
      </c>
      <c r="B4474" s="42" t="s">
        <v>4849</v>
      </c>
      <c r="C4474" s="43" t="s">
        <v>289</v>
      </c>
      <c r="D4474" s="43" t="s">
        <v>633</v>
      </c>
      <c r="E4474" s="43" t="s">
        <v>464</v>
      </c>
    </row>
    <row r="4475" spans="1:5" x14ac:dyDescent="0.25">
      <c r="A4475" s="41">
        <v>16865</v>
      </c>
      <c r="B4475" s="42" t="s">
        <v>4850</v>
      </c>
      <c r="C4475" s="43" t="s">
        <v>289</v>
      </c>
      <c r="D4475" s="43" t="s">
        <v>633</v>
      </c>
      <c r="E4475" s="43" t="s">
        <v>464</v>
      </c>
    </row>
    <row r="4476" spans="1:5" x14ac:dyDescent="0.25">
      <c r="A4476" s="41">
        <v>16869</v>
      </c>
      <c r="B4476" s="42" t="s">
        <v>4851</v>
      </c>
      <c r="C4476" s="43" t="s">
        <v>289</v>
      </c>
      <c r="D4476" s="43" t="s">
        <v>635</v>
      </c>
      <c r="E4476" s="43" t="s">
        <v>464</v>
      </c>
    </row>
    <row r="4477" spans="1:5" x14ac:dyDescent="0.25">
      <c r="A4477" s="41">
        <v>16870</v>
      </c>
      <c r="B4477" s="42" t="s">
        <v>4852</v>
      </c>
      <c r="C4477" s="43" t="s">
        <v>289</v>
      </c>
      <c r="D4477" s="43" t="s">
        <v>1112</v>
      </c>
      <c r="E4477" s="43" t="s">
        <v>464</v>
      </c>
    </row>
    <row r="4478" spans="1:5" x14ac:dyDescent="0.25">
      <c r="A4478" s="41">
        <v>16874</v>
      </c>
      <c r="B4478" s="42" t="s">
        <v>4853</v>
      </c>
      <c r="C4478" s="43" t="s">
        <v>289</v>
      </c>
      <c r="D4478" s="43" t="s">
        <v>1112</v>
      </c>
      <c r="E4478" s="43" t="s">
        <v>230</v>
      </c>
    </row>
    <row r="4479" spans="1:5" x14ac:dyDescent="0.25">
      <c r="A4479" s="41">
        <v>16881</v>
      </c>
      <c r="B4479" s="42" t="s">
        <v>4854</v>
      </c>
      <c r="C4479" s="43" t="s">
        <v>289</v>
      </c>
      <c r="D4479" s="43" t="s">
        <v>1112</v>
      </c>
      <c r="E4479" s="43" t="s">
        <v>464</v>
      </c>
    </row>
    <row r="4480" spans="1:5" x14ac:dyDescent="0.25">
      <c r="A4480" s="41">
        <v>16882</v>
      </c>
      <c r="B4480" s="42" t="s">
        <v>4855</v>
      </c>
      <c r="C4480" s="43" t="s">
        <v>289</v>
      </c>
      <c r="D4480" s="43" t="s">
        <v>1112</v>
      </c>
      <c r="E4480" s="43" t="s">
        <v>464</v>
      </c>
    </row>
    <row r="4481" spans="1:5" x14ac:dyDescent="0.25">
      <c r="A4481" s="41">
        <v>16883</v>
      </c>
      <c r="B4481" s="42" t="s">
        <v>4856</v>
      </c>
      <c r="C4481" s="43" t="s">
        <v>289</v>
      </c>
      <c r="D4481" s="43" t="s">
        <v>1112</v>
      </c>
      <c r="E4481" s="43" t="s">
        <v>464</v>
      </c>
    </row>
    <row r="4482" spans="1:5" x14ac:dyDescent="0.25">
      <c r="A4482" s="41">
        <v>16884</v>
      </c>
      <c r="B4482" s="42" t="s">
        <v>4857</v>
      </c>
      <c r="C4482" s="43" t="s">
        <v>289</v>
      </c>
      <c r="D4482" s="43" t="s">
        <v>633</v>
      </c>
      <c r="E4482" s="43" t="s">
        <v>464</v>
      </c>
    </row>
    <row r="4483" spans="1:5" x14ac:dyDescent="0.25">
      <c r="A4483" s="41">
        <v>16886</v>
      </c>
      <c r="B4483" s="42" t="s">
        <v>4858</v>
      </c>
      <c r="C4483" s="43" t="s">
        <v>289</v>
      </c>
      <c r="D4483" s="43" t="s">
        <v>1112</v>
      </c>
      <c r="E4483" s="43" t="s">
        <v>464</v>
      </c>
    </row>
    <row r="4484" spans="1:5" x14ac:dyDescent="0.25">
      <c r="A4484" s="41">
        <v>16890</v>
      </c>
      <c r="B4484" s="42" t="s">
        <v>4859</v>
      </c>
      <c r="C4484" s="43" t="s">
        <v>289</v>
      </c>
      <c r="D4484" s="43" t="s">
        <v>635</v>
      </c>
      <c r="E4484" s="43" t="s">
        <v>464</v>
      </c>
    </row>
    <row r="4485" spans="1:5" x14ac:dyDescent="0.25">
      <c r="A4485" s="41">
        <v>16892</v>
      </c>
      <c r="B4485" s="42" t="s">
        <v>4860</v>
      </c>
      <c r="C4485" s="43" t="s">
        <v>289</v>
      </c>
      <c r="D4485" s="43" t="s">
        <v>635</v>
      </c>
      <c r="E4485" s="43" t="s">
        <v>464</v>
      </c>
    </row>
    <row r="4486" spans="1:5" x14ac:dyDescent="0.25">
      <c r="A4486" s="41">
        <v>16893</v>
      </c>
      <c r="B4486" s="42" t="s">
        <v>4861</v>
      </c>
      <c r="C4486" s="43" t="s">
        <v>289</v>
      </c>
      <c r="D4486" s="43" t="s">
        <v>635</v>
      </c>
      <c r="E4486" s="43" t="s">
        <v>464</v>
      </c>
    </row>
    <row r="4487" spans="1:5" x14ac:dyDescent="0.25">
      <c r="A4487" s="41">
        <v>16894</v>
      </c>
      <c r="B4487" s="42" t="s">
        <v>4862</v>
      </c>
      <c r="C4487" s="43" t="s">
        <v>289</v>
      </c>
      <c r="D4487" s="43" t="s">
        <v>635</v>
      </c>
      <c r="E4487" s="43" t="s">
        <v>464</v>
      </c>
    </row>
    <row r="4488" spans="1:5" x14ac:dyDescent="0.25">
      <c r="A4488" s="41">
        <v>16895</v>
      </c>
      <c r="B4488" s="42" t="s">
        <v>4863</v>
      </c>
      <c r="C4488" s="43" t="s">
        <v>289</v>
      </c>
      <c r="D4488" s="43" t="s">
        <v>1112</v>
      </c>
      <c r="E4488" s="43" t="s">
        <v>464</v>
      </c>
    </row>
    <row r="4489" spans="1:5" x14ac:dyDescent="0.25">
      <c r="A4489" s="41">
        <v>16896</v>
      </c>
      <c r="B4489" s="42" t="s">
        <v>4864</v>
      </c>
      <c r="C4489" s="43" t="s">
        <v>289</v>
      </c>
      <c r="D4489" s="43" t="s">
        <v>1112</v>
      </c>
      <c r="E4489" s="43" t="s">
        <v>472</v>
      </c>
    </row>
    <row r="4490" spans="1:5" x14ac:dyDescent="0.25">
      <c r="A4490" s="41">
        <v>16898</v>
      </c>
      <c r="B4490" s="42" t="s">
        <v>4865</v>
      </c>
      <c r="C4490" s="43" t="s">
        <v>289</v>
      </c>
      <c r="D4490" s="43" t="s">
        <v>1112</v>
      </c>
      <c r="E4490" s="43" t="s">
        <v>472</v>
      </c>
    </row>
    <row r="4491" spans="1:5" x14ac:dyDescent="0.25">
      <c r="A4491" s="41">
        <v>16900</v>
      </c>
      <c r="B4491" s="42" t="s">
        <v>4866</v>
      </c>
      <c r="C4491" s="43" t="s">
        <v>289</v>
      </c>
      <c r="D4491" s="43" t="s">
        <v>996</v>
      </c>
      <c r="E4491" s="43" t="s">
        <v>864</v>
      </c>
    </row>
    <row r="4492" spans="1:5" x14ac:dyDescent="0.25">
      <c r="A4492" s="41">
        <v>16901</v>
      </c>
      <c r="B4492" s="42" t="s">
        <v>4867</v>
      </c>
      <c r="C4492" s="43" t="s">
        <v>289</v>
      </c>
      <c r="D4492" s="43" t="s">
        <v>996</v>
      </c>
      <c r="E4492" s="43" t="s">
        <v>373</v>
      </c>
    </row>
    <row r="4493" spans="1:5" x14ac:dyDescent="0.25">
      <c r="A4493" s="41">
        <v>16902</v>
      </c>
      <c r="B4493" s="42" t="s">
        <v>4868</v>
      </c>
      <c r="C4493" s="43" t="s">
        <v>289</v>
      </c>
      <c r="D4493" s="43" t="s">
        <v>1112</v>
      </c>
      <c r="E4493" s="43" t="s">
        <v>464</v>
      </c>
    </row>
    <row r="4494" spans="1:5" x14ac:dyDescent="0.25">
      <c r="A4494" s="41">
        <v>16903</v>
      </c>
      <c r="B4494" s="42" t="s">
        <v>4869</v>
      </c>
      <c r="C4494" s="43" t="s">
        <v>289</v>
      </c>
      <c r="D4494" s="43" t="s">
        <v>996</v>
      </c>
      <c r="E4494" s="43" t="s">
        <v>464</v>
      </c>
    </row>
    <row r="4495" spans="1:5" x14ac:dyDescent="0.25">
      <c r="A4495" s="41">
        <v>16904</v>
      </c>
      <c r="B4495" s="42" t="s">
        <v>4870</v>
      </c>
      <c r="C4495" s="43" t="s">
        <v>289</v>
      </c>
      <c r="D4495" s="43" t="s">
        <v>996</v>
      </c>
      <c r="E4495" s="43" t="s">
        <v>464</v>
      </c>
    </row>
    <row r="4496" spans="1:5" x14ac:dyDescent="0.25">
      <c r="A4496" s="41">
        <v>16905</v>
      </c>
      <c r="B4496" s="42" t="s">
        <v>4871</v>
      </c>
      <c r="C4496" s="43" t="s">
        <v>289</v>
      </c>
      <c r="D4496" s="43" t="s">
        <v>996</v>
      </c>
      <c r="E4496" s="43" t="s">
        <v>230</v>
      </c>
    </row>
    <row r="4497" spans="1:5" x14ac:dyDescent="0.25">
      <c r="A4497" s="41">
        <v>16906</v>
      </c>
      <c r="B4497" s="42" t="s">
        <v>4872</v>
      </c>
      <c r="C4497" s="43" t="s">
        <v>289</v>
      </c>
      <c r="D4497" s="43" t="s">
        <v>996</v>
      </c>
      <c r="E4497" s="43" t="s">
        <v>230</v>
      </c>
    </row>
    <row r="4498" spans="1:5" x14ac:dyDescent="0.25">
      <c r="A4498" s="41">
        <v>16908</v>
      </c>
      <c r="B4498" s="42" t="s">
        <v>4873</v>
      </c>
      <c r="C4498" s="43" t="s">
        <v>289</v>
      </c>
      <c r="D4498" s="43" t="s">
        <v>996</v>
      </c>
      <c r="E4498" s="43" t="s">
        <v>454</v>
      </c>
    </row>
    <row r="4499" spans="1:5" x14ac:dyDescent="0.25">
      <c r="A4499" s="41">
        <v>16909</v>
      </c>
      <c r="B4499" s="42" t="s">
        <v>4874</v>
      </c>
      <c r="C4499" s="43" t="s">
        <v>289</v>
      </c>
      <c r="D4499" s="43" t="s">
        <v>996</v>
      </c>
      <c r="E4499" s="43" t="s">
        <v>454</v>
      </c>
    </row>
    <row r="4500" spans="1:5" x14ac:dyDescent="0.25">
      <c r="A4500" s="41">
        <v>16910</v>
      </c>
      <c r="B4500" s="42" t="s">
        <v>4875</v>
      </c>
      <c r="C4500" s="43" t="s">
        <v>289</v>
      </c>
      <c r="D4500" s="43" t="s">
        <v>996</v>
      </c>
      <c r="E4500" s="43" t="s">
        <v>454</v>
      </c>
    </row>
    <row r="4501" spans="1:5" x14ac:dyDescent="0.25">
      <c r="A4501" s="41">
        <v>16911</v>
      </c>
      <c r="B4501" s="42" t="s">
        <v>4876</v>
      </c>
      <c r="C4501" s="43" t="s">
        <v>289</v>
      </c>
      <c r="D4501" s="43" t="s">
        <v>996</v>
      </c>
      <c r="E4501" s="43" t="s">
        <v>454</v>
      </c>
    </row>
    <row r="4502" spans="1:5" x14ac:dyDescent="0.25">
      <c r="A4502" s="41">
        <v>16912</v>
      </c>
      <c r="B4502" s="42" t="s">
        <v>4877</v>
      </c>
      <c r="C4502" s="43" t="s">
        <v>289</v>
      </c>
      <c r="D4502" s="43" t="s">
        <v>996</v>
      </c>
      <c r="E4502" s="43" t="s">
        <v>454</v>
      </c>
    </row>
    <row r="4503" spans="1:5" x14ac:dyDescent="0.25">
      <c r="A4503" s="41">
        <v>16913</v>
      </c>
      <c r="B4503" s="42" t="s">
        <v>4878</v>
      </c>
      <c r="C4503" s="43" t="s">
        <v>289</v>
      </c>
      <c r="D4503" s="43" t="s">
        <v>1112</v>
      </c>
      <c r="E4503" s="43" t="s">
        <v>464</v>
      </c>
    </row>
    <row r="4504" spans="1:5" x14ac:dyDescent="0.25">
      <c r="A4504" s="41">
        <v>16914</v>
      </c>
      <c r="B4504" s="42" t="s">
        <v>4879</v>
      </c>
      <c r="C4504" s="43" t="s">
        <v>289</v>
      </c>
      <c r="D4504" s="43" t="s">
        <v>1112</v>
      </c>
      <c r="E4504" s="43" t="s">
        <v>464</v>
      </c>
    </row>
    <row r="4505" spans="1:5" x14ac:dyDescent="0.25">
      <c r="A4505" s="41">
        <v>16915</v>
      </c>
      <c r="B4505" s="42" t="s">
        <v>4880</v>
      </c>
      <c r="C4505" s="43" t="s">
        <v>289</v>
      </c>
      <c r="D4505" s="43" t="s">
        <v>1112</v>
      </c>
      <c r="E4505" s="43" t="s">
        <v>464</v>
      </c>
    </row>
    <row r="4506" spans="1:5" x14ac:dyDescent="0.25">
      <c r="A4506" s="41">
        <v>16916</v>
      </c>
      <c r="B4506" s="42" t="s">
        <v>4881</v>
      </c>
      <c r="C4506" s="43" t="s">
        <v>289</v>
      </c>
      <c r="D4506" s="43" t="s">
        <v>996</v>
      </c>
      <c r="E4506" s="43" t="s">
        <v>454</v>
      </c>
    </row>
    <row r="4507" spans="1:5" x14ac:dyDescent="0.25">
      <c r="A4507" s="41">
        <v>16917</v>
      </c>
      <c r="B4507" s="42" t="s">
        <v>4882</v>
      </c>
      <c r="C4507" s="43" t="s">
        <v>289</v>
      </c>
      <c r="D4507" s="43" t="s">
        <v>635</v>
      </c>
      <c r="E4507" s="43" t="s">
        <v>464</v>
      </c>
    </row>
    <row r="4508" spans="1:5" x14ac:dyDescent="0.25">
      <c r="A4508" s="41">
        <v>16919</v>
      </c>
      <c r="B4508" s="42" t="s">
        <v>4883</v>
      </c>
      <c r="C4508" s="43" t="s">
        <v>289</v>
      </c>
      <c r="D4508" s="43" t="s">
        <v>433</v>
      </c>
      <c r="E4508" s="43" t="s">
        <v>464</v>
      </c>
    </row>
    <row r="4509" spans="1:5" x14ac:dyDescent="0.25">
      <c r="A4509" s="41">
        <v>16920</v>
      </c>
      <c r="B4509" s="42" t="s">
        <v>4884</v>
      </c>
      <c r="C4509" s="43" t="s">
        <v>289</v>
      </c>
      <c r="D4509" s="43" t="s">
        <v>996</v>
      </c>
      <c r="E4509" s="43" t="s">
        <v>531</v>
      </c>
    </row>
    <row r="4510" spans="1:5" x14ac:dyDescent="0.25">
      <c r="A4510" s="41">
        <v>16921</v>
      </c>
      <c r="B4510" s="42" t="s">
        <v>4885</v>
      </c>
      <c r="C4510" s="43" t="s">
        <v>289</v>
      </c>
      <c r="D4510" s="43" t="s">
        <v>482</v>
      </c>
      <c r="E4510" s="43" t="s">
        <v>373</v>
      </c>
    </row>
    <row r="4511" spans="1:5" x14ac:dyDescent="0.25">
      <c r="A4511" s="41">
        <v>16922</v>
      </c>
      <c r="B4511" s="42" t="s">
        <v>4886</v>
      </c>
      <c r="C4511" s="43" t="s">
        <v>289</v>
      </c>
      <c r="D4511" s="43" t="s">
        <v>482</v>
      </c>
      <c r="E4511" s="43" t="s">
        <v>373</v>
      </c>
    </row>
    <row r="4512" spans="1:5" x14ac:dyDescent="0.25">
      <c r="A4512" s="41">
        <v>16923</v>
      </c>
      <c r="B4512" s="42" t="s">
        <v>4887</v>
      </c>
      <c r="C4512" s="43" t="s">
        <v>289</v>
      </c>
      <c r="D4512" s="43" t="s">
        <v>482</v>
      </c>
      <c r="E4512" s="43" t="s">
        <v>373</v>
      </c>
    </row>
    <row r="4513" spans="1:5" x14ac:dyDescent="0.25">
      <c r="A4513" s="41">
        <v>16924</v>
      </c>
      <c r="B4513" s="42" t="s">
        <v>4888</v>
      </c>
      <c r="C4513" s="43" t="s">
        <v>289</v>
      </c>
      <c r="D4513" s="43" t="s">
        <v>482</v>
      </c>
      <c r="E4513" s="43" t="s">
        <v>373</v>
      </c>
    </row>
    <row r="4514" spans="1:5" x14ac:dyDescent="0.25">
      <c r="A4514" s="41">
        <v>16925</v>
      </c>
      <c r="B4514" s="42" t="s">
        <v>4889</v>
      </c>
      <c r="C4514" s="43" t="s">
        <v>289</v>
      </c>
      <c r="D4514" s="43" t="s">
        <v>635</v>
      </c>
      <c r="E4514" s="43" t="s">
        <v>464</v>
      </c>
    </row>
    <row r="4515" spans="1:5" x14ac:dyDescent="0.25">
      <c r="A4515" s="41">
        <v>16926</v>
      </c>
      <c r="B4515" s="42" t="s">
        <v>4890</v>
      </c>
      <c r="C4515" s="43" t="s">
        <v>289</v>
      </c>
      <c r="D4515" s="43" t="s">
        <v>635</v>
      </c>
      <c r="E4515" s="43" t="s">
        <v>464</v>
      </c>
    </row>
    <row r="4516" spans="1:5" x14ac:dyDescent="0.25">
      <c r="A4516" s="41">
        <v>16927</v>
      </c>
      <c r="B4516" s="42" t="s">
        <v>4891</v>
      </c>
      <c r="C4516" s="43" t="s">
        <v>289</v>
      </c>
      <c r="D4516" s="43" t="s">
        <v>635</v>
      </c>
      <c r="E4516" s="43" t="s">
        <v>464</v>
      </c>
    </row>
    <row r="4517" spans="1:5" x14ac:dyDescent="0.25">
      <c r="A4517" s="41">
        <v>16931</v>
      </c>
      <c r="B4517" s="42" t="s">
        <v>4892</v>
      </c>
      <c r="C4517" s="43" t="s">
        <v>289</v>
      </c>
      <c r="D4517" s="43" t="s">
        <v>1112</v>
      </c>
      <c r="E4517" s="43" t="s">
        <v>464</v>
      </c>
    </row>
    <row r="4518" spans="1:5" x14ac:dyDescent="0.25">
      <c r="A4518" s="41">
        <v>16932</v>
      </c>
      <c r="B4518" s="42" t="s">
        <v>4893</v>
      </c>
      <c r="C4518" s="43" t="s">
        <v>289</v>
      </c>
      <c r="D4518" s="43" t="s">
        <v>996</v>
      </c>
      <c r="E4518" s="43" t="s">
        <v>336</v>
      </c>
    </row>
    <row r="4519" spans="1:5" x14ac:dyDescent="0.25">
      <c r="A4519" s="41">
        <v>16933</v>
      </c>
      <c r="B4519" s="42" t="s">
        <v>4894</v>
      </c>
      <c r="C4519" s="43" t="s">
        <v>289</v>
      </c>
      <c r="D4519" s="43" t="s">
        <v>996</v>
      </c>
      <c r="E4519" s="43" t="s">
        <v>336</v>
      </c>
    </row>
    <row r="4520" spans="1:5" x14ac:dyDescent="0.25">
      <c r="A4520" s="41">
        <v>16934</v>
      </c>
      <c r="B4520" s="42" t="s">
        <v>4895</v>
      </c>
      <c r="C4520" s="43" t="s">
        <v>289</v>
      </c>
      <c r="D4520" s="43" t="s">
        <v>996</v>
      </c>
      <c r="E4520" s="43" t="s">
        <v>454</v>
      </c>
    </row>
    <row r="4521" spans="1:5" x14ac:dyDescent="0.25">
      <c r="A4521" s="41">
        <v>16935</v>
      </c>
      <c r="B4521" s="42" t="s">
        <v>4896</v>
      </c>
      <c r="C4521" s="43" t="s">
        <v>289</v>
      </c>
      <c r="D4521" s="43" t="s">
        <v>316</v>
      </c>
      <c r="E4521" s="43" t="s">
        <v>454</v>
      </c>
    </row>
    <row r="4522" spans="1:5" x14ac:dyDescent="0.25">
      <c r="A4522" s="41">
        <v>16936</v>
      </c>
      <c r="B4522" s="42" t="s">
        <v>4897</v>
      </c>
      <c r="C4522" s="43" t="s">
        <v>289</v>
      </c>
      <c r="D4522" s="43" t="s">
        <v>996</v>
      </c>
      <c r="E4522" s="43" t="s">
        <v>336</v>
      </c>
    </row>
    <row r="4523" spans="1:5" x14ac:dyDescent="0.25">
      <c r="A4523" s="41">
        <v>16937</v>
      </c>
      <c r="B4523" s="42" t="s">
        <v>4898</v>
      </c>
      <c r="C4523" s="43" t="s">
        <v>289</v>
      </c>
      <c r="D4523" s="43" t="s">
        <v>996</v>
      </c>
      <c r="E4523" s="43" t="s">
        <v>336</v>
      </c>
    </row>
    <row r="4524" spans="1:5" x14ac:dyDescent="0.25">
      <c r="A4524" s="41">
        <v>16938</v>
      </c>
      <c r="B4524" s="42" t="s">
        <v>4899</v>
      </c>
      <c r="C4524" s="43" t="s">
        <v>289</v>
      </c>
      <c r="D4524" s="43" t="s">
        <v>433</v>
      </c>
      <c r="E4524" s="43" t="s">
        <v>464</v>
      </c>
    </row>
    <row r="4525" spans="1:5" x14ac:dyDescent="0.25">
      <c r="A4525" s="41">
        <v>16940</v>
      </c>
      <c r="B4525" s="42" t="s">
        <v>4900</v>
      </c>
      <c r="C4525" s="43" t="s">
        <v>289</v>
      </c>
      <c r="D4525" s="43" t="s">
        <v>1112</v>
      </c>
      <c r="E4525" s="43" t="s">
        <v>230</v>
      </c>
    </row>
    <row r="4526" spans="1:5" x14ac:dyDescent="0.25">
      <c r="A4526" s="41">
        <v>16942</v>
      </c>
      <c r="B4526" s="42" t="s">
        <v>4901</v>
      </c>
      <c r="C4526" s="43" t="s">
        <v>289</v>
      </c>
      <c r="D4526" s="43" t="s">
        <v>1112</v>
      </c>
      <c r="E4526" s="43" t="s">
        <v>230</v>
      </c>
    </row>
    <row r="4527" spans="1:5" x14ac:dyDescent="0.25">
      <c r="A4527" s="41">
        <v>16943</v>
      </c>
      <c r="B4527" s="42" t="s">
        <v>4902</v>
      </c>
      <c r="C4527" s="43" t="s">
        <v>289</v>
      </c>
      <c r="D4527" s="43" t="s">
        <v>1112</v>
      </c>
      <c r="E4527" s="43" t="s">
        <v>230</v>
      </c>
    </row>
    <row r="4528" spans="1:5" x14ac:dyDescent="0.25">
      <c r="A4528" s="41">
        <v>16944</v>
      </c>
      <c r="B4528" s="42" t="s">
        <v>4903</v>
      </c>
      <c r="C4528" s="43" t="s">
        <v>289</v>
      </c>
      <c r="D4528" s="43" t="s">
        <v>1112</v>
      </c>
      <c r="E4528" s="43" t="s">
        <v>230</v>
      </c>
    </row>
    <row r="4529" spans="1:5" x14ac:dyDescent="0.25">
      <c r="A4529" s="41">
        <v>16945</v>
      </c>
      <c r="B4529" s="42" t="s">
        <v>4904</v>
      </c>
      <c r="C4529" s="43" t="s">
        <v>289</v>
      </c>
      <c r="D4529" s="43" t="s">
        <v>1112</v>
      </c>
      <c r="E4529" s="43" t="s">
        <v>230</v>
      </c>
    </row>
    <row r="4530" spans="1:5" x14ac:dyDescent="0.25">
      <c r="A4530" s="41">
        <v>16946</v>
      </c>
      <c r="B4530" s="42" t="s">
        <v>4905</v>
      </c>
      <c r="C4530" s="43" t="s">
        <v>289</v>
      </c>
      <c r="D4530" s="43" t="s">
        <v>1112</v>
      </c>
      <c r="E4530" s="43" t="s">
        <v>230</v>
      </c>
    </row>
    <row r="4531" spans="1:5" x14ac:dyDescent="0.25">
      <c r="A4531" s="41">
        <v>16947</v>
      </c>
      <c r="B4531" s="42" t="s">
        <v>4906</v>
      </c>
      <c r="C4531" s="43" t="s">
        <v>289</v>
      </c>
      <c r="D4531" s="43" t="s">
        <v>1112</v>
      </c>
      <c r="E4531" s="43" t="s">
        <v>230</v>
      </c>
    </row>
    <row r="4532" spans="1:5" x14ac:dyDescent="0.25">
      <c r="A4532" s="41">
        <v>16948</v>
      </c>
      <c r="B4532" s="42" t="s">
        <v>4907</v>
      </c>
      <c r="C4532" s="43" t="s">
        <v>289</v>
      </c>
      <c r="D4532" s="43" t="s">
        <v>1112</v>
      </c>
      <c r="E4532" s="43" t="s">
        <v>230</v>
      </c>
    </row>
    <row r="4533" spans="1:5" x14ac:dyDescent="0.25">
      <c r="A4533" s="41">
        <v>16949</v>
      </c>
      <c r="B4533" s="42" t="s">
        <v>4908</v>
      </c>
      <c r="C4533" s="43" t="s">
        <v>289</v>
      </c>
      <c r="D4533" s="43" t="s">
        <v>1112</v>
      </c>
      <c r="E4533" s="43" t="s">
        <v>230</v>
      </c>
    </row>
    <row r="4534" spans="1:5" x14ac:dyDescent="0.25">
      <c r="A4534" s="41">
        <v>16950</v>
      </c>
      <c r="B4534" s="42" t="s">
        <v>4909</v>
      </c>
      <c r="C4534" s="43" t="s">
        <v>289</v>
      </c>
      <c r="D4534" s="43" t="s">
        <v>1112</v>
      </c>
      <c r="E4534" s="43" t="s">
        <v>230</v>
      </c>
    </row>
    <row r="4535" spans="1:5" x14ac:dyDescent="0.25">
      <c r="A4535" s="41">
        <v>16951</v>
      </c>
      <c r="B4535" s="42" t="s">
        <v>4910</v>
      </c>
      <c r="C4535" s="43" t="s">
        <v>289</v>
      </c>
      <c r="D4535" s="43" t="s">
        <v>1112</v>
      </c>
      <c r="E4535" s="43" t="s">
        <v>464</v>
      </c>
    </row>
    <row r="4536" spans="1:5" x14ac:dyDescent="0.25">
      <c r="A4536" s="41">
        <v>16952</v>
      </c>
      <c r="B4536" s="42" t="s">
        <v>4911</v>
      </c>
      <c r="C4536" s="43" t="s">
        <v>289</v>
      </c>
      <c r="D4536" s="43" t="s">
        <v>1112</v>
      </c>
      <c r="E4536" s="43" t="s">
        <v>464</v>
      </c>
    </row>
    <row r="4537" spans="1:5" x14ac:dyDescent="0.25">
      <c r="A4537" s="41">
        <v>16953</v>
      </c>
      <c r="B4537" s="42" t="s">
        <v>4912</v>
      </c>
      <c r="C4537" s="43" t="s">
        <v>289</v>
      </c>
      <c r="D4537" s="43" t="s">
        <v>1112</v>
      </c>
      <c r="E4537" s="43" t="s">
        <v>464</v>
      </c>
    </row>
    <row r="4538" spans="1:5" x14ac:dyDescent="0.25">
      <c r="A4538" s="41">
        <v>16954</v>
      </c>
      <c r="B4538" s="42" t="s">
        <v>4913</v>
      </c>
      <c r="C4538" s="43" t="s">
        <v>289</v>
      </c>
      <c r="D4538" s="43" t="s">
        <v>1112</v>
      </c>
      <c r="E4538" s="43" t="s">
        <v>464</v>
      </c>
    </row>
    <row r="4539" spans="1:5" x14ac:dyDescent="0.25">
      <c r="A4539" s="41">
        <v>16955</v>
      </c>
      <c r="B4539" s="42" t="s">
        <v>4914</v>
      </c>
      <c r="C4539" s="43" t="s">
        <v>289</v>
      </c>
      <c r="D4539" s="43" t="s">
        <v>1112</v>
      </c>
      <c r="E4539" s="43" t="s">
        <v>464</v>
      </c>
    </row>
    <row r="4540" spans="1:5" x14ac:dyDescent="0.25">
      <c r="A4540" s="41">
        <v>16956</v>
      </c>
      <c r="B4540" s="42" t="s">
        <v>4915</v>
      </c>
      <c r="C4540" s="43" t="s">
        <v>289</v>
      </c>
      <c r="D4540" s="43" t="s">
        <v>442</v>
      </c>
      <c r="E4540" s="43" t="s">
        <v>230</v>
      </c>
    </row>
    <row r="4541" spans="1:5" x14ac:dyDescent="0.25">
      <c r="A4541" s="41">
        <v>16957</v>
      </c>
      <c r="B4541" s="42" t="s">
        <v>4916</v>
      </c>
      <c r="C4541" s="43" t="s">
        <v>289</v>
      </c>
      <c r="D4541" s="43" t="s">
        <v>442</v>
      </c>
      <c r="E4541" s="43" t="s">
        <v>230</v>
      </c>
    </row>
    <row r="4542" spans="1:5" x14ac:dyDescent="0.25">
      <c r="A4542" s="41">
        <v>16958</v>
      </c>
      <c r="B4542" s="42" t="s">
        <v>4917</v>
      </c>
      <c r="C4542" s="43" t="s">
        <v>289</v>
      </c>
      <c r="D4542" s="43" t="s">
        <v>1112</v>
      </c>
      <c r="E4542" s="43" t="s">
        <v>230</v>
      </c>
    </row>
    <row r="4543" spans="1:5" x14ac:dyDescent="0.25">
      <c r="A4543" s="41">
        <v>16962</v>
      </c>
      <c r="B4543" s="42" t="s">
        <v>4902</v>
      </c>
      <c r="C4543" s="43" t="s">
        <v>289</v>
      </c>
      <c r="D4543" s="43" t="s">
        <v>1112</v>
      </c>
      <c r="E4543" s="43" t="s">
        <v>230</v>
      </c>
    </row>
    <row r="4544" spans="1:5" x14ac:dyDescent="0.25">
      <c r="A4544" s="41">
        <v>16963</v>
      </c>
      <c r="B4544" s="42" t="s">
        <v>4918</v>
      </c>
      <c r="C4544" s="43" t="s">
        <v>289</v>
      </c>
      <c r="D4544" s="43" t="s">
        <v>1112</v>
      </c>
      <c r="E4544" s="43" t="s">
        <v>230</v>
      </c>
    </row>
    <row r="4545" spans="1:5" x14ac:dyDescent="0.25">
      <c r="A4545" s="41">
        <v>16965</v>
      </c>
      <c r="B4545" s="42" t="s">
        <v>4919</v>
      </c>
      <c r="C4545" s="43" t="s">
        <v>289</v>
      </c>
      <c r="D4545" s="43" t="s">
        <v>1112</v>
      </c>
      <c r="E4545" s="43" t="s">
        <v>230</v>
      </c>
    </row>
    <row r="4546" spans="1:5" x14ac:dyDescent="0.25">
      <c r="A4546" s="41">
        <v>16966</v>
      </c>
      <c r="B4546" s="42" t="s">
        <v>4920</v>
      </c>
      <c r="C4546" s="43" t="s">
        <v>289</v>
      </c>
      <c r="D4546" s="43" t="s">
        <v>1112</v>
      </c>
      <c r="E4546" s="43" t="s">
        <v>230</v>
      </c>
    </row>
    <row r="4547" spans="1:5" x14ac:dyDescent="0.25">
      <c r="A4547" s="41">
        <v>16967</v>
      </c>
      <c r="B4547" s="42" t="s">
        <v>4921</v>
      </c>
      <c r="C4547" s="43" t="s">
        <v>289</v>
      </c>
      <c r="D4547" s="43" t="s">
        <v>1112</v>
      </c>
      <c r="E4547" s="43" t="s">
        <v>230</v>
      </c>
    </row>
    <row r="4548" spans="1:5" x14ac:dyDescent="0.25">
      <c r="A4548" s="41">
        <v>16970</v>
      </c>
      <c r="B4548" s="42" t="s">
        <v>4922</v>
      </c>
      <c r="C4548" s="43" t="s">
        <v>289</v>
      </c>
      <c r="D4548" s="43" t="s">
        <v>1112</v>
      </c>
      <c r="E4548" s="43" t="s">
        <v>464</v>
      </c>
    </row>
    <row r="4549" spans="1:5" x14ac:dyDescent="0.25">
      <c r="A4549" s="41">
        <v>16971</v>
      </c>
      <c r="B4549" s="42" t="s">
        <v>4923</v>
      </c>
      <c r="C4549" s="43" t="s">
        <v>289</v>
      </c>
      <c r="D4549" s="43" t="s">
        <v>941</v>
      </c>
      <c r="E4549" s="43" t="s">
        <v>373</v>
      </c>
    </row>
    <row r="4550" spans="1:5" x14ac:dyDescent="0.25">
      <c r="A4550" s="41">
        <v>16972</v>
      </c>
      <c r="B4550" s="42" t="s">
        <v>4924</v>
      </c>
      <c r="C4550" s="43" t="s">
        <v>289</v>
      </c>
      <c r="D4550" s="43" t="s">
        <v>941</v>
      </c>
      <c r="E4550" s="43" t="s">
        <v>373</v>
      </c>
    </row>
    <row r="4551" spans="1:5" x14ac:dyDescent="0.25">
      <c r="A4551" s="41">
        <v>16973</v>
      </c>
      <c r="B4551" s="42" t="s">
        <v>4925</v>
      </c>
      <c r="C4551" s="43" t="s">
        <v>289</v>
      </c>
      <c r="D4551" s="43" t="s">
        <v>1112</v>
      </c>
      <c r="E4551" s="43" t="s">
        <v>230</v>
      </c>
    </row>
    <row r="4552" spans="1:5" x14ac:dyDescent="0.25">
      <c r="A4552" s="41">
        <v>16974</v>
      </c>
      <c r="B4552" s="42" t="s">
        <v>4926</v>
      </c>
      <c r="C4552" s="43" t="s">
        <v>289</v>
      </c>
      <c r="D4552" s="43" t="s">
        <v>1112</v>
      </c>
      <c r="E4552" s="43" t="s">
        <v>230</v>
      </c>
    </row>
    <row r="4553" spans="1:5" x14ac:dyDescent="0.25">
      <c r="A4553" s="41">
        <v>16975</v>
      </c>
      <c r="B4553" s="42" t="s">
        <v>4927</v>
      </c>
      <c r="C4553" s="43" t="s">
        <v>289</v>
      </c>
      <c r="D4553" s="43" t="s">
        <v>1112</v>
      </c>
      <c r="E4553" s="43" t="s">
        <v>230</v>
      </c>
    </row>
    <row r="4554" spans="1:5" x14ac:dyDescent="0.25">
      <c r="A4554" s="41">
        <v>16977</v>
      </c>
      <c r="B4554" s="42" t="s">
        <v>4928</v>
      </c>
      <c r="C4554" s="43" t="s">
        <v>289</v>
      </c>
      <c r="D4554" s="43" t="s">
        <v>795</v>
      </c>
      <c r="E4554" s="43" t="s">
        <v>230</v>
      </c>
    </row>
    <row r="4555" spans="1:5" x14ac:dyDescent="0.25">
      <c r="A4555" s="41">
        <v>16978</v>
      </c>
      <c r="B4555" s="42" t="s">
        <v>4929</v>
      </c>
      <c r="C4555" s="43" t="s">
        <v>289</v>
      </c>
      <c r="D4555" s="43" t="s">
        <v>694</v>
      </c>
      <c r="E4555" s="43" t="s">
        <v>230</v>
      </c>
    </row>
    <row r="4556" spans="1:5" x14ac:dyDescent="0.25">
      <c r="A4556" s="41">
        <v>16979</v>
      </c>
      <c r="B4556" s="42" t="s">
        <v>4930</v>
      </c>
      <c r="C4556" s="43" t="s">
        <v>289</v>
      </c>
      <c r="D4556" s="43" t="s">
        <v>795</v>
      </c>
      <c r="E4556" s="43" t="s">
        <v>230</v>
      </c>
    </row>
    <row r="4557" spans="1:5" x14ac:dyDescent="0.25">
      <c r="A4557" s="41">
        <v>16980</v>
      </c>
      <c r="B4557" s="42" t="s">
        <v>4931</v>
      </c>
      <c r="C4557" s="43" t="s">
        <v>289</v>
      </c>
      <c r="D4557" s="43" t="s">
        <v>795</v>
      </c>
      <c r="E4557" s="43" t="s">
        <v>230</v>
      </c>
    </row>
    <row r="4558" spans="1:5" x14ac:dyDescent="0.25">
      <c r="A4558" s="41">
        <v>16981</v>
      </c>
      <c r="B4558" s="42" t="s">
        <v>4932</v>
      </c>
      <c r="C4558" s="43" t="s">
        <v>289</v>
      </c>
      <c r="D4558" s="43" t="s">
        <v>795</v>
      </c>
      <c r="E4558" s="43" t="s">
        <v>230</v>
      </c>
    </row>
    <row r="4559" spans="1:5" x14ac:dyDescent="0.25">
      <c r="A4559" s="41">
        <v>16982</v>
      </c>
      <c r="B4559" s="42" t="s">
        <v>4933</v>
      </c>
      <c r="C4559" s="43" t="s">
        <v>289</v>
      </c>
      <c r="D4559" s="43" t="s">
        <v>795</v>
      </c>
      <c r="E4559" s="43" t="s">
        <v>230</v>
      </c>
    </row>
    <row r="4560" spans="1:5" x14ac:dyDescent="0.25">
      <c r="A4560" s="41">
        <v>16983</v>
      </c>
      <c r="B4560" s="42" t="s">
        <v>4934</v>
      </c>
      <c r="C4560" s="43" t="s">
        <v>289</v>
      </c>
      <c r="D4560" s="43" t="s">
        <v>290</v>
      </c>
      <c r="E4560" s="43" t="s">
        <v>230</v>
      </c>
    </row>
    <row r="4561" spans="1:5" x14ac:dyDescent="0.25">
      <c r="A4561" s="41">
        <v>16984</v>
      </c>
      <c r="B4561" s="42" t="s">
        <v>4935</v>
      </c>
      <c r="C4561" s="43" t="s">
        <v>289</v>
      </c>
      <c r="D4561" s="43" t="s">
        <v>1112</v>
      </c>
      <c r="E4561" s="43" t="s">
        <v>230</v>
      </c>
    </row>
    <row r="4562" spans="1:5" x14ac:dyDescent="0.25">
      <c r="A4562" s="41">
        <v>16985</v>
      </c>
      <c r="B4562" s="42" t="s">
        <v>4936</v>
      </c>
      <c r="C4562" s="43" t="s">
        <v>289</v>
      </c>
      <c r="D4562" s="43" t="s">
        <v>1112</v>
      </c>
      <c r="E4562" s="43" t="s">
        <v>230</v>
      </c>
    </row>
    <row r="4563" spans="1:5" x14ac:dyDescent="0.25">
      <c r="A4563" s="41">
        <v>16986</v>
      </c>
      <c r="B4563" s="42" t="s">
        <v>4937</v>
      </c>
      <c r="C4563" s="43" t="s">
        <v>289</v>
      </c>
      <c r="D4563" s="43" t="s">
        <v>996</v>
      </c>
      <c r="E4563" s="43" t="s">
        <v>336</v>
      </c>
    </row>
    <row r="4564" spans="1:5" x14ac:dyDescent="0.25">
      <c r="A4564" s="41">
        <v>16988</v>
      </c>
      <c r="B4564" s="42" t="s">
        <v>4938</v>
      </c>
      <c r="C4564" s="43" t="s">
        <v>289</v>
      </c>
      <c r="D4564" s="43" t="s">
        <v>1112</v>
      </c>
      <c r="E4564" s="43" t="s">
        <v>230</v>
      </c>
    </row>
    <row r="4565" spans="1:5" x14ac:dyDescent="0.25">
      <c r="A4565" s="41">
        <v>16989</v>
      </c>
      <c r="B4565" s="42" t="s">
        <v>4939</v>
      </c>
      <c r="C4565" s="43" t="s">
        <v>289</v>
      </c>
      <c r="D4565" s="43" t="s">
        <v>633</v>
      </c>
      <c r="E4565" s="43" t="s">
        <v>464</v>
      </c>
    </row>
    <row r="4566" spans="1:5" x14ac:dyDescent="0.25">
      <c r="A4566" s="41">
        <v>16990</v>
      </c>
      <c r="B4566" s="42" t="s">
        <v>4940</v>
      </c>
      <c r="C4566" s="43" t="s">
        <v>289</v>
      </c>
      <c r="D4566" s="43" t="s">
        <v>633</v>
      </c>
      <c r="E4566" s="43" t="s">
        <v>464</v>
      </c>
    </row>
    <row r="4567" spans="1:5" x14ac:dyDescent="0.25">
      <c r="A4567" s="41">
        <v>16991</v>
      </c>
      <c r="B4567" s="42" t="s">
        <v>4941</v>
      </c>
      <c r="C4567" s="43" t="s">
        <v>289</v>
      </c>
      <c r="D4567" s="43" t="s">
        <v>633</v>
      </c>
      <c r="E4567" s="43" t="s">
        <v>464</v>
      </c>
    </row>
    <row r="4568" spans="1:5" x14ac:dyDescent="0.25">
      <c r="A4568" s="41">
        <v>16992</v>
      </c>
      <c r="B4568" s="42" t="s">
        <v>4942</v>
      </c>
      <c r="C4568" s="43" t="s">
        <v>289</v>
      </c>
      <c r="D4568" s="43" t="s">
        <v>633</v>
      </c>
      <c r="E4568" s="43" t="s">
        <v>464</v>
      </c>
    </row>
    <row r="4569" spans="1:5" x14ac:dyDescent="0.25">
      <c r="A4569" s="41">
        <v>16993</v>
      </c>
      <c r="B4569" s="42" t="s">
        <v>4943</v>
      </c>
      <c r="C4569" s="43" t="s">
        <v>289</v>
      </c>
      <c r="D4569" s="43" t="s">
        <v>633</v>
      </c>
      <c r="E4569" s="43" t="s">
        <v>464</v>
      </c>
    </row>
    <row r="4570" spans="1:5" x14ac:dyDescent="0.25">
      <c r="A4570" s="41">
        <v>16994</v>
      </c>
      <c r="B4570" s="42" t="s">
        <v>4944</v>
      </c>
      <c r="C4570" s="43" t="s">
        <v>289</v>
      </c>
      <c r="D4570" s="43" t="s">
        <v>996</v>
      </c>
      <c r="E4570" s="43" t="s">
        <v>230</v>
      </c>
    </row>
    <row r="4571" spans="1:5" x14ac:dyDescent="0.25">
      <c r="A4571" s="41">
        <v>16995</v>
      </c>
      <c r="B4571" s="42" t="s">
        <v>4945</v>
      </c>
      <c r="C4571" s="43" t="s">
        <v>289</v>
      </c>
      <c r="D4571" s="43" t="s">
        <v>996</v>
      </c>
      <c r="E4571" s="43" t="s">
        <v>230</v>
      </c>
    </row>
    <row r="4572" spans="1:5" x14ac:dyDescent="0.25">
      <c r="A4572" s="41">
        <v>16997</v>
      </c>
      <c r="B4572" s="42" t="s">
        <v>4946</v>
      </c>
      <c r="C4572" s="43" t="s">
        <v>289</v>
      </c>
      <c r="D4572" s="43" t="s">
        <v>996</v>
      </c>
      <c r="E4572" s="43" t="s">
        <v>230</v>
      </c>
    </row>
    <row r="4573" spans="1:5" x14ac:dyDescent="0.25">
      <c r="A4573" s="41">
        <v>16998</v>
      </c>
      <c r="B4573" s="42" t="s">
        <v>4947</v>
      </c>
      <c r="C4573" s="43" t="s">
        <v>289</v>
      </c>
      <c r="D4573" s="43" t="s">
        <v>996</v>
      </c>
      <c r="E4573" s="43" t="s">
        <v>230</v>
      </c>
    </row>
    <row r="4574" spans="1:5" x14ac:dyDescent="0.25">
      <c r="A4574" s="41">
        <v>16999</v>
      </c>
      <c r="B4574" s="42" t="s">
        <v>4948</v>
      </c>
      <c r="C4574" s="43" t="s">
        <v>289</v>
      </c>
      <c r="D4574" s="43" t="s">
        <v>2461</v>
      </c>
      <c r="E4574" s="43" t="s">
        <v>230</v>
      </c>
    </row>
    <row r="4575" spans="1:5" x14ac:dyDescent="0.25">
      <c r="A4575" s="41">
        <v>17003</v>
      </c>
      <c r="B4575" s="42" t="s">
        <v>4949</v>
      </c>
      <c r="C4575" s="43" t="s">
        <v>289</v>
      </c>
      <c r="D4575" s="43" t="s">
        <v>466</v>
      </c>
      <c r="E4575" s="43" t="s">
        <v>230</v>
      </c>
    </row>
    <row r="4576" spans="1:5" x14ac:dyDescent="0.25">
      <c r="A4576" s="41">
        <v>17004</v>
      </c>
      <c r="B4576" s="42" t="s">
        <v>4950</v>
      </c>
      <c r="C4576" s="43" t="s">
        <v>289</v>
      </c>
      <c r="D4576" s="43" t="s">
        <v>1112</v>
      </c>
      <c r="E4576" s="43" t="s">
        <v>769</v>
      </c>
    </row>
    <row r="4577" spans="1:5" x14ac:dyDescent="0.25">
      <c r="A4577" s="41">
        <v>17005</v>
      </c>
      <c r="B4577" s="42" t="s">
        <v>4951</v>
      </c>
      <c r="C4577" s="43" t="s">
        <v>289</v>
      </c>
      <c r="D4577" s="43" t="s">
        <v>1112</v>
      </c>
      <c r="E4577" s="43" t="s">
        <v>769</v>
      </c>
    </row>
    <row r="4578" spans="1:5" x14ac:dyDescent="0.25">
      <c r="A4578" s="41">
        <v>17006</v>
      </c>
      <c r="B4578" s="42" t="s">
        <v>4952</v>
      </c>
      <c r="C4578" s="43" t="s">
        <v>289</v>
      </c>
      <c r="D4578" s="43" t="s">
        <v>1112</v>
      </c>
      <c r="E4578" s="43" t="s">
        <v>769</v>
      </c>
    </row>
    <row r="4579" spans="1:5" x14ac:dyDescent="0.25">
      <c r="A4579" s="41">
        <v>17007</v>
      </c>
      <c r="B4579" s="42" t="s">
        <v>4953</v>
      </c>
      <c r="C4579" s="43" t="s">
        <v>289</v>
      </c>
      <c r="D4579" s="43" t="s">
        <v>1112</v>
      </c>
      <c r="E4579" s="43" t="s">
        <v>769</v>
      </c>
    </row>
    <row r="4580" spans="1:5" x14ac:dyDescent="0.25">
      <c r="A4580" s="41">
        <v>17008</v>
      </c>
      <c r="B4580" s="42" t="s">
        <v>4954</v>
      </c>
      <c r="C4580" s="43" t="s">
        <v>289</v>
      </c>
      <c r="D4580" s="43" t="s">
        <v>1112</v>
      </c>
      <c r="E4580" s="43" t="s">
        <v>769</v>
      </c>
    </row>
    <row r="4581" spans="1:5" x14ac:dyDescent="0.25">
      <c r="A4581" s="41">
        <v>17009</v>
      </c>
      <c r="B4581" s="42" t="s">
        <v>4955</v>
      </c>
      <c r="C4581" s="43" t="s">
        <v>289</v>
      </c>
      <c r="D4581" s="43" t="s">
        <v>1112</v>
      </c>
      <c r="E4581" s="43" t="s">
        <v>769</v>
      </c>
    </row>
    <row r="4582" spans="1:5" x14ac:dyDescent="0.25">
      <c r="A4582" s="41">
        <v>17010</v>
      </c>
      <c r="B4582" s="42" t="s">
        <v>4956</v>
      </c>
      <c r="C4582" s="43" t="s">
        <v>289</v>
      </c>
      <c r="D4582" s="43" t="s">
        <v>1112</v>
      </c>
      <c r="E4582" s="43" t="s">
        <v>769</v>
      </c>
    </row>
    <row r="4583" spans="1:5" x14ac:dyDescent="0.25">
      <c r="A4583" s="41">
        <v>17011</v>
      </c>
      <c r="B4583" s="42" t="s">
        <v>4957</v>
      </c>
      <c r="C4583" s="43" t="s">
        <v>289</v>
      </c>
      <c r="D4583" s="43" t="s">
        <v>1112</v>
      </c>
      <c r="E4583" s="43" t="s">
        <v>769</v>
      </c>
    </row>
    <row r="4584" spans="1:5" x14ac:dyDescent="0.25">
      <c r="A4584" s="41">
        <v>17012</v>
      </c>
      <c r="B4584" s="42" t="s">
        <v>4958</v>
      </c>
      <c r="C4584" s="43" t="s">
        <v>289</v>
      </c>
      <c r="D4584" s="43" t="s">
        <v>1112</v>
      </c>
      <c r="E4584" s="43" t="s">
        <v>769</v>
      </c>
    </row>
    <row r="4585" spans="1:5" x14ac:dyDescent="0.25">
      <c r="A4585" s="41">
        <v>17021</v>
      </c>
      <c r="B4585" s="42" t="s">
        <v>4959</v>
      </c>
      <c r="C4585" s="43" t="s">
        <v>289</v>
      </c>
      <c r="D4585" s="43" t="s">
        <v>1100</v>
      </c>
      <c r="E4585" s="43" t="s">
        <v>373</v>
      </c>
    </row>
    <row r="4586" spans="1:5" x14ac:dyDescent="0.25">
      <c r="A4586" s="41">
        <v>17022</v>
      </c>
      <c r="B4586" s="42" t="s">
        <v>4960</v>
      </c>
      <c r="C4586" s="43" t="s">
        <v>289</v>
      </c>
      <c r="D4586" s="43" t="s">
        <v>1100</v>
      </c>
      <c r="E4586" s="43" t="s">
        <v>373</v>
      </c>
    </row>
    <row r="4587" spans="1:5" x14ac:dyDescent="0.25">
      <c r="A4587" s="41">
        <v>17031</v>
      </c>
      <c r="B4587" s="42" t="s">
        <v>4961</v>
      </c>
      <c r="C4587" s="43" t="s">
        <v>289</v>
      </c>
      <c r="D4587" s="43" t="s">
        <v>635</v>
      </c>
      <c r="E4587" s="43" t="s">
        <v>464</v>
      </c>
    </row>
    <row r="4588" spans="1:5" x14ac:dyDescent="0.25">
      <c r="A4588" s="41">
        <v>17033</v>
      </c>
      <c r="B4588" s="42" t="s">
        <v>4962</v>
      </c>
      <c r="C4588" s="43" t="s">
        <v>289</v>
      </c>
      <c r="D4588" s="43" t="s">
        <v>633</v>
      </c>
      <c r="E4588" s="43" t="s">
        <v>464</v>
      </c>
    </row>
    <row r="4589" spans="1:5" x14ac:dyDescent="0.25">
      <c r="A4589" s="41">
        <v>17034</v>
      </c>
      <c r="B4589" s="42" t="s">
        <v>4963</v>
      </c>
      <c r="C4589" s="43" t="s">
        <v>289</v>
      </c>
      <c r="D4589" s="43" t="s">
        <v>316</v>
      </c>
      <c r="E4589" s="43" t="s">
        <v>454</v>
      </c>
    </row>
    <row r="4590" spans="1:5" x14ac:dyDescent="0.25">
      <c r="A4590" s="41">
        <v>17035</v>
      </c>
      <c r="B4590" s="42" t="s">
        <v>4964</v>
      </c>
      <c r="C4590" s="43" t="s">
        <v>289</v>
      </c>
      <c r="D4590" s="43" t="s">
        <v>635</v>
      </c>
      <c r="E4590" s="43" t="s">
        <v>464</v>
      </c>
    </row>
    <row r="4591" spans="1:5" x14ac:dyDescent="0.25">
      <c r="A4591" s="41">
        <v>17036</v>
      </c>
      <c r="B4591" s="42" t="s">
        <v>4965</v>
      </c>
      <c r="C4591" s="43" t="s">
        <v>289</v>
      </c>
      <c r="D4591" s="43" t="s">
        <v>635</v>
      </c>
      <c r="E4591" s="43" t="s">
        <v>464</v>
      </c>
    </row>
    <row r="4592" spans="1:5" x14ac:dyDescent="0.25">
      <c r="A4592" s="41">
        <v>17037</v>
      </c>
      <c r="B4592" s="42" t="s">
        <v>4966</v>
      </c>
      <c r="C4592" s="43" t="s">
        <v>289</v>
      </c>
      <c r="D4592" s="43" t="s">
        <v>635</v>
      </c>
      <c r="E4592" s="43" t="s">
        <v>464</v>
      </c>
    </row>
    <row r="4593" spans="1:5" x14ac:dyDescent="0.25">
      <c r="A4593" s="41">
        <v>17038</v>
      </c>
      <c r="B4593" s="42" t="s">
        <v>4967</v>
      </c>
      <c r="C4593" s="43" t="s">
        <v>289</v>
      </c>
      <c r="D4593" s="43" t="s">
        <v>635</v>
      </c>
      <c r="E4593" s="43" t="s">
        <v>464</v>
      </c>
    </row>
    <row r="4594" spans="1:5" x14ac:dyDescent="0.25">
      <c r="A4594" s="41">
        <v>17040</v>
      </c>
      <c r="B4594" s="42" t="s">
        <v>4968</v>
      </c>
      <c r="C4594" s="43" t="s">
        <v>289</v>
      </c>
      <c r="D4594" s="43" t="s">
        <v>1112</v>
      </c>
      <c r="E4594" s="43" t="s">
        <v>464</v>
      </c>
    </row>
    <row r="4595" spans="1:5" x14ac:dyDescent="0.25">
      <c r="A4595" s="41">
        <v>17042</v>
      </c>
      <c r="B4595" s="42" t="s">
        <v>4969</v>
      </c>
      <c r="C4595" s="43" t="s">
        <v>289</v>
      </c>
      <c r="D4595" s="43" t="s">
        <v>1112</v>
      </c>
      <c r="E4595" s="43" t="s">
        <v>464</v>
      </c>
    </row>
    <row r="4596" spans="1:5" x14ac:dyDescent="0.25">
      <c r="A4596" s="41">
        <v>17044</v>
      </c>
      <c r="B4596" s="42" t="s">
        <v>4970</v>
      </c>
      <c r="C4596" s="43" t="s">
        <v>289</v>
      </c>
      <c r="D4596" s="43" t="s">
        <v>835</v>
      </c>
      <c r="E4596" s="43" t="s">
        <v>769</v>
      </c>
    </row>
    <row r="4597" spans="1:5" x14ac:dyDescent="0.25">
      <c r="A4597" s="41">
        <v>17045</v>
      </c>
      <c r="B4597" s="42" t="s">
        <v>4971</v>
      </c>
      <c r="C4597" s="43" t="s">
        <v>289</v>
      </c>
      <c r="D4597" s="43" t="s">
        <v>1112</v>
      </c>
      <c r="E4597" s="43" t="s">
        <v>230</v>
      </c>
    </row>
    <row r="4598" spans="1:5" x14ac:dyDescent="0.25">
      <c r="A4598" s="41">
        <v>17046</v>
      </c>
      <c r="B4598" s="42" t="s">
        <v>4972</v>
      </c>
      <c r="C4598" s="43" t="s">
        <v>289</v>
      </c>
      <c r="D4598" s="43" t="s">
        <v>1112</v>
      </c>
      <c r="E4598" s="43" t="s">
        <v>230</v>
      </c>
    </row>
    <row r="4599" spans="1:5" x14ac:dyDescent="0.25">
      <c r="A4599" s="41">
        <v>17047</v>
      </c>
      <c r="B4599" s="42" t="s">
        <v>4973</v>
      </c>
      <c r="C4599" s="43" t="s">
        <v>289</v>
      </c>
      <c r="D4599" s="43" t="s">
        <v>1112</v>
      </c>
      <c r="E4599" s="43" t="s">
        <v>230</v>
      </c>
    </row>
    <row r="4600" spans="1:5" x14ac:dyDescent="0.25">
      <c r="A4600" s="41">
        <v>17051</v>
      </c>
      <c r="B4600" s="42" t="s">
        <v>4974</v>
      </c>
      <c r="C4600" s="43" t="s">
        <v>289</v>
      </c>
      <c r="D4600" s="43" t="s">
        <v>1112</v>
      </c>
      <c r="E4600" s="43" t="s">
        <v>230</v>
      </c>
    </row>
    <row r="4601" spans="1:5" x14ac:dyDescent="0.25">
      <c r="A4601" s="41">
        <v>17052</v>
      </c>
      <c r="B4601" s="42" t="s">
        <v>4975</v>
      </c>
      <c r="C4601" s="43" t="s">
        <v>289</v>
      </c>
      <c r="D4601" s="43" t="s">
        <v>1112</v>
      </c>
      <c r="E4601" s="43" t="s">
        <v>230</v>
      </c>
    </row>
    <row r="4602" spans="1:5" x14ac:dyDescent="0.25">
      <c r="A4602" s="41">
        <v>17053</v>
      </c>
      <c r="B4602" s="42" t="s">
        <v>4976</v>
      </c>
      <c r="C4602" s="43" t="s">
        <v>289</v>
      </c>
      <c r="D4602" s="43" t="s">
        <v>996</v>
      </c>
      <c r="E4602" s="43" t="s">
        <v>230</v>
      </c>
    </row>
    <row r="4603" spans="1:5" x14ac:dyDescent="0.25">
      <c r="A4603" s="41">
        <v>17054</v>
      </c>
      <c r="B4603" s="42" t="s">
        <v>4977</v>
      </c>
      <c r="C4603" s="43" t="s">
        <v>289</v>
      </c>
      <c r="D4603" s="43" t="s">
        <v>1112</v>
      </c>
      <c r="E4603" s="43" t="s">
        <v>230</v>
      </c>
    </row>
    <row r="4604" spans="1:5" x14ac:dyDescent="0.25">
      <c r="A4604" s="41">
        <v>17055</v>
      </c>
      <c r="B4604" s="42" t="s">
        <v>4978</v>
      </c>
      <c r="C4604" s="43" t="s">
        <v>289</v>
      </c>
      <c r="D4604" s="43" t="s">
        <v>477</v>
      </c>
      <c r="E4604" s="43" t="s">
        <v>336</v>
      </c>
    </row>
    <row r="4605" spans="1:5" x14ac:dyDescent="0.25">
      <c r="A4605" s="41">
        <v>17056</v>
      </c>
      <c r="B4605" s="42" t="s">
        <v>4979</v>
      </c>
      <c r="C4605" s="43" t="s">
        <v>289</v>
      </c>
      <c r="D4605" s="43" t="s">
        <v>477</v>
      </c>
      <c r="E4605" s="43" t="s">
        <v>336</v>
      </c>
    </row>
    <row r="4606" spans="1:5" x14ac:dyDescent="0.25">
      <c r="A4606" s="41">
        <v>17057</v>
      </c>
      <c r="B4606" s="42" t="s">
        <v>4980</v>
      </c>
      <c r="C4606" s="43" t="s">
        <v>289</v>
      </c>
      <c r="D4606" s="43" t="s">
        <v>477</v>
      </c>
      <c r="E4606" s="43" t="s">
        <v>336</v>
      </c>
    </row>
    <row r="4607" spans="1:5" x14ac:dyDescent="0.25">
      <c r="A4607" s="41">
        <v>17058</v>
      </c>
      <c r="B4607" s="42" t="s">
        <v>4981</v>
      </c>
      <c r="C4607" s="43" t="s">
        <v>289</v>
      </c>
      <c r="D4607" s="43" t="s">
        <v>477</v>
      </c>
      <c r="E4607" s="43" t="s">
        <v>336</v>
      </c>
    </row>
    <row r="4608" spans="1:5" x14ac:dyDescent="0.25">
      <c r="A4608" s="41">
        <v>17060</v>
      </c>
      <c r="B4608" s="42" t="s">
        <v>4982</v>
      </c>
      <c r="C4608" s="43" t="s">
        <v>289</v>
      </c>
      <c r="D4608" s="43" t="s">
        <v>966</v>
      </c>
      <c r="E4608" s="43" t="s">
        <v>230</v>
      </c>
    </row>
    <row r="4609" spans="1:5" x14ac:dyDescent="0.25">
      <c r="A4609" s="41">
        <v>17061</v>
      </c>
      <c r="B4609" s="42" t="s">
        <v>4983</v>
      </c>
      <c r="C4609" s="43" t="s">
        <v>289</v>
      </c>
      <c r="D4609" s="43" t="s">
        <v>966</v>
      </c>
      <c r="E4609" s="43" t="s">
        <v>230</v>
      </c>
    </row>
    <row r="4610" spans="1:5" x14ac:dyDescent="0.25">
      <c r="A4610" s="41">
        <v>17062</v>
      </c>
      <c r="B4610" s="42" t="s">
        <v>4984</v>
      </c>
      <c r="C4610" s="43" t="s">
        <v>289</v>
      </c>
      <c r="D4610" s="43" t="s">
        <v>329</v>
      </c>
      <c r="E4610" s="43" t="s">
        <v>472</v>
      </c>
    </row>
    <row r="4611" spans="1:5" x14ac:dyDescent="0.25">
      <c r="A4611" s="41">
        <v>17063</v>
      </c>
      <c r="B4611" s="42" t="s">
        <v>4985</v>
      </c>
      <c r="C4611" s="43" t="s">
        <v>289</v>
      </c>
      <c r="D4611" s="43" t="s">
        <v>329</v>
      </c>
      <c r="E4611" s="43" t="s">
        <v>472</v>
      </c>
    </row>
    <row r="4612" spans="1:5" x14ac:dyDescent="0.25">
      <c r="A4612" s="41">
        <v>17065</v>
      </c>
      <c r="B4612" s="42" t="s">
        <v>4986</v>
      </c>
      <c r="C4612" s="43" t="s">
        <v>289</v>
      </c>
      <c r="D4612" s="43" t="s">
        <v>329</v>
      </c>
      <c r="E4612" s="43" t="s">
        <v>472</v>
      </c>
    </row>
    <row r="4613" spans="1:5" x14ac:dyDescent="0.25">
      <c r="A4613" s="41">
        <v>17066</v>
      </c>
      <c r="B4613" s="42" t="s">
        <v>4987</v>
      </c>
      <c r="C4613" s="43" t="s">
        <v>289</v>
      </c>
      <c r="D4613" s="43" t="s">
        <v>329</v>
      </c>
      <c r="E4613" s="43" t="s">
        <v>373</v>
      </c>
    </row>
    <row r="4614" spans="1:5" x14ac:dyDescent="0.25">
      <c r="A4614" s="41">
        <v>17067</v>
      </c>
      <c r="B4614" s="42" t="s">
        <v>4988</v>
      </c>
      <c r="C4614" s="43" t="s">
        <v>289</v>
      </c>
      <c r="D4614" s="43" t="s">
        <v>329</v>
      </c>
      <c r="E4614" s="43" t="s">
        <v>230</v>
      </c>
    </row>
    <row r="4615" spans="1:5" x14ac:dyDescent="0.25">
      <c r="A4615" s="41">
        <v>17068</v>
      </c>
      <c r="B4615" s="42" t="s">
        <v>328</v>
      </c>
      <c r="C4615" s="43" t="s">
        <v>289</v>
      </c>
      <c r="D4615" s="43" t="s">
        <v>329</v>
      </c>
      <c r="E4615" s="43" t="s">
        <v>230</v>
      </c>
    </row>
    <row r="4616" spans="1:5" x14ac:dyDescent="0.25">
      <c r="A4616" s="41">
        <v>17069</v>
      </c>
      <c r="B4616" s="42" t="s">
        <v>4989</v>
      </c>
      <c r="C4616" s="43" t="s">
        <v>289</v>
      </c>
      <c r="D4616" s="43" t="s">
        <v>329</v>
      </c>
      <c r="E4616" s="43" t="s">
        <v>230</v>
      </c>
    </row>
    <row r="4617" spans="1:5" x14ac:dyDescent="0.25">
      <c r="A4617" s="41">
        <v>17071</v>
      </c>
      <c r="B4617" s="42" t="s">
        <v>4990</v>
      </c>
      <c r="C4617" s="43" t="s">
        <v>289</v>
      </c>
      <c r="D4617" s="43" t="s">
        <v>435</v>
      </c>
      <c r="E4617" s="43" t="s">
        <v>373</v>
      </c>
    </row>
    <row r="4618" spans="1:5" x14ac:dyDescent="0.25">
      <c r="A4618" s="41">
        <v>17072</v>
      </c>
      <c r="B4618" s="42" t="s">
        <v>4991</v>
      </c>
      <c r="C4618" s="43" t="s">
        <v>289</v>
      </c>
      <c r="D4618" s="43" t="s">
        <v>474</v>
      </c>
      <c r="E4618" s="43" t="s">
        <v>230</v>
      </c>
    </row>
    <row r="4619" spans="1:5" x14ac:dyDescent="0.25">
      <c r="A4619" s="41">
        <v>17073</v>
      </c>
      <c r="B4619" s="42" t="s">
        <v>4992</v>
      </c>
      <c r="C4619" s="43" t="s">
        <v>289</v>
      </c>
      <c r="D4619" s="43" t="s">
        <v>474</v>
      </c>
      <c r="E4619" s="43" t="s">
        <v>230</v>
      </c>
    </row>
    <row r="4620" spans="1:5" x14ac:dyDescent="0.25">
      <c r="A4620" s="41">
        <v>17078</v>
      </c>
      <c r="B4620" s="42" t="s">
        <v>4993</v>
      </c>
      <c r="C4620" s="43" t="s">
        <v>289</v>
      </c>
      <c r="D4620" s="43" t="s">
        <v>482</v>
      </c>
      <c r="E4620" s="43" t="s">
        <v>472</v>
      </c>
    </row>
    <row r="4621" spans="1:5" x14ac:dyDescent="0.25">
      <c r="A4621" s="41">
        <v>17082</v>
      </c>
      <c r="B4621" s="42" t="s">
        <v>4994</v>
      </c>
      <c r="C4621" s="43" t="s">
        <v>289</v>
      </c>
      <c r="D4621" s="43" t="s">
        <v>482</v>
      </c>
      <c r="E4621" s="43" t="s">
        <v>472</v>
      </c>
    </row>
    <row r="4622" spans="1:5" x14ac:dyDescent="0.25">
      <c r="A4622" s="41">
        <v>17087</v>
      </c>
      <c r="B4622" s="42" t="s">
        <v>4995</v>
      </c>
      <c r="C4622" s="43" t="s">
        <v>289</v>
      </c>
      <c r="D4622" s="43" t="s">
        <v>1734</v>
      </c>
      <c r="E4622" s="43" t="s">
        <v>230</v>
      </c>
    </row>
    <row r="4623" spans="1:5" x14ac:dyDescent="0.25">
      <c r="A4623" s="41">
        <v>17088</v>
      </c>
      <c r="B4623" s="42" t="s">
        <v>4996</v>
      </c>
      <c r="C4623" s="43" t="s">
        <v>289</v>
      </c>
      <c r="D4623" s="43" t="s">
        <v>1734</v>
      </c>
      <c r="E4623" s="43" t="s">
        <v>230</v>
      </c>
    </row>
    <row r="4624" spans="1:5" x14ac:dyDescent="0.25">
      <c r="A4624" s="41">
        <v>17089</v>
      </c>
      <c r="B4624" s="42" t="s">
        <v>4997</v>
      </c>
      <c r="C4624" s="43" t="s">
        <v>289</v>
      </c>
      <c r="D4624" s="43" t="s">
        <v>1734</v>
      </c>
      <c r="E4624" s="43" t="s">
        <v>230</v>
      </c>
    </row>
    <row r="4625" spans="1:5" x14ac:dyDescent="0.25">
      <c r="A4625" s="41">
        <v>17090</v>
      </c>
      <c r="B4625" s="42" t="s">
        <v>4998</v>
      </c>
      <c r="C4625" s="43" t="s">
        <v>289</v>
      </c>
      <c r="D4625" s="43" t="s">
        <v>1734</v>
      </c>
      <c r="E4625" s="43" t="s">
        <v>230</v>
      </c>
    </row>
    <row r="4626" spans="1:5" x14ac:dyDescent="0.25">
      <c r="A4626" s="41">
        <v>17091</v>
      </c>
      <c r="B4626" s="42" t="s">
        <v>4999</v>
      </c>
      <c r="C4626" s="43" t="s">
        <v>289</v>
      </c>
      <c r="D4626" s="43" t="s">
        <v>474</v>
      </c>
      <c r="E4626" s="43" t="s">
        <v>230</v>
      </c>
    </row>
    <row r="4627" spans="1:5" x14ac:dyDescent="0.25">
      <c r="A4627" s="41">
        <v>17094</v>
      </c>
      <c r="B4627" s="42" t="s">
        <v>5000</v>
      </c>
      <c r="C4627" s="43" t="s">
        <v>289</v>
      </c>
      <c r="D4627" s="43" t="s">
        <v>474</v>
      </c>
      <c r="E4627" s="43" t="s">
        <v>230</v>
      </c>
    </row>
    <row r="4628" spans="1:5" x14ac:dyDescent="0.25">
      <c r="A4628" s="41">
        <v>17096</v>
      </c>
      <c r="B4628" s="42" t="s">
        <v>5001</v>
      </c>
      <c r="C4628" s="43" t="s">
        <v>289</v>
      </c>
      <c r="D4628" s="43" t="s">
        <v>474</v>
      </c>
      <c r="E4628" s="43" t="s">
        <v>373</v>
      </c>
    </row>
    <row r="4629" spans="1:5" x14ac:dyDescent="0.25">
      <c r="A4629" s="41">
        <v>17097</v>
      </c>
      <c r="B4629" s="42" t="s">
        <v>5002</v>
      </c>
      <c r="C4629" s="43" t="s">
        <v>289</v>
      </c>
      <c r="D4629" s="43" t="s">
        <v>435</v>
      </c>
      <c r="E4629" s="43" t="s">
        <v>230</v>
      </c>
    </row>
    <row r="4630" spans="1:5" x14ac:dyDescent="0.25">
      <c r="A4630" s="41">
        <v>17098</v>
      </c>
      <c r="B4630" s="42" t="s">
        <v>5003</v>
      </c>
      <c r="C4630" s="43" t="s">
        <v>289</v>
      </c>
      <c r="D4630" s="43" t="s">
        <v>435</v>
      </c>
      <c r="E4630" s="43" t="s">
        <v>230</v>
      </c>
    </row>
    <row r="4631" spans="1:5" x14ac:dyDescent="0.25">
      <c r="A4631" s="41">
        <v>17099</v>
      </c>
      <c r="B4631" s="42" t="s">
        <v>5004</v>
      </c>
      <c r="C4631" s="43" t="s">
        <v>289</v>
      </c>
      <c r="D4631" s="43" t="s">
        <v>494</v>
      </c>
      <c r="E4631" s="43" t="s">
        <v>230</v>
      </c>
    </row>
    <row r="4632" spans="1:5" x14ac:dyDescent="0.25">
      <c r="A4632" s="41">
        <v>17100</v>
      </c>
      <c r="B4632" s="42" t="s">
        <v>5005</v>
      </c>
      <c r="C4632" s="43" t="s">
        <v>289</v>
      </c>
      <c r="D4632" s="43" t="s">
        <v>1734</v>
      </c>
      <c r="E4632" s="43" t="s">
        <v>373</v>
      </c>
    </row>
    <row r="4633" spans="1:5" x14ac:dyDescent="0.25">
      <c r="A4633" s="41">
        <v>17101</v>
      </c>
      <c r="B4633" s="42" t="s">
        <v>5006</v>
      </c>
      <c r="C4633" s="43" t="s">
        <v>289</v>
      </c>
      <c r="D4633" s="43" t="s">
        <v>1112</v>
      </c>
      <c r="E4633" s="43" t="s">
        <v>464</v>
      </c>
    </row>
    <row r="4634" spans="1:5" x14ac:dyDescent="0.25">
      <c r="A4634" s="41">
        <v>17102</v>
      </c>
      <c r="B4634" s="42" t="s">
        <v>5007</v>
      </c>
      <c r="C4634" s="43" t="s">
        <v>289</v>
      </c>
      <c r="D4634" s="43" t="s">
        <v>314</v>
      </c>
      <c r="E4634" s="43" t="s">
        <v>385</v>
      </c>
    </row>
    <row r="4635" spans="1:5" x14ac:dyDescent="0.25">
      <c r="A4635" s="41">
        <v>17103</v>
      </c>
      <c r="B4635" s="42" t="s">
        <v>5008</v>
      </c>
      <c r="C4635" s="43" t="s">
        <v>289</v>
      </c>
      <c r="D4635" s="43" t="s">
        <v>1734</v>
      </c>
      <c r="E4635" s="43" t="s">
        <v>230</v>
      </c>
    </row>
    <row r="4636" spans="1:5" x14ac:dyDescent="0.25">
      <c r="A4636" s="41">
        <v>17104</v>
      </c>
      <c r="B4636" s="42" t="s">
        <v>5009</v>
      </c>
      <c r="C4636" s="43" t="s">
        <v>289</v>
      </c>
      <c r="D4636" s="43" t="s">
        <v>410</v>
      </c>
      <c r="E4636" s="43" t="s">
        <v>230</v>
      </c>
    </row>
    <row r="4637" spans="1:5" x14ac:dyDescent="0.25">
      <c r="A4637" s="41">
        <v>17105</v>
      </c>
      <c r="B4637" s="42" t="s">
        <v>5010</v>
      </c>
      <c r="C4637" s="43" t="s">
        <v>289</v>
      </c>
      <c r="D4637" s="43" t="s">
        <v>1112</v>
      </c>
      <c r="E4637" s="43" t="s">
        <v>464</v>
      </c>
    </row>
    <row r="4638" spans="1:5" x14ac:dyDescent="0.25">
      <c r="A4638" s="41">
        <v>17106</v>
      </c>
      <c r="B4638" s="42" t="s">
        <v>5011</v>
      </c>
      <c r="C4638" s="43" t="s">
        <v>289</v>
      </c>
      <c r="D4638" s="43" t="s">
        <v>1112</v>
      </c>
      <c r="E4638" s="43" t="s">
        <v>464</v>
      </c>
    </row>
    <row r="4639" spans="1:5" x14ac:dyDescent="0.25">
      <c r="A4639" s="41">
        <v>17107</v>
      </c>
      <c r="B4639" s="42" t="s">
        <v>5012</v>
      </c>
      <c r="C4639" s="43" t="s">
        <v>289</v>
      </c>
      <c r="D4639" s="43" t="s">
        <v>1112</v>
      </c>
      <c r="E4639" s="43" t="s">
        <v>464</v>
      </c>
    </row>
    <row r="4640" spans="1:5" x14ac:dyDescent="0.25">
      <c r="A4640" s="41">
        <v>17108</v>
      </c>
      <c r="B4640" s="42" t="s">
        <v>5013</v>
      </c>
      <c r="C4640" s="43" t="s">
        <v>289</v>
      </c>
      <c r="D4640" s="43" t="s">
        <v>5014</v>
      </c>
      <c r="E4640" s="43" t="s">
        <v>230</v>
      </c>
    </row>
    <row r="4641" spans="1:5" x14ac:dyDescent="0.25">
      <c r="A4641" s="41">
        <v>17110</v>
      </c>
      <c r="B4641" s="42" t="s">
        <v>5015</v>
      </c>
      <c r="C4641" s="43" t="s">
        <v>289</v>
      </c>
      <c r="D4641" s="43" t="s">
        <v>1112</v>
      </c>
      <c r="E4641" s="43" t="s">
        <v>464</v>
      </c>
    </row>
    <row r="4642" spans="1:5" x14ac:dyDescent="0.25">
      <c r="A4642" s="41">
        <v>17111</v>
      </c>
      <c r="B4642" s="42" t="s">
        <v>5016</v>
      </c>
      <c r="C4642" s="43" t="s">
        <v>289</v>
      </c>
      <c r="D4642" s="43" t="s">
        <v>996</v>
      </c>
      <c r="E4642" s="43" t="s">
        <v>230</v>
      </c>
    </row>
    <row r="4643" spans="1:5" x14ac:dyDescent="0.25">
      <c r="A4643" s="41">
        <v>17112</v>
      </c>
      <c r="B4643" s="42" t="s">
        <v>5017</v>
      </c>
      <c r="C4643" s="43" t="s">
        <v>289</v>
      </c>
      <c r="D4643" s="43" t="s">
        <v>316</v>
      </c>
      <c r="E4643" s="43" t="s">
        <v>230</v>
      </c>
    </row>
    <row r="4644" spans="1:5" x14ac:dyDescent="0.25">
      <c r="A4644" s="41">
        <v>17113</v>
      </c>
      <c r="B4644" s="42" t="s">
        <v>5018</v>
      </c>
      <c r="C4644" s="43" t="s">
        <v>289</v>
      </c>
      <c r="D4644" s="43" t="s">
        <v>941</v>
      </c>
      <c r="E4644" s="43" t="s">
        <v>230</v>
      </c>
    </row>
    <row r="4645" spans="1:5" x14ac:dyDescent="0.25">
      <c r="A4645" s="41">
        <v>17114</v>
      </c>
      <c r="B4645" s="42" t="s">
        <v>5019</v>
      </c>
      <c r="C4645" s="43" t="s">
        <v>289</v>
      </c>
      <c r="D4645" s="43" t="s">
        <v>316</v>
      </c>
      <c r="E4645" s="43" t="s">
        <v>454</v>
      </c>
    </row>
    <row r="4646" spans="1:5" x14ac:dyDescent="0.25">
      <c r="A4646" s="41">
        <v>17115</v>
      </c>
      <c r="B4646" s="42" t="s">
        <v>5020</v>
      </c>
      <c r="C4646" s="43" t="s">
        <v>289</v>
      </c>
      <c r="D4646" s="43" t="s">
        <v>433</v>
      </c>
      <c r="E4646" s="43" t="s">
        <v>454</v>
      </c>
    </row>
    <row r="4647" spans="1:5" x14ac:dyDescent="0.25">
      <c r="A4647" s="41">
        <v>17119</v>
      </c>
      <c r="B4647" s="42" t="s">
        <v>5021</v>
      </c>
      <c r="C4647" s="43" t="s">
        <v>289</v>
      </c>
      <c r="D4647" s="43" t="s">
        <v>499</v>
      </c>
      <c r="E4647" s="43" t="s">
        <v>230</v>
      </c>
    </row>
    <row r="4648" spans="1:5" x14ac:dyDescent="0.25">
      <c r="A4648" s="41">
        <v>17122</v>
      </c>
      <c r="B4648" s="42" t="s">
        <v>5022</v>
      </c>
      <c r="C4648" s="43" t="s">
        <v>289</v>
      </c>
      <c r="D4648" s="43" t="s">
        <v>1734</v>
      </c>
      <c r="E4648" s="43" t="s">
        <v>230</v>
      </c>
    </row>
    <row r="4649" spans="1:5" x14ac:dyDescent="0.25">
      <c r="A4649" s="41">
        <v>17123</v>
      </c>
      <c r="B4649" s="42" t="s">
        <v>5023</v>
      </c>
      <c r="C4649" s="43" t="s">
        <v>289</v>
      </c>
      <c r="D4649" s="43" t="s">
        <v>1734</v>
      </c>
      <c r="E4649" s="43" t="s">
        <v>230</v>
      </c>
    </row>
    <row r="4650" spans="1:5" x14ac:dyDescent="0.25">
      <c r="A4650" s="41">
        <v>17131</v>
      </c>
      <c r="B4650" s="42" t="s">
        <v>5024</v>
      </c>
      <c r="C4650" s="43" t="s">
        <v>289</v>
      </c>
      <c r="D4650" s="43" t="s">
        <v>1112</v>
      </c>
      <c r="E4650" s="43" t="s">
        <v>464</v>
      </c>
    </row>
    <row r="4651" spans="1:5" x14ac:dyDescent="0.25">
      <c r="A4651" s="41">
        <v>17132</v>
      </c>
      <c r="B4651" s="42" t="s">
        <v>5025</v>
      </c>
      <c r="C4651" s="43" t="s">
        <v>289</v>
      </c>
      <c r="D4651" s="43" t="s">
        <v>996</v>
      </c>
      <c r="E4651" s="43" t="s">
        <v>454</v>
      </c>
    </row>
    <row r="4652" spans="1:5" x14ac:dyDescent="0.25">
      <c r="A4652" s="41">
        <v>17133</v>
      </c>
      <c r="B4652" s="42" t="s">
        <v>5026</v>
      </c>
      <c r="C4652" s="43" t="s">
        <v>289</v>
      </c>
      <c r="D4652" s="43" t="s">
        <v>314</v>
      </c>
      <c r="E4652" s="43" t="s">
        <v>230</v>
      </c>
    </row>
    <row r="4653" spans="1:5" x14ac:dyDescent="0.25">
      <c r="A4653" s="41">
        <v>17134</v>
      </c>
      <c r="B4653" s="42" t="s">
        <v>5027</v>
      </c>
      <c r="C4653" s="43" t="s">
        <v>289</v>
      </c>
      <c r="D4653" s="43" t="s">
        <v>314</v>
      </c>
      <c r="E4653" s="43" t="s">
        <v>230</v>
      </c>
    </row>
    <row r="4654" spans="1:5" x14ac:dyDescent="0.25">
      <c r="A4654" s="41">
        <v>17135</v>
      </c>
      <c r="B4654" s="42" t="s">
        <v>5028</v>
      </c>
      <c r="C4654" s="43" t="s">
        <v>289</v>
      </c>
      <c r="D4654" s="43" t="s">
        <v>314</v>
      </c>
      <c r="E4654" s="43" t="s">
        <v>230</v>
      </c>
    </row>
    <row r="4655" spans="1:5" x14ac:dyDescent="0.25">
      <c r="A4655" s="41">
        <v>17136</v>
      </c>
      <c r="B4655" s="42" t="s">
        <v>5029</v>
      </c>
      <c r="C4655" s="43" t="s">
        <v>289</v>
      </c>
      <c r="D4655" s="43" t="s">
        <v>314</v>
      </c>
      <c r="E4655" s="43" t="s">
        <v>230</v>
      </c>
    </row>
    <row r="4656" spans="1:5" x14ac:dyDescent="0.25">
      <c r="A4656" s="41">
        <v>17137</v>
      </c>
      <c r="B4656" s="42" t="s">
        <v>5030</v>
      </c>
      <c r="C4656" s="43" t="s">
        <v>289</v>
      </c>
      <c r="D4656" s="43" t="s">
        <v>314</v>
      </c>
      <c r="E4656" s="43" t="s">
        <v>230</v>
      </c>
    </row>
    <row r="4657" spans="1:5" x14ac:dyDescent="0.25">
      <c r="A4657" s="41">
        <v>17138</v>
      </c>
      <c r="B4657" s="42" t="s">
        <v>5031</v>
      </c>
      <c r="C4657" s="43" t="s">
        <v>289</v>
      </c>
      <c r="D4657" s="43" t="s">
        <v>509</v>
      </c>
      <c r="E4657" s="43" t="s">
        <v>230</v>
      </c>
    </row>
    <row r="4658" spans="1:5" x14ac:dyDescent="0.25">
      <c r="A4658" s="41">
        <v>17139</v>
      </c>
      <c r="B4658" s="42" t="s">
        <v>5032</v>
      </c>
      <c r="C4658" s="43" t="s">
        <v>289</v>
      </c>
      <c r="D4658" s="43" t="s">
        <v>509</v>
      </c>
      <c r="E4658" s="43" t="s">
        <v>230</v>
      </c>
    </row>
    <row r="4659" spans="1:5" x14ac:dyDescent="0.25">
      <c r="A4659" s="41">
        <v>17140</v>
      </c>
      <c r="B4659" s="42" t="s">
        <v>5033</v>
      </c>
      <c r="C4659" s="43" t="s">
        <v>289</v>
      </c>
      <c r="D4659" s="43" t="s">
        <v>509</v>
      </c>
      <c r="E4659" s="43" t="s">
        <v>230</v>
      </c>
    </row>
    <row r="4660" spans="1:5" x14ac:dyDescent="0.25">
      <c r="A4660" s="41">
        <v>17141</v>
      </c>
      <c r="B4660" s="42" t="s">
        <v>5034</v>
      </c>
      <c r="C4660" s="43" t="s">
        <v>289</v>
      </c>
      <c r="D4660" s="43" t="s">
        <v>3754</v>
      </c>
      <c r="E4660" s="43" t="s">
        <v>769</v>
      </c>
    </row>
    <row r="4661" spans="1:5" x14ac:dyDescent="0.25">
      <c r="A4661" s="41">
        <v>17142</v>
      </c>
      <c r="B4661" s="42" t="s">
        <v>5035</v>
      </c>
      <c r="C4661" s="43" t="s">
        <v>289</v>
      </c>
      <c r="D4661" s="43" t="s">
        <v>433</v>
      </c>
      <c r="E4661" s="43" t="s">
        <v>336</v>
      </c>
    </row>
    <row r="4662" spans="1:5" x14ac:dyDescent="0.25">
      <c r="A4662" s="41">
        <v>17151</v>
      </c>
      <c r="B4662" s="42" t="s">
        <v>5036</v>
      </c>
      <c r="C4662" s="43" t="s">
        <v>289</v>
      </c>
      <c r="D4662" s="43" t="s">
        <v>509</v>
      </c>
      <c r="E4662" s="43" t="s">
        <v>230</v>
      </c>
    </row>
    <row r="4663" spans="1:5" x14ac:dyDescent="0.25">
      <c r="A4663" s="41">
        <v>17153</v>
      </c>
      <c r="B4663" s="42" t="s">
        <v>5037</v>
      </c>
      <c r="C4663" s="43" t="s">
        <v>289</v>
      </c>
      <c r="D4663" s="43" t="s">
        <v>835</v>
      </c>
      <c r="E4663" s="43" t="s">
        <v>230</v>
      </c>
    </row>
    <row r="4664" spans="1:5" x14ac:dyDescent="0.25">
      <c r="A4664" s="41">
        <v>17154</v>
      </c>
      <c r="B4664" s="42" t="s">
        <v>5038</v>
      </c>
      <c r="C4664" s="43" t="s">
        <v>289</v>
      </c>
      <c r="D4664" s="43" t="s">
        <v>941</v>
      </c>
      <c r="E4664" s="43" t="s">
        <v>230</v>
      </c>
    </row>
    <row r="4665" spans="1:5" x14ac:dyDescent="0.25">
      <c r="A4665" s="41">
        <v>17155</v>
      </c>
      <c r="B4665" s="42" t="s">
        <v>5039</v>
      </c>
      <c r="C4665" s="43" t="s">
        <v>289</v>
      </c>
      <c r="D4665" s="43" t="s">
        <v>941</v>
      </c>
      <c r="E4665" s="43" t="s">
        <v>230</v>
      </c>
    </row>
    <row r="4666" spans="1:5" x14ac:dyDescent="0.25">
      <c r="A4666" s="41">
        <v>17156</v>
      </c>
      <c r="B4666" s="42" t="s">
        <v>5040</v>
      </c>
      <c r="C4666" s="43" t="s">
        <v>289</v>
      </c>
      <c r="D4666" s="43" t="s">
        <v>941</v>
      </c>
      <c r="E4666" s="43" t="s">
        <v>4605</v>
      </c>
    </row>
    <row r="4667" spans="1:5" x14ac:dyDescent="0.25">
      <c r="A4667" s="41">
        <v>17157</v>
      </c>
      <c r="B4667" s="42" t="s">
        <v>5041</v>
      </c>
      <c r="C4667" s="43" t="s">
        <v>289</v>
      </c>
      <c r="D4667" s="43" t="s">
        <v>941</v>
      </c>
      <c r="E4667" s="43" t="s">
        <v>336</v>
      </c>
    </row>
    <row r="4668" spans="1:5" x14ac:dyDescent="0.25">
      <c r="A4668" s="41">
        <v>17158</v>
      </c>
      <c r="B4668" s="42" t="s">
        <v>5042</v>
      </c>
      <c r="C4668" s="43" t="s">
        <v>289</v>
      </c>
      <c r="D4668" s="43" t="s">
        <v>941</v>
      </c>
      <c r="E4668" s="43" t="s">
        <v>336</v>
      </c>
    </row>
    <row r="4669" spans="1:5" x14ac:dyDescent="0.25">
      <c r="A4669" s="41">
        <v>17159</v>
      </c>
      <c r="B4669" s="42" t="s">
        <v>5043</v>
      </c>
      <c r="C4669" s="43" t="s">
        <v>289</v>
      </c>
      <c r="D4669" s="43" t="s">
        <v>941</v>
      </c>
      <c r="E4669" s="43" t="s">
        <v>4605</v>
      </c>
    </row>
    <row r="4670" spans="1:5" x14ac:dyDescent="0.25">
      <c r="A4670" s="41">
        <v>17160</v>
      </c>
      <c r="B4670" s="42" t="s">
        <v>5044</v>
      </c>
      <c r="C4670" s="43" t="s">
        <v>289</v>
      </c>
      <c r="D4670" s="43" t="s">
        <v>941</v>
      </c>
      <c r="E4670" s="43" t="s">
        <v>454</v>
      </c>
    </row>
    <row r="4671" spans="1:5" x14ac:dyDescent="0.25">
      <c r="A4671" s="41">
        <v>17161</v>
      </c>
      <c r="B4671" s="42" t="s">
        <v>5045</v>
      </c>
      <c r="C4671" s="43" t="s">
        <v>289</v>
      </c>
      <c r="D4671" s="43" t="s">
        <v>941</v>
      </c>
      <c r="E4671" s="43" t="s">
        <v>454</v>
      </c>
    </row>
    <row r="4672" spans="1:5" x14ac:dyDescent="0.25">
      <c r="A4672" s="41">
        <v>17162</v>
      </c>
      <c r="B4672" s="42" t="s">
        <v>5046</v>
      </c>
      <c r="C4672" s="43" t="s">
        <v>289</v>
      </c>
      <c r="D4672" s="43" t="s">
        <v>941</v>
      </c>
      <c r="E4672" s="43" t="s">
        <v>454</v>
      </c>
    </row>
    <row r="4673" spans="1:5" x14ac:dyDescent="0.25">
      <c r="A4673" s="41">
        <v>17163</v>
      </c>
      <c r="B4673" s="42" t="s">
        <v>5047</v>
      </c>
      <c r="C4673" s="43" t="s">
        <v>289</v>
      </c>
      <c r="D4673" s="43" t="s">
        <v>996</v>
      </c>
      <c r="E4673" s="43" t="s">
        <v>230</v>
      </c>
    </row>
    <row r="4674" spans="1:5" x14ac:dyDescent="0.25">
      <c r="A4674" s="41">
        <v>17164</v>
      </c>
      <c r="B4674" s="42" t="s">
        <v>5048</v>
      </c>
      <c r="C4674" s="43" t="s">
        <v>289</v>
      </c>
      <c r="D4674" s="43" t="s">
        <v>996</v>
      </c>
      <c r="E4674" s="43" t="s">
        <v>230</v>
      </c>
    </row>
    <row r="4675" spans="1:5" x14ac:dyDescent="0.25">
      <c r="A4675" s="41">
        <v>17165</v>
      </c>
      <c r="B4675" s="42" t="s">
        <v>5049</v>
      </c>
      <c r="C4675" s="43" t="s">
        <v>289</v>
      </c>
      <c r="D4675" s="43" t="s">
        <v>996</v>
      </c>
      <c r="E4675" s="43" t="s">
        <v>230</v>
      </c>
    </row>
    <row r="4676" spans="1:5" x14ac:dyDescent="0.25">
      <c r="A4676" s="41">
        <v>17166</v>
      </c>
      <c r="B4676" s="42" t="s">
        <v>5050</v>
      </c>
      <c r="C4676" s="43" t="s">
        <v>289</v>
      </c>
      <c r="D4676" s="43" t="s">
        <v>996</v>
      </c>
      <c r="E4676" s="43" t="s">
        <v>230</v>
      </c>
    </row>
    <row r="4677" spans="1:5" x14ac:dyDescent="0.25">
      <c r="A4677" s="41">
        <v>17167</v>
      </c>
      <c r="B4677" s="42" t="s">
        <v>5051</v>
      </c>
      <c r="C4677" s="43" t="s">
        <v>289</v>
      </c>
      <c r="D4677" s="43" t="s">
        <v>996</v>
      </c>
      <c r="E4677" s="43" t="s">
        <v>230</v>
      </c>
    </row>
    <row r="4678" spans="1:5" x14ac:dyDescent="0.25">
      <c r="A4678" s="41">
        <v>17168</v>
      </c>
      <c r="B4678" s="42" t="s">
        <v>5052</v>
      </c>
      <c r="C4678" s="43" t="s">
        <v>289</v>
      </c>
      <c r="D4678" s="43" t="s">
        <v>996</v>
      </c>
      <c r="E4678" s="43" t="s">
        <v>230</v>
      </c>
    </row>
    <row r="4679" spans="1:5" x14ac:dyDescent="0.25">
      <c r="A4679" s="41">
        <v>17169</v>
      </c>
      <c r="B4679" s="42" t="s">
        <v>5053</v>
      </c>
      <c r="C4679" s="43" t="s">
        <v>289</v>
      </c>
      <c r="D4679" s="43" t="s">
        <v>996</v>
      </c>
      <c r="E4679" s="43" t="s">
        <v>230</v>
      </c>
    </row>
    <row r="4680" spans="1:5" x14ac:dyDescent="0.25">
      <c r="A4680" s="41">
        <v>17170</v>
      </c>
      <c r="B4680" s="42" t="s">
        <v>5054</v>
      </c>
      <c r="C4680" s="43" t="s">
        <v>289</v>
      </c>
      <c r="D4680" s="43" t="s">
        <v>996</v>
      </c>
      <c r="E4680" s="43" t="s">
        <v>230</v>
      </c>
    </row>
    <row r="4681" spans="1:5" x14ac:dyDescent="0.25">
      <c r="A4681" s="41">
        <v>17171</v>
      </c>
      <c r="B4681" s="42" t="s">
        <v>5055</v>
      </c>
      <c r="C4681" s="43" t="s">
        <v>289</v>
      </c>
      <c r="D4681" s="43" t="s">
        <v>996</v>
      </c>
      <c r="E4681" s="43" t="s">
        <v>230</v>
      </c>
    </row>
    <row r="4682" spans="1:5" x14ac:dyDescent="0.25">
      <c r="A4682" s="41">
        <v>17172</v>
      </c>
      <c r="B4682" s="42" t="s">
        <v>5056</v>
      </c>
      <c r="C4682" s="43" t="s">
        <v>289</v>
      </c>
      <c r="D4682" s="43" t="s">
        <v>996</v>
      </c>
      <c r="E4682" s="43" t="s">
        <v>230</v>
      </c>
    </row>
    <row r="4683" spans="1:5" x14ac:dyDescent="0.25">
      <c r="A4683" s="41">
        <v>17173</v>
      </c>
      <c r="B4683" s="42" t="s">
        <v>5057</v>
      </c>
      <c r="C4683" s="43" t="s">
        <v>289</v>
      </c>
      <c r="D4683" s="43" t="s">
        <v>433</v>
      </c>
      <c r="E4683" s="43" t="s">
        <v>454</v>
      </c>
    </row>
    <row r="4684" spans="1:5" x14ac:dyDescent="0.25">
      <c r="A4684" s="41">
        <v>17174</v>
      </c>
      <c r="B4684" s="42" t="s">
        <v>5058</v>
      </c>
      <c r="C4684" s="43" t="s">
        <v>289</v>
      </c>
      <c r="D4684" s="43" t="s">
        <v>5059</v>
      </c>
      <c r="E4684" s="43" t="s">
        <v>769</v>
      </c>
    </row>
    <row r="4685" spans="1:5" x14ac:dyDescent="0.25">
      <c r="A4685" s="41">
        <v>17176</v>
      </c>
      <c r="B4685" s="42" t="s">
        <v>5060</v>
      </c>
      <c r="C4685" s="43" t="s">
        <v>289</v>
      </c>
      <c r="D4685" s="43" t="s">
        <v>996</v>
      </c>
      <c r="E4685" s="43" t="s">
        <v>230</v>
      </c>
    </row>
    <row r="4686" spans="1:5" x14ac:dyDescent="0.25">
      <c r="A4686" s="41">
        <v>17177</v>
      </c>
      <c r="B4686" s="42" t="s">
        <v>5061</v>
      </c>
      <c r="C4686" s="43" t="s">
        <v>289</v>
      </c>
      <c r="D4686" s="43" t="s">
        <v>996</v>
      </c>
      <c r="E4686" s="43" t="s">
        <v>230</v>
      </c>
    </row>
    <row r="4687" spans="1:5" x14ac:dyDescent="0.25">
      <c r="A4687" s="41">
        <v>17178</v>
      </c>
      <c r="B4687" s="42" t="s">
        <v>5062</v>
      </c>
      <c r="C4687" s="43" t="s">
        <v>289</v>
      </c>
      <c r="D4687" s="43" t="s">
        <v>996</v>
      </c>
      <c r="E4687" s="43" t="s">
        <v>230</v>
      </c>
    </row>
    <row r="4688" spans="1:5" x14ac:dyDescent="0.25">
      <c r="A4688" s="41">
        <v>17179</v>
      </c>
      <c r="B4688" s="42" t="s">
        <v>5063</v>
      </c>
      <c r="C4688" s="43" t="s">
        <v>289</v>
      </c>
      <c r="D4688" s="43" t="s">
        <v>996</v>
      </c>
      <c r="E4688" s="43" t="s">
        <v>230</v>
      </c>
    </row>
    <row r="4689" spans="1:5" x14ac:dyDescent="0.25">
      <c r="A4689" s="41">
        <v>17180</v>
      </c>
      <c r="B4689" s="42" t="s">
        <v>5064</v>
      </c>
      <c r="C4689" s="43" t="s">
        <v>289</v>
      </c>
      <c r="D4689" s="43" t="s">
        <v>996</v>
      </c>
      <c r="E4689" s="43" t="s">
        <v>230</v>
      </c>
    </row>
    <row r="4690" spans="1:5" x14ac:dyDescent="0.25">
      <c r="A4690" s="41">
        <v>17181</v>
      </c>
      <c r="B4690" s="42" t="s">
        <v>5065</v>
      </c>
      <c r="C4690" s="43" t="s">
        <v>289</v>
      </c>
      <c r="D4690" s="43" t="s">
        <v>996</v>
      </c>
      <c r="E4690" s="43" t="s">
        <v>230</v>
      </c>
    </row>
    <row r="4691" spans="1:5" x14ac:dyDescent="0.25">
      <c r="A4691" s="41">
        <v>17182</v>
      </c>
      <c r="B4691" s="42" t="s">
        <v>5066</v>
      </c>
      <c r="C4691" s="43" t="s">
        <v>289</v>
      </c>
      <c r="D4691" s="43" t="s">
        <v>996</v>
      </c>
      <c r="E4691" s="43" t="s">
        <v>230</v>
      </c>
    </row>
    <row r="4692" spans="1:5" x14ac:dyDescent="0.25">
      <c r="A4692" s="41">
        <v>17183</v>
      </c>
      <c r="B4692" s="42" t="s">
        <v>5067</v>
      </c>
      <c r="C4692" s="43" t="s">
        <v>289</v>
      </c>
      <c r="D4692" s="43" t="s">
        <v>996</v>
      </c>
      <c r="E4692" s="43" t="s">
        <v>230</v>
      </c>
    </row>
    <row r="4693" spans="1:5" x14ac:dyDescent="0.25">
      <c r="A4693" s="41">
        <v>17184</v>
      </c>
      <c r="B4693" s="42" t="s">
        <v>5068</v>
      </c>
      <c r="C4693" s="43" t="s">
        <v>289</v>
      </c>
      <c r="D4693" s="43" t="s">
        <v>996</v>
      </c>
      <c r="E4693" s="43" t="s">
        <v>230</v>
      </c>
    </row>
    <row r="4694" spans="1:5" x14ac:dyDescent="0.25">
      <c r="A4694" s="41">
        <v>17185</v>
      </c>
      <c r="B4694" s="42" t="s">
        <v>5069</v>
      </c>
      <c r="C4694" s="43" t="s">
        <v>289</v>
      </c>
      <c r="D4694" s="43" t="s">
        <v>996</v>
      </c>
      <c r="E4694" s="43" t="s">
        <v>230</v>
      </c>
    </row>
    <row r="4695" spans="1:5" x14ac:dyDescent="0.25">
      <c r="A4695" s="41">
        <v>17186</v>
      </c>
      <c r="B4695" s="42" t="s">
        <v>5070</v>
      </c>
      <c r="C4695" s="43" t="s">
        <v>289</v>
      </c>
      <c r="D4695" s="43" t="s">
        <v>996</v>
      </c>
      <c r="E4695" s="43" t="s">
        <v>230</v>
      </c>
    </row>
    <row r="4696" spans="1:5" x14ac:dyDescent="0.25">
      <c r="A4696" s="41">
        <v>17187</v>
      </c>
      <c r="B4696" s="42" t="s">
        <v>5071</v>
      </c>
      <c r="C4696" s="43" t="s">
        <v>289</v>
      </c>
      <c r="D4696" s="43" t="s">
        <v>996</v>
      </c>
      <c r="E4696" s="43" t="s">
        <v>230</v>
      </c>
    </row>
    <row r="4697" spans="1:5" x14ac:dyDescent="0.25">
      <c r="A4697" s="41">
        <v>17188</v>
      </c>
      <c r="B4697" s="42" t="s">
        <v>5072</v>
      </c>
      <c r="C4697" s="43" t="s">
        <v>289</v>
      </c>
      <c r="D4697" s="43" t="s">
        <v>1112</v>
      </c>
      <c r="E4697" s="43" t="s">
        <v>230</v>
      </c>
    </row>
    <row r="4698" spans="1:5" x14ac:dyDescent="0.25">
      <c r="A4698" s="41">
        <v>17189</v>
      </c>
      <c r="B4698" s="42" t="s">
        <v>5073</v>
      </c>
      <c r="C4698" s="43" t="s">
        <v>289</v>
      </c>
      <c r="D4698" s="43" t="s">
        <v>1112</v>
      </c>
      <c r="E4698" s="43" t="s">
        <v>230</v>
      </c>
    </row>
    <row r="4699" spans="1:5" x14ac:dyDescent="0.25">
      <c r="A4699" s="41">
        <v>17190</v>
      </c>
      <c r="B4699" s="42" t="s">
        <v>5074</v>
      </c>
      <c r="C4699" s="43" t="s">
        <v>289</v>
      </c>
      <c r="D4699" s="43" t="s">
        <v>1112</v>
      </c>
      <c r="E4699" s="43" t="s">
        <v>769</v>
      </c>
    </row>
    <row r="4700" spans="1:5" x14ac:dyDescent="0.25">
      <c r="A4700" s="41">
        <v>17191</v>
      </c>
      <c r="B4700" s="42" t="s">
        <v>5075</v>
      </c>
      <c r="C4700" s="43" t="s">
        <v>289</v>
      </c>
      <c r="D4700" s="43" t="s">
        <v>996</v>
      </c>
      <c r="E4700" s="43" t="s">
        <v>769</v>
      </c>
    </row>
    <row r="4701" spans="1:5" x14ac:dyDescent="0.25">
      <c r="A4701" s="41">
        <v>17192</v>
      </c>
      <c r="B4701" s="42" t="s">
        <v>5076</v>
      </c>
      <c r="C4701" s="43" t="s">
        <v>289</v>
      </c>
      <c r="D4701" s="43" t="s">
        <v>996</v>
      </c>
      <c r="E4701" s="43" t="s">
        <v>769</v>
      </c>
    </row>
    <row r="4702" spans="1:5" x14ac:dyDescent="0.25">
      <c r="A4702" s="41">
        <v>17193</v>
      </c>
      <c r="B4702" s="42" t="s">
        <v>5077</v>
      </c>
      <c r="C4702" s="43" t="s">
        <v>289</v>
      </c>
      <c r="D4702" s="43" t="s">
        <v>996</v>
      </c>
      <c r="E4702" s="43" t="s">
        <v>769</v>
      </c>
    </row>
    <row r="4703" spans="1:5" x14ac:dyDescent="0.25">
      <c r="A4703" s="41">
        <v>17194</v>
      </c>
      <c r="B4703" s="42" t="s">
        <v>5078</v>
      </c>
      <c r="C4703" s="43" t="s">
        <v>289</v>
      </c>
      <c r="D4703" s="43" t="s">
        <v>314</v>
      </c>
      <c r="E4703" s="43" t="s">
        <v>230</v>
      </c>
    </row>
    <row r="4704" spans="1:5" x14ac:dyDescent="0.25">
      <c r="A4704" s="41">
        <v>17195</v>
      </c>
      <c r="B4704" s="42" t="s">
        <v>5079</v>
      </c>
      <c r="C4704" s="43" t="s">
        <v>289</v>
      </c>
      <c r="D4704" s="43" t="s">
        <v>314</v>
      </c>
      <c r="E4704" s="43" t="s">
        <v>230</v>
      </c>
    </row>
    <row r="4705" spans="1:5" x14ac:dyDescent="0.25">
      <c r="A4705" s="41">
        <v>17196</v>
      </c>
      <c r="B4705" s="42" t="s">
        <v>5080</v>
      </c>
      <c r="C4705" s="43" t="s">
        <v>289</v>
      </c>
      <c r="D4705" s="43" t="s">
        <v>941</v>
      </c>
      <c r="E4705" s="43" t="s">
        <v>454</v>
      </c>
    </row>
    <row r="4706" spans="1:5" x14ac:dyDescent="0.25">
      <c r="A4706" s="41">
        <v>17197</v>
      </c>
      <c r="B4706" s="42" t="s">
        <v>5081</v>
      </c>
      <c r="C4706" s="43" t="s">
        <v>289</v>
      </c>
      <c r="D4706" s="43" t="s">
        <v>941</v>
      </c>
      <c r="E4706" s="43" t="s">
        <v>454</v>
      </c>
    </row>
    <row r="4707" spans="1:5" x14ac:dyDescent="0.25">
      <c r="A4707" s="41">
        <v>17198</v>
      </c>
      <c r="B4707" s="42" t="s">
        <v>5082</v>
      </c>
      <c r="C4707" s="43" t="s">
        <v>289</v>
      </c>
      <c r="D4707" s="43" t="s">
        <v>941</v>
      </c>
      <c r="E4707" s="43" t="s">
        <v>454</v>
      </c>
    </row>
    <row r="4708" spans="1:5" x14ac:dyDescent="0.25">
      <c r="A4708" s="41">
        <v>17199</v>
      </c>
      <c r="B4708" s="42" t="s">
        <v>5083</v>
      </c>
      <c r="C4708" s="43" t="s">
        <v>289</v>
      </c>
      <c r="D4708" s="43" t="s">
        <v>941</v>
      </c>
      <c r="E4708" s="43" t="s">
        <v>454</v>
      </c>
    </row>
    <row r="4709" spans="1:5" x14ac:dyDescent="0.25">
      <c r="A4709" s="41">
        <v>17200</v>
      </c>
      <c r="B4709" s="42" t="s">
        <v>5084</v>
      </c>
      <c r="C4709" s="43" t="s">
        <v>289</v>
      </c>
      <c r="D4709" s="43" t="s">
        <v>941</v>
      </c>
      <c r="E4709" s="43" t="s">
        <v>454</v>
      </c>
    </row>
    <row r="4710" spans="1:5" x14ac:dyDescent="0.25">
      <c r="A4710" s="41">
        <v>17201</v>
      </c>
      <c r="B4710" s="42" t="s">
        <v>5085</v>
      </c>
      <c r="C4710" s="43" t="s">
        <v>289</v>
      </c>
      <c r="D4710" s="43" t="s">
        <v>941</v>
      </c>
      <c r="E4710" s="43" t="s">
        <v>454</v>
      </c>
    </row>
    <row r="4711" spans="1:5" x14ac:dyDescent="0.25">
      <c r="A4711" s="41">
        <v>17202</v>
      </c>
      <c r="B4711" s="42" t="s">
        <v>5086</v>
      </c>
      <c r="C4711" s="43" t="s">
        <v>289</v>
      </c>
      <c r="D4711" s="43" t="s">
        <v>941</v>
      </c>
      <c r="E4711" s="43" t="s">
        <v>454</v>
      </c>
    </row>
    <row r="4712" spans="1:5" x14ac:dyDescent="0.25">
      <c r="A4712" s="41">
        <v>17203</v>
      </c>
      <c r="B4712" s="42" t="s">
        <v>5087</v>
      </c>
      <c r="C4712" s="43" t="s">
        <v>289</v>
      </c>
      <c r="D4712" s="43" t="s">
        <v>941</v>
      </c>
      <c r="E4712" s="43" t="s">
        <v>454</v>
      </c>
    </row>
    <row r="4713" spans="1:5" x14ac:dyDescent="0.25">
      <c r="A4713" s="41">
        <v>17204</v>
      </c>
      <c r="B4713" s="42" t="s">
        <v>5088</v>
      </c>
      <c r="C4713" s="43" t="s">
        <v>289</v>
      </c>
      <c r="D4713" s="43" t="s">
        <v>941</v>
      </c>
      <c r="E4713" s="43" t="s">
        <v>454</v>
      </c>
    </row>
    <row r="4714" spans="1:5" x14ac:dyDescent="0.25">
      <c r="A4714" s="41">
        <v>17205</v>
      </c>
      <c r="B4714" s="42" t="s">
        <v>5089</v>
      </c>
      <c r="C4714" s="43" t="s">
        <v>289</v>
      </c>
      <c r="D4714" s="43" t="s">
        <v>941</v>
      </c>
      <c r="E4714" s="43" t="s">
        <v>454</v>
      </c>
    </row>
    <row r="4715" spans="1:5" x14ac:dyDescent="0.25">
      <c r="A4715" s="41">
        <v>17206</v>
      </c>
      <c r="B4715" s="42" t="s">
        <v>5090</v>
      </c>
      <c r="C4715" s="43" t="s">
        <v>289</v>
      </c>
      <c r="D4715" s="43" t="s">
        <v>941</v>
      </c>
      <c r="E4715" s="43" t="s">
        <v>454</v>
      </c>
    </row>
    <row r="4716" spans="1:5" x14ac:dyDescent="0.25">
      <c r="A4716" s="41">
        <v>17207</v>
      </c>
      <c r="B4716" s="42" t="s">
        <v>5091</v>
      </c>
      <c r="C4716" s="43" t="s">
        <v>289</v>
      </c>
      <c r="D4716" s="43" t="s">
        <v>941</v>
      </c>
      <c r="E4716" s="43" t="s">
        <v>454</v>
      </c>
    </row>
    <row r="4717" spans="1:5" x14ac:dyDescent="0.25">
      <c r="A4717" s="41">
        <v>17208</v>
      </c>
      <c r="B4717" s="42" t="s">
        <v>5092</v>
      </c>
      <c r="C4717" s="43" t="s">
        <v>289</v>
      </c>
      <c r="D4717" s="43" t="s">
        <v>941</v>
      </c>
      <c r="E4717" s="43" t="s">
        <v>454</v>
      </c>
    </row>
    <row r="4718" spans="1:5" x14ac:dyDescent="0.25">
      <c r="A4718" s="41">
        <v>17209</v>
      </c>
      <c r="B4718" s="42" t="s">
        <v>5093</v>
      </c>
      <c r="C4718" s="43" t="s">
        <v>289</v>
      </c>
      <c r="D4718" s="43" t="s">
        <v>941</v>
      </c>
      <c r="E4718" s="43" t="s">
        <v>454</v>
      </c>
    </row>
    <row r="4719" spans="1:5" x14ac:dyDescent="0.25">
      <c r="A4719" s="41">
        <v>17210</v>
      </c>
      <c r="B4719" s="42" t="s">
        <v>5094</v>
      </c>
      <c r="C4719" s="43" t="s">
        <v>289</v>
      </c>
      <c r="D4719" s="43" t="s">
        <v>941</v>
      </c>
      <c r="E4719" s="43" t="s">
        <v>454</v>
      </c>
    </row>
    <row r="4720" spans="1:5" x14ac:dyDescent="0.25">
      <c r="A4720" s="41">
        <v>17211</v>
      </c>
      <c r="B4720" s="42" t="s">
        <v>5095</v>
      </c>
      <c r="C4720" s="43" t="s">
        <v>289</v>
      </c>
      <c r="D4720" s="43" t="s">
        <v>941</v>
      </c>
      <c r="E4720" s="43" t="s">
        <v>454</v>
      </c>
    </row>
    <row r="4721" spans="1:5" x14ac:dyDescent="0.25">
      <c r="A4721" s="41">
        <v>17212</v>
      </c>
      <c r="B4721" s="42" t="s">
        <v>5096</v>
      </c>
      <c r="C4721" s="43" t="s">
        <v>289</v>
      </c>
      <c r="D4721" s="43" t="s">
        <v>941</v>
      </c>
      <c r="E4721" s="43" t="s">
        <v>454</v>
      </c>
    </row>
    <row r="4722" spans="1:5" x14ac:dyDescent="0.25">
      <c r="A4722" s="41">
        <v>17213</v>
      </c>
      <c r="B4722" s="42" t="s">
        <v>5097</v>
      </c>
      <c r="C4722" s="43" t="s">
        <v>289</v>
      </c>
      <c r="D4722" s="43" t="s">
        <v>941</v>
      </c>
      <c r="E4722" s="43" t="s">
        <v>454</v>
      </c>
    </row>
    <row r="4723" spans="1:5" x14ac:dyDescent="0.25">
      <c r="A4723" s="41">
        <v>17214</v>
      </c>
      <c r="B4723" s="42" t="s">
        <v>5098</v>
      </c>
      <c r="C4723" s="43" t="s">
        <v>289</v>
      </c>
      <c r="D4723" s="43" t="s">
        <v>941</v>
      </c>
      <c r="E4723" s="43" t="s">
        <v>230</v>
      </c>
    </row>
    <row r="4724" spans="1:5" x14ac:dyDescent="0.25">
      <c r="A4724" s="41">
        <v>17215</v>
      </c>
      <c r="B4724" s="42" t="s">
        <v>5099</v>
      </c>
      <c r="C4724" s="43" t="s">
        <v>289</v>
      </c>
      <c r="D4724" s="43" t="s">
        <v>941</v>
      </c>
      <c r="E4724" s="43" t="s">
        <v>230</v>
      </c>
    </row>
    <row r="4725" spans="1:5" x14ac:dyDescent="0.25">
      <c r="A4725" s="41">
        <v>17216</v>
      </c>
      <c r="B4725" s="42" t="s">
        <v>5100</v>
      </c>
      <c r="C4725" s="43" t="s">
        <v>289</v>
      </c>
      <c r="D4725" s="43" t="s">
        <v>941</v>
      </c>
      <c r="E4725" s="43" t="s">
        <v>454</v>
      </c>
    </row>
    <row r="4726" spans="1:5" x14ac:dyDescent="0.25">
      <c r="A4726" s="41">
        <v>17217</v>
      </c>
      <c r="B4726" s="42" t="s">
        <v>5101</v>
      </c>
      <c r="C4726" s="43" t="s">
        <v>289</v>
      </c>
      <c r="D4726" s="43" t="s">
        <v>941</v>
      </c>
      <c r="E4726" s="43" t="s">
        <v>454</v>
      </c>
    </row>
    <row r="4727" spans="1:5" x14ac:dyDescent="0.25">
      <c r="A4727" s="41">
        <v>17218</v>
      </c>
      <c r="B4727" s="42" t="s">
        <v>5102</v>
      </c>
      <c r="C4727" s="43" t="s">
        <v>289</v>
      </c>
      <c r="D4727" s="43" t="s">
        <v>316</v>
      </c>
      <c r="E4727" s="43" t="s">
        <v>454</v>
      </c>
    </row>
    <row r="4728" spans="1:5" x14ac:dyDescent="0.25">
      <c r="A4728" s="41">
        <v>17219</v>
      </c>
      <c r="B4728" s="42" t="s">
        <v>5103</v>
      </c>
      <c r="C4728" s="43" t="s">
        <v>289</v>
      </c>
      <c r="D4728" s="43" t="s">
        <v>316</v>
      </c>
      <c r="E4728" s="43" t="s">
        <v>454</v>
      </c>
    </row>
    <row r="4729" spans="1:5" x14ac:dyDescent="0.25">
      <c r="A4729" s="41">
        <v>17220</v>
      </c>
      <c r="B4729" s="42" t="s">
        <v>5104</v>
      </c>
      <c r="C4729" s="43" t="s">
        <v>289</v>
      </c>
      <c r="D4729" s="43" t="s">
        <v>996</v>
      </c>
      <c r="E4729" s="43" t="s">
        <v>230</v>
      </c>
    </row>
    <row r="4730" spans="1:5" x14ac:dyDescent="0.25">
      <c r="A4730" s="41">
        <v>17221</v>
      </c>
      <c r="B4730" s="42" t="s">
        <v>5105</v>
      </c>
      <c r="C4730" s="43" t="s">
        <v>289</v>
      </c>
      <c r="D4730" s="43" t="s">
        <v>996</v>
      </c>
      <c r="E4730" s="43" t="s">
        <v>230</v>
      </c>
    </row>
    <row r="4731" spans="1:5" x14ac:dyDescent="0.25">
      <c r="A4731" s="41">
        <v>17222</v>
      </c>
      <c r="B4731" s="42" t="s">
        <v>5106</v>
      </c>
      <c r="C4731" s="43" t="s">
        <v>289</v>
      </c>
      <c r="D4731" s="43" t="s">
        <v>996</v>
      </c>
      <c r="E4731" s="43" t="s">
        <v>230</v>
      </c>
    </row>
    <row r="4732" spans="1:5" x14ac:dyDescent="0.25">
      <c r="A4732" s="41">
        <v>17223</v>
      </c>
      <c r="B4732" s="42" t="s">
        <v>5107</v>
      </c>
      <c r="C4732" s="43" t="s">
        <v>289</v>
      </c>
      <c r="D4732" s="43" t="s">
        <v>996</v>
      </c>
      <c r="E4732" s="43" t="s">
        <v>230</v>
      </c>
    </row>
    <row r="4733" spans="1:5" x14ac:dyDescent="0.25">
      <c r="A4733" s="41">
        <v>17224</v>
      </c>
      <c r="B4733" s="42" t="s">
        <v>5108</v>
      </c>
      <c r="C4733" s="43" t="s">
        <v>289</v>
      </c>
      <c r="D4733" s="43" t="s">
        <v>1112</v>
      </c>
      <c r="E4733" s="43" t="s">
        <v>464</v>
      </c>
    </row>
    <row r="4734" spans="1:5" x14ac:dyDescent="0.25">
      <c r="A4734" s="41">
        <v>17225</v>
      </c>
      <c r="B4734" s="42" t="s">
        <v>5109</v>
      </c>
      <c r="C4734" s="43" t="s">
        <v>289</v>
      </c>
      <c r="D4734" s="43" t="s">
        <v>499</v>
      </c>
      <c r="E4734" s="43" t="s">
        <v>472</v>
      </c>
    </row>
    <row r="4735" spans="1:5" x14ac:dyDescent="0.25">
      <c r="A4735" s="41">
        <v>17226</v>
      </c>
      <c r="B4735" s="42" t="s">
        <v>5110</v>
      </c>
      <c r="C4735" s="43" t="s">
        <v>289</v>
      </c>
      <c r="D4735" s="43" t="s">
        <v>314</v>
      </c>
      <c r="E4735" s="43" t="s">
        <v>230</v>
      </c>
    </row>
    <row r="4736" spans="1:5" x14ac:dyDescent="0.25">
      <c r="A4736" s="41">
        <v>17227</v>
      </c>
      <c r="B4736" s="42" t="s">
        <v>5111</v>
      </c>
      <c r="C4736" s="43" t="s">
        <v>289</v>
      </c>
      <c r="D4736" s="43" t="s">
        <v>474</v>
      </c>
      <c r="E4736" s="43" t="s">
        <v>230</v>
      </c>
    </row>
    <row r="4737" spans="1:5" x14ac:dyDescent="0.25">
      <c r="A4737" s="41">
        <v>17228</v>
      </c>
      <c r="B4737" s="42" t="s">
        <v>5112</v>
      </c>
      <c r="C4737" s="43" t="s">
        <v>289</v>
      </c>
      <c r="D4737" s="43" t="s">
        <v>474</v>
      </c>
      <c r="E4737" s="43" t="s">
        <v>230</v>
      </c>
    </row>
    <row r="4738" spans="1:5" x14ac:dyDescent="0.25">
      <c r="A4738" s="41">
        <v>17229</v>
      </c>
      <c r="B4738" s="42" t="s">
        <v>5113</v>
      </c>
      <c r="C4738" s="43" t="s">
        <v>289</v>
      </c>
      <c r="D4738" s="43" t="s">
        <v>474</v>
      </c>
      <c r="E4738" s="43" t="s">
        <v>373</v>
      </c>
    </row>
    <row r="4739" spans="1:5" x14ac:dyDescent="0.25">
      <c r="A4739" s="41">
        <v>17230</v>
      </c>
      <c r="B4739" s="42" t="s">
        <v>5114</v>
      </c>
      <c r="C4739" s="43" t="s">
        <v>289</v>
      </c>
      <c r="D4739" s="43" t="s">
        <v>333</v>
      </c>
      <c r="E4739" s="43" t="s">
        <v>464</v>
      </c>
    </row>
    <row r="4740" spans="1:5" x14ac:dyDescent="0.25">
      <c r="A4740" s="41">
        <v>17231</v>
      </c>
      <c r="B4740" s="42" t="s">
        <v>5115</v>
      </c>
      <c r="C4740" s="43" t="s">
        <v>289</v>
      </c>
      <c r="D4740" s="43" t="s">
        <v>333</v>
      </c>
      <c r="E4740" s="43" t="s">
        <v>464</v>
      </c>
    </row>
    <row r="4741" spans="1:5" x14ac:dyDescent="0.25">
      <c r="A4741" s="41">
        <v>17232</v>
      </c>
      <c r="B4741" s="42" t="s">
        <v>5116</v>
      </c>
      <c r="C4741" s="43" t="s">
        <v>289</v>
      </c>
      <c r="D4741" s="43" t="s">
        <v>941</v>
      </c>
      <c r="E4741" s="43" t="s">
        <v>4605</v>
      </c>
    </row>
    <row r="4742" spans="1:5" x14ac:dyDescent="0.25">
      <c r="A4742" s="41">
        <v>17233</v>
      </c>
      <c r="B4742" s="42" t="s">
        <v>5041</v>
      </c>
      <c r="C4742" s="43" t="s">
        <v>289</v>
      </c>
      <c r="D4742" s="43" t="s">
        <v>941</v>
      </c>
      <c r="E4742" s="43" t="s">
        <v>336</v>
      </c>
    </row>
    <row r="4743" spans="1:5" x14ac:dyDescent="0.25">
      <c r="A4743" s="41">
        <v>17234</v>
      </c>
      <c r="B4743" s="42" t="s">
        <v>5042</v>
      </c>
      <c r="C4743" s="43" t="s">
        <v>289</v>
      </c>
      <c r="D4743" s="43" t="s">
        <v>941</v>
      </c>
      <c r="E4743" s="43" t="s">
        <v>336</v>
      </c>
    </row>
    <row r="4744" spans="1:5" x14ac:dyDescent="0.25">
      <c r="A4744" s="41">
        <v>17235</v>
      </c>
      <c r="B4744" s="42" t="s">
        <v>5043</v>
      </c>
      <c r="C4744" s="43" t="s">
        <v>289</v>
      </c>
      <c r="D4744" s="43" t="s">
        <v>941</v>
      </c>
      <c r="E4744" s="43" t="s">
        <v>4605</v>
      </c>
    </row>
    <row r="4745" spans="1:5" x14ac:dyDescent="0.25">
      <c r="A4745" s="41">
        <v>17236</v>
      </c>
      <c r="B4745" s="42" t="s">
        <v>5117</v>
      </c>
      <c r="C4745" s="43" t="s">
        <v>289</v>
      </c>
      <c r="D4745" s="43" t="s">
        <v>941</v>
      </c>
      <c r="E4745" s="43" t="s">
        <v>454</v>
      </c>
    </row>
    <row r="4746" spans="1:5" x14ac:dyDescent="0.25">
      <c r="A4746" s="41">
        <v>17237</v>
      </c>
      <c r="B4746" s="42" t="s">
        <v>5045</v>
      </c>
      <c r="C4746" s="43" t="s">
        <v>289</v>
      </c>
      <c r="D4746" s="43" t="s">
        <v>941</v>
      </c>
      <c r="E4746" s="43" t="s">
        <v>454</v>
      </c>
    </row>
    <row r="4747" spans="1:5" x14ac:dyDescent="0.25">
      <c r="A4747" s="41">
        <v>17238</v>
      </c>
      <c r="B4747" s="42" t="s">
        <v>5046</v>
      </c>
      <c r="C4747" s="43" t="s">
        <v>289</v>
      </c>
      <c r="D4747" s="43" t="s">
        <v>941</v>
      </c>
      <c r="E4747" s="43" t="s">
        <v>454</v>
      </c>
    </row>
    <row r="4748" spans="1:5" x14ac:dyDescent="0.25">
      <c r="A4748" s="41">
        <v>17239</v>
      </c>
      <c r="B4748" s="42" t="s">
        <v>5118</v>
      </c>
      <c r="C4748" s="43" t="s">
        <v>289</v>
      </c>
      <c r="D4748" s="43" t="s">
        <v>941</v>
      </c>
      <c r="E4748" s="43" t="s">
        <v>4605</v>
      </c>
    </row>
    <row r="4749" spans="1:5" x14ac:dyDescent="0.25">
      <c r="A4749" s="41">
        <v>17240</v>
      </c>
      <c r="B4749" s="42" t="s">
        <v>5119</v>
      </c>
      <c r="C4749" s="43" t="s">
        <v>289</v>
      </c>
      <c r="D4749" s="43" t="s">
        <v>474</v>
      </c>
      <c r="E4749" s="43" t="s">
        <v>230</v>
      </c>
    </row>
    <row r="4750" spans="1:5" x14ac:dyDescent="0.25">
      <c r="A4750" s="41">
        <v>17241</v>
      </c>
      <c r="B4750" s="42" t="s">
        <v>5120</v>
      </c>
      <c r="C4750" s="43" t="s">
        <v>289</v>
      </c>
      <c r="D4750" s="43" t="s">
        <v>474</v>
      </c>
      <c r="E4750" s="43" t="s">
        <v>230</v>
      </c>
    </row>
    <row r="4751" spans="1:5" x14ac:dyDescent="0.25">
      <c r="A4751" s="41">
        <v>17242</v>
      </c>
      <c r="B4751" s="42" t="s">
        <v>5121</v>
      </c>
      <c r="C4751" s="43" t="s">
        <v>289</v>
      </c>
      <c r="D4751" s="43" t="s">
        <v>1041</v>
      </c>
      <c r="E4751" s="43" t="s">
        <v>230</v>
      </c>
    </row>
    <row r="4752" spans="1:5" x14ac:dyDescent="0.25">
      <c r="A4752" s="41">
        <v>17243</v>
      </c>
      <c r="B4752" s="42" t="s">
        <v>5122</v>
      </c>
      <c r="C4752" s="43" t="s">
        <v>289</v>
      </c>
      <c r="D4752" s="43" t="s">
        <v>795</v>
      </c>
      <c r="E4752" s="43" t="s">
        <v>170</v>
      </c>
    </row>
    <row r="4753" spans="1:5" x14ac:dyDescent="0.25">
      <c r="A4753" s="41">
        <v>17244</v>
      </c>
      <c r="B4753" s="42" t="s">
        <v>5123</v>
      </c>
      <c r="C4753" s="43" t="s">
        <v>289</v>
      </c>
      <c r="D4753" s="43" t="s">
        <v>795</v>
      </c>
      <c r="E4753" s="43" t="s">
        <v>170</v>
      </c>
    </row>
    <row r="4754" spans="1:5" x14ac:dyDescent="0.25">
      <c r="A4754" s="41">
        <v>17247</v>
      </c>
      <c r="B4754" s="42" t="s">
        <v>5124</v>
      </c>
      <c r="C4754" s="43" t="s">
        <v>289</v>
      </c>
      <c r="D4754" s="43" t="s">
        <v>941</v>
      </c>
      <c r="E4754" s="43" t="s">
        <v>4605</v>
      </c>
    </row>
    <row r="4755" spans="1:5" x14ac:dyDescent="0.25">
      <c r="A4755" s="41">
        <v>17248</v>
      </c>
      <c r="B4755" s="42" t="s">
        <v>5125</v>
      </c>
      <c r="C4755" s="43" t="s">
        <v>289</v>
      </c>
      <c r="D4755" s="43" t="s">
        <v>941</v>
      </c>
      <c r="E4755" s="43" t="s">
        <v>4605</v>
      </c>
    </row>
    <row r="4756" spans="1:5" x14ac:dyDescent="0.25">
      <c r="A4756" s="41">
        <v>17249</v>
      </c>
      <c r="B4756" s="42" t="s">
        <v>5126</v>
      </c>
      <c r="C4756" s="43" t="s">
        <v>289</v>
      </c>
      <c r="D4756" s="43" t="s">
        <v>941</v>
      </c>
      <c r="E4756" s="43" t="s">
        <v>454</v>
      </c>
    </row>
    <row r="4757" spans="1:5" x14ac:dyDescent="0.25">
      <c r="A4757" s="41">
        <v>17250</v>
      </c>
      <c r="B4757" s="42" t="s">
        <v>5127</v>
      </c>
      <c r="C4757" s="43" t="s">
        <v>289</v>
      </c>
      <c r="D4757" s="43" t="s">
        <v>433</v>
      </c>
      <c r="E4757" s="43" t="s">
        <v>230</v>
      </c>
    </row>
    <row r="4758" spans="1:5" x14ac:dyDescent="0.25">
      <c r="A4758" s="41">
        <v>17252</v>
      </c>
      <c r="B4758" s="42" t="s">
        <v>5128</v>
      </c>
      <c r="C4758" s="43" t="s">
        <v>289</v>
      </c>
      <c r="D4758" s="43" t="s">
        <v>1112</v>
      </c>
      <c r="E4758" s="43" t="s">
        <v>230</v>
      </c>
    </row>
    <row r="4759" spans="1:5" x14ac:dyDescent="0.25">
      <c r="A4759" s="41">
        <v>17253</v>
      </c>
      <c r="B4759" s="42" t="s">
        <v>5129</v>
      </c>
      <c r="C4759" s="43" t="s">
        <v>289</v>
      </c>
      <c r="D4759" s="43" t="s">
        <v>1112</v>
      </c>
      <c r="E4759" s="43" t="s">
        <v>336</v>
      </c>
    </row>
    <row r="4760" spans="1:5" x14ac:dyDescent="0.25">
      <c r="A4760" s="41">
        <v>17254</v>
      </c>
      <c r="B4760" s="42" t="s">
        <v>5130</v>
      </c>
      <c r="C4760" s="43" t="s">
        <v>289</v>
      </c>
      <c r="D4760" s="43" t="s">
        <v>1112</v>
      </c>
      <c r="E4760" s="43" t="s">
        <v>230</v>
      </c>
    </row>
    <row r="4761" spans="1:5" x14ac:dyDescent="0.25">
      <c r="A4761" s="41">
        <v>17255</v>
      </c>
      <c r="B4761" s="42" t="s">
        <v>5131</v>
      </c>
      <c r="C4761" s="43" t="s">
        <v>289</v>
      </c>
      <c r="D4761" s="43" t="s">
        <v>1112</v>
      </c>
      <c r="E4761" s="43" t="s">
        <v>230</v>
      </c>
    </row>
    <row r="4762" spans="1:5" x14ac:dyDescent="0.25">
      <c r="A4762" s="41">
        <v>17256</v>
      </c>
      <c r="B4762" s="42" t="s">
        <v>5132</v>
      </c>
      <c r="C4762" s="43" t="s">
        <v>289</v>
      </c>
      <c r="D4762" s="43" t="s">
        <v>1112</v>
      </c>
      <c r="E4762" s="43" t="s">
        <v>230</v>
      </c>
    </row>
    <row r="4763" spans="1:5" x14ac:dyDescent="0.25">
      <c r="A4763" s="41">
        <v>17257</v>
      </c>
      <c r="B4763" s="42" t="s">
        <v>5133</v>
      </c>
      <c r="C4763" s="43" t="s">
        <v>289</v>
      </c>
      <c r="D4763" s="43" t="s">
        <v>2501</v>
      </c>
      <c r="E4763" s="43" t="s">
        <v>336</v>
      </c>
    </row>
    <row r="4764" spans="1:5" x14ac:dyDescent="0.25">
      <c r="A4764" s="41">
        <v>17258</v>
      </c>
      <c r="B4764" s="42" t="s">
        <v>5134</v>
      </c>
      <c r="C4764" s="43" t="s">
        <v>289</v>
      </c>
      <c r="D4764" s="43" t="s">
        <v>2501</v>
      </c>
      <c r="E4764" s="43" t="s">
        <v>336</v>
      </c>
    </row>
    <row r="4765" spans="1:5" x14ac:dyDescent="0.25">
      <c r="A4765" s="41">
        <v>17259</v>
      </c>
      <c r="B4765" s="42" t="s">
        <v>5135</v>
      </c>
      <c r="C4765" s="43" t="s">
        <v>289</v>
      </c>
      <c r="D4765" s="43" t="s">
        <v>2501</v>
      </c>
      <c r="E4765" s="43" t="s">
        <v>769</v>
      </c>
    </row>
    <row r="4766" spans="1:5" x14ac:dyDescent="0.25">
      <c r="A4766" s="41">
        <v>17260</v>
      </c>
      <c r="B4766" s="42" t="s">
        <v>5136</v>
      </c>
      <c r="C4766" s="43" t="s">
        <v>289</v>
      </c>
      <c r="D4766" s="43" t="s">
        <v>1112</v>
      </c>
      <c r="E4766" s="43" t="s">
        <v>464</v>
      </c>
    </row>
    <row r="4767" spans="1:5" x14ac:dyDescent="0.25">
      <c r="A4767" s="41">
        <v>17261</v>
      </c>
      <c r="B4767" s="42" t="s">
        <v>5137</v>
      </c>
      <c r="C4767" s="43" t="s">
        <v>289</v>
      </c>
      <c r="D4767" s="43" t="s">
        <v>1100</v>
      </c>
      <c r="E4767" s="43" t="s">
        <v>464</v>
      </c>
    </row>
    <row r="4768" spans="1:5" x14ac:dyDescent="0.25">
      <c r="A4768" s="41">
        <v>17271</v>
      </c>
      <c r="B4768" s="42" t="s">
        <v>5138</v>
      </c>
      <c r="C4768" s="43" t="s">
        <v>289</v>
      </c>
      <c r="D4768" s="43" t="s">
        <v>1112</v>
      </c>
      <c r="E4768" s="43" t="s">
        <v>230</v>
      </c>
    </row>
    <row r="4769" spans="1:5" x14ac:dyDescent="0.25">
      <c r="A4769" s="41">
        <v>17272</v>
      </c>
      <c r="B4769" s="42" t="s">
        <v>5139</v>
      </c>
      <c r="C4769" s="43" t="s">
        <v>289</v>
      </c>
      <c r="D4769" s="43" t="s">
        <v>1112</v>
      </c>
      <c r="E4769" s="43" t="s">
        <v>230</v>
      </c>
    </row>
    <row r="4770" spans="1:5" x14ac:dyDescent="0.25">
      <c r="A4770" s="41">
        <v>17273</v>
      </c>
      <c r="B4770" s="42" t="s">
        <v>5140</v>
      </c>
      <c r="C4770" s="43" t="s">
        <v>289</v>
      </c>
      <c r="D4770" s="43" t="s">
        <v>1112</v>
      </c>
      <c r="E4770" s="43" t="s">
        <v>230</v>
      </c>
    </row>
    <row r="4771" spans="1:5" x14ac:dyDescent="0.25">
      <c r="A4771" s="41">
        <v>17274</v>
      </c>
      <c r="B4771" s="42" t="s">
        <v>5141</v>
      </c>
      <c r="C4771" s="43" t="s">
        <v>289</v>
      </c>
      <c r="D4771" s="43" t="s">
        <v>1112</v>
      </c>
      <c r="E4771" s="43" t="s">
        <v>230</v>
      </c>
    </row>
    <row r="4772" spans="1:5" x14ac:dyDescent="0.25">
      <c r="A4772" s="41">
        <v>17275</v>
      </c>
      <c r="B4772" s="42" t="s">
        <v>5142</v>
      </c>
      <c r="C4772" s="43" t="s">
        <v>289</v>
      </c>
      <c r="D4772" s="43" t="s">
        <v>1112</v>
      </c>
      <c r="E4772" s="43" t="s">
        <v>230</v>
      </c>
    </row>
    <row r="4773" spans="1:5" x14ac:dyDescent="0.25">
      <c r="A4773" s="41">
        <v>17276</v>
      </c>
      <c r="B4773" s="42" t="s">
        <v>5143</v>
      </c>
      <c r="C4773" s="43" t="s">
        <v>289</v>
      </c>
      <c r="D4773" s="43" t="s">
        <v>1112</v>
      </c>
      <c r="E4773" s="43" t="s">
        <v>230</v>
      </c>
    </row>
    <row r="4774" spans="1:5" x14ac:dyDescent="0.25">
      <c r="A4774" s="41">
        <v>17277</v>
      </c>
      <c r="B4774" s="42" t="s">
        <v>5144</v>
      </c>
      <c r="C4774" s="43" t="s">
        <v>289</v>
      </c>
      <c r="D4774" s="43" t="s">
        <v>1112</v>
      </c>
      <c r="E4774" s="43" t="s">
        <v>230</v>
      </c>
    </row>
    <row r="4775" spans="1:5" x14ac:dyDescent="0.25">
      <c r="A4775" s="41">
        <v>17278</v>
      </c>
      <c r="B4775" s="42" t="s">
        <v>5145</v>
      </c>
      <c r="C4775" s="43" t="s">
        <v>289</v>
      </c>
      <c r="D4775" s="43" t="s">
        <v>1112</v>
      </c>
      <c r="E4775" s="43" t="s">
        <v>230</v>
      </c>
    </row>
    <row r="4776" spans="1:5" x14ac:dyDescent="0.25">
      <c r="A4776" s="41">
        <v>17279</v>
      </c>
      <c r="B4776" s="42" t="s">
        <v>5146</v>
      </c>
      <c r="C4776" s="43" t="s">
        <v>289</v>
      </c>
      <c r="D4776" s="43" t="s">
        <v>1112</v>
      </c>
      <c r="E4776" s="43" t="s">
        <v>230</v>
      </c>
    </row>
    <row r="4777" spans="1:5" x14ac:dyDescent="0.25">
      <c r="A4777" s="41">
        <v>17281</v>
      </c>
      <c r="B4777" s="42" t="s">
        <v>5147</v>
      </c>
      <c r="C4777" s="43" t="s">
        <v>289</v>
      </c>
      <c r="D4777" s="43" t="s">
        <v>1112</v>
      </c>
      <c r="E4777" s="43" t="s">
        <v>464</v>
      </c>
    </row>
    <row r="4778" spans="1:5" x14ac:dyDescent="0.25">
      <c r="A4778" s="41">
        <v>17282</v>
      </c>
      <c r="B4778" s="42" t="s">
        <v>5148</v>
      </c>
      <c r="C4778" s="43" t="s">
        <v>289</v>
      </c>
      <c r="D4778" s="43" t="s">
        <v>1112</v>
      </c>
      <c r="E4778" s="43" t="s">
        <v>464</v>
      </c>
    </row>
    <row r="4779" spans="1:5" x14ac:dyDescent="0.25">
      <c r="A4779" s="41">
        <v>17283</v>
      </c>
      <c r="B4779" s="42" t="s">
        <v>5149</v>
      </c>
      <c r="C4779" s="43" t="s">
        <v>289</v>
      </c>
      <c r="D4779" s="43" t="s">
        <v>1112</v>
      </c>
      <c r="E4779" s="43" t="s">
        <v>464</v>
      </c>
    </row>
    <row r="4780" spans="1:5" x14ac:dyDescent="0.25">
      <c r="A4780" s="41">
        <v>17284</v>
      </c>
      <c r="B4780" s="42" t="s">
        <v>5150</v>
      </c>
      <c r="C4780" s="43" t="s">
        <v>289</v>
      </c>
      <c r="D4780" s="43" t="s">
        <v>941</v>
      </c>
      <c r="E4780" s="43" t="s">
        <v>454</v>
      </c>
    </row>
    <row r="4781" spans="1:5" x14ac:dyDescent="0.25">
      <c r="A4781" s="41">
        <v>17285</v>
      </c>
      <c r="B4781" s="42" t="s">
        <v>5151</v>
      </c>
      <c r="C4781" s="43" t="s">
        <v>289</v>
      </c>
      <c r="D4781" s="43" t="s">
        <v>941</v>
      </c>
      <c r="E4781" s="43" t="s">
        <v>454</v>
      </c>
    </row>
    <row r="4782" spans="1:5" x14ac:dyDescent="0.25">
      <c r="A4782" s="41">
        <v>17286</v>
      </c>
      <c r="B4782" s="42" t="s">
        <v>5152</v>
      </c>
      <c r="C4782" s="43" t="s">
        <v>289</v>
      </c>
      <c r="D4782" s="43" t="s">
        <v>941</v>
      </c>
      <c r="E4782" s="43" t="s">
        <v>454</v>
      </c>
    </row>
    <row r="4783" spans="1:5" x14ac:dyDescent="0.25">
      <c r="A4783" s="41">
        <v>17287</v>
      </c>
      <c r="B4783" s="42" t="s">
        <v>5153</v>
      </c>
      <c r="C4783" s="43" t="s">
        <v>289</v>
      </c>
      <c r="D4783" s="43" t="s">
        <v>941</v>
      </c>
      <c r="E4783" s="43" t="s">
        <v>454</v>
      </c>
    </row>
    <row r="4784" spans="1:5" x14ac:dyDescent="0.25">
      <c r="A4784" s="41">
        <v>17288</v>
      </c>
      <c r="B4784" s="42" t="s">
        <v>5154</v>
      </c>
      <c r="C4784" s="43" t="s">
        <v>289</v>
      </c>
      <c r="D4784" s="43" t="s">
        <v>474</v>
      </c>
      <c r="E4784" s="43" t="s">
        <v>230</v>
      </c>
    </row>
    <row r="4785" spans="1:5" x14ac:dyDescent="0.25">
      <c r="A4785" s="41">
        <v>17289</v>
      </c>
      <c r="B4785" s="42" t="s">
        <v>5155</v>
      </c>
      <c r="C4785" s="43" t="s">
        <v>289</v>
      </c>
      <c r="D4785" s="43" t="s">
        <v>474</v>
      </c>
      <c r="E4785" s="43" t="s">
        <v>230</v>
      </c>
    </row>
    <row r="4786" spans="1:5" x14ac:dyDescent="0.25">
      <c r="A4786" s="41">
        <v>17290</v>
      </c>
      <c r="B4786" s="42" t="s">
        <v>5156</v>
      </c>
      <c r="C4786" s="43" t="s">
        <v>289</v>
      </c>
      <c r="D4786" s="43" t="s">
        <v>474</v>
      </c>
      <c r="E4786" s="43" t="s">
        <v>230</v>
      </c>
    </row>
    <row r="4787" spans="1:5" x14ac:dyDescent="0.25">
      <c r="A4787" s="41">
        <v>17291</v>
      </c>
      <c r="B4787" s="42" t="s">
        <v>5157</v>
      </c>
      <c r="C4787" s="43" t="s">
        <v>289</v>
      </c>
      <c r="D4787" s="43" t="s">
        <v>316</v>
      </c>
      <c r="E4787" s="43" t="s">
        <v>454</v>
      </c>
    </row>
    <row r="4788" spans="1:5" x14ac:dyDescent="0.25">
      <c r="A4788" s="41">
        <v>17292</v>
      </c>
      <c r="B4788" s="42" t="s">
        <v>5158</v>
      </c>
      <c r="C4788" s="43" t="s">
        <v>289</v>
      </c>
      <c r="D4788" s="43" t="s">
        <v>316</v>
      </c>
      <c r="E4788" s="43" t="s">
        <v>454</v>
      </c>
    </row>
    <row r="4789" spans="1:5" x14ac:dyDescent="0.25">
      <c r="A4789" s="41">
        <v>17293</v>
      </c>
      <c r="B4789" s="42" t="s">
        <v>5159</v>
      </c>
      <c r="C4789" s="43" t="s">
        <v>289</v>
      </c>
      <c r="D4789" s="43" t="s">
        <v>316</v>
      </c>
      <c r="E4789" s="43" t="s">
        <v>454</v>
      </c>
    </row>
    <row r="4790" spans="1:5" x14ac:dyDescent="0.25">
      <c r="A4790" s="41">
        <v>17294</v>
      </c>
      <c r="B4790" s="42" t="s">
        <v>5160</v>
      </c>
      <c r="C4790" s="43" t="s">
        <v>289</v>
      </c>
      <c r="D4790" s="43" t="s">
        <v>1112</v>
      </c>
      <c r="E4790" s="43" t="s">
        <v>464</v>
      </c>
    </row>
    <row r="4791" spans="1:5" x14ac:dyDescent="0.25">
      <c r="A4791" s="41">
        <v>17295</v>
      </c>
      <c r="B4791" s="42" t="s">
        <v>5161</v>
      </c>
      <c r="C4791" s="43" t="s">
        <v>289</v>
      </c>
      <c r="D4791" s="43" t="s">
        <v>1112</v>
      </c>
      <c r="E4791" s="43" t="s">
        <v>464</v>
      </c>
    </row>
    <row r="4792" spans="1:5" x14ac:dyDescent="0.25">
      <c r="A4792" s="41">
        <v>17296</v>
      </c>
      <c r="B4792" s="42" t="s">
        <v>5162</v>
      </c>
      <c r="C4792" s="43" t="s">
        <v>289</v>
      </c>
      <c r="D4792" s="43" t="s">
        <v>1112</v>
      </c>
      <c r="E4792" s="43" t="s">
        <v>464</v>
      </c>
    </row>
    <row r="4793" spans="1:5" x14ac:dyDescent="0.25">
      <c r="A4793" s="41">
        <v>17297</v>
      </c>
      <c r="B4793" s="42" t="s">
        <v>5163</v>
      </c>
      <c r="C4793" s="43" t="s">
        <v>289</v>
      </c>
      <c r="D4793" s="43" t="s">
        <v>1112</v>
      </c>
      <c r="E4793" s="43" t="s">
        <v>464</v>
      </c>
    </row>
    <row r="4794" spans="1:5" x14ac:dyDescent="0.25">
      <c r="A4794" s="41">
        <v>17298</v>
      </c>
      <c r="B4794" s="42" t="s">
        <v>5164</v>
      </c>
      <c r="C4794" s="43" t="s">
        <v>289</v>
      </c>
      <c r="D4794" s="43" t="s">
        <v>335</v>
      </c>
      <c r="E4794" s="43" t="s">
        <v>230</v>
      </c>
    </row>
    <row r="4795" spans="1:5" x14ac:dyDescent="0.25">
      <c r="A4795" s="41">
        <v>17299</v>
      </c>
      <c r="B4795" s="42" t="s">
        <v>5165</v>
      </c>
      <c r="C4795" s="43" t="s">
        <v>289</v>
      </c>
      <c r="D4795" s="43" t="s">
        <v>335</v>
      </c>
      <c r="E4795" s="43" t="s">
        <v>230</v>
      </c>
    </row>
    <row r="4796" spans="1:5" x14ac:dyDescent="0.25">
      <c r="A4796" s="41">
        <v>17300</v>
      </c>
      <c r="B4796" s="42" t="s">
        <v>5166</v>
      </c>
      <c r="C4796" s="43" t="s">
        <v>289</v>
      </c>
      <c r="D4796" s="43" t="s">
        <v>996</v>
      </c>
      <c r="E4796" s="43" t="s">
        <v>769</v>
      </c>
    </row>
    <row r="4797" spans="1:5" x14ac:dyDescent="0.25">
      <c r="A4797" s="41">
        <v>17301</v>
      </c>
      <c r="B4797" s="42" t="s">
        <v>5167</v>
      </c>
      <c r="C4797" s="43" t="s">
        <v>289</v>
      </c>
      <c r="D4797" s="43" t="s">
        <v>1112</v>
      </c>
      <c r="E4797" s="43" t="s">
        <v>464</v>
      </c>
    </row>
    <row r="4798" spans="1:5" x14ac:dyDescent="0.25">
      <c r="A4798" s="41">
        <v>17302</v>
      </c>
      <c r="B4798" s="42" t="s">
        <v>5168</v>
      </c>
      <c r="C4798" s="43" t="s">
        <v>289</v>
      </c>
      <c r="D4798" s="43" t="s">
        <v>1112</v>
      </c>
      <c r="E4798" s="43" t="s">
        <v>464</v>
      </c>
    </row>
    <row r="4799" spans="1:5" x14ac:dyDescent="0.25">
      <c r="A4799" s="41">
        <v>17303</v>
      </c>
      <c r="B4799" s="42" t="s">
        <v>5169</v>
      </c>
      <c r="C4799" s="43" t="s">
        <v>289</v>
      </c>
      <c r="D4799" s="43" t="s">
        <v>453</v>
      </c>
      <c r="E4799" s="43" t="s">
        <v>230</v>
      </c>
    </row>
    <row r="4800" spans="1:5" x14ac:dyDescent="0.25">
      <c r="A4800" s="41">
        <v>17304</v>
      </c>
      <c r="B4800" s="42" t="s">
        <v>5170</v>
      </c>
      <c r="C4800" s="43" t="s">
        <v>289</v>
      </c>
      <c r="D4800" s="43" t="s">
        <v>316</v>
      </c>
      <c r="E4800" s="43" t="s">
        <v>454</v>
      </c>
    </row>
    <row r="4801" spans="1:5" x14ac:dyDescent="0.25">
      <c r="A4801" s="41">
        <v>17305</v>
      </c>
      <c r="B4801" s="42" t="s">
        <v>5171</v>
      </c>
      <c r="C4801" s="43" t="s">
        <v>289</v>
      </c>
      <c r="D4801" s="43" t="s">
        <v>996</v>
      </c>
      <c r="E4801" s="43" t="s">
        <v>766</v>
      </c>
    </row>
    <row r="4802" spans="1:5" x14ac:dyDescent="0.25">
      <c r="A4802" s="41">
        <v>17306</v>
      </c>
      <c r="B4802" s="42" t="s">
        <v>5172</v>
      </c>
      <c r="C4802" s="43" t="s">
        <v>289</v>
      </c>
      <c r="D4802" s="43" t="s">
        <v>996</v>
      </c>
      <c r="E4802" s="43" t="s">
        <v>766</v>
      </c>
    </row>
    <row r="4803" spans="1:5" x14ac:dyDescent="0.25">
      <c r="A4803" s="41">
        <v>17307</v>
      </c>
      <c r="B4803" s="42" t="s">
        <v>5173</v>
      </c>
      <c r="C4803" s="43" t="s">
        <v>289</v>
      </c>
      <c r="D4803" s="43" t="s">
        <v>410</v>
      </c>
      <c r="E4803" s="43" t="s">
        <v>230</v>
      </c>
    </row>
    <row r="4804" spans="1:5" x14ac:dyDescent="0.25">
      <c r="A4804" s="41">
        <v>17308</v>
      </c>
      <c r="B4804" s="42" t="s">
        <v>5174</v>
      </c>
      <c r="C4804" s="43" t="s">
        <v>289</v>
      </c>
      <c r="D4804" s="43" t="s">
        <v>410</v>
      </c>
      <c r="E4804" s="43" t="s">
        <v>230</v>
      </c>
    </row>
    <row r="4805" spans="1:5" x14ac:dyDescent="0.25">
      <c r="A4805" s="41">
        <v>17309</v>
      </c>
      <c r="B4805" s="42" t="s">
        <v>5175</v>
      </c>
      <c r="C4805" s="43" t="s">
        <v>289</v>
      </c>
      <c r="D4805" s="43" t="s">
        <v>1112</v>
      </c>
      <c r="E4805" s="43" t="s">
        <v>464</v>
      </c>
    </row>
    <row r="4806" spans="1:5" x14ac:dyDescent="0.25">
      <c r="A4806" s="41">
        <v>17310</v>
      </c>
      <c r="B4806" s="42" t="s">
        <v>5176</v>
      </c>
      <c r="C4806" s="43" t="s">
        <v>289</v>
      </c>
      <c r="D4806" s="43" t="s">
        <v>1112</v>
      </c>
      <c r="E4806" s="43" t="s">
        <v>464</v>
      </c>
    </row>
    <row r="4807" spans="1:5" x14ac:dyDescent="0.25">
      <c r="A4807" s="41">
        <v>17311</v>
      </c>
      <c r="B4807" s="42" t="s">
        <v>5177</v>
      </c>
      <c r="C4807" s="43" t="s">
        <v>289</v>
      </c>
      <c r="D4807" s="43" t="s">
        <v>1112</v>
      </c>
      <c r="E4807" s="43" t="s">
        <v>464</v>
      </c>
    </row>
    <row r="4808" spans="1:5" x14ac:dyDescent="0.25">
      <c r="A4808" s="41">
        <v>17312</v>
      </c>
      <c r="B4808" s="42" t="s">
        <v>5178</v>
      </c>
      <c r="C4808" s="43" t="s">
        <v>289</v>
      </c>
      <c r="D4808" s="43" t="s">
        <v>1112</v>
      </c>
      <c r="E4808" s="43" t="s">
        <v>464</v>
      </c>
    </row>
    <row r="4809" spans="1:5" x14ac:dyDescent="0.25">
      <c r="A4809" s="41">
        <v>17313</v>
      </c>
      <c r="B4809" s="42" t="s">
        <v>5179</v>
      </c>
      <c r="C4809" s="43" t="s">
        <v>289</v>
      </c>
      <c r="D4809" s="43" t="s">
        <v>1112</v>
      </c>
      <c r="E4809" s="43" t="s">
        <v>464</v>
      </c>
    </row>
    <row r="4810" spans="1:5" x14ac:dyDescent="0.25">
      <c r="A4810" s="41">
        <v>17315</v>
      </c>
      <c r="B4810" s="42" t="s">
        <v>5180</v>
      </c>
      <c r="C4810" s="43" t="s">
        <v>289</v>
      </c>
      <c r="D4810" s="43" t="s">
        <v>1112</v>
      </c>
      <c r="E4810" s="43" t="s">
        <v>464</v>
      </c>
    </row>
    <row r="4811" spans="1:5" x14ac:dyDescent="0.25">
      <c r="A4811" s="41">
        <v>17316</v>
      </c>
      <c r="B4811" s="42" t="s">
        <v>5181</v>
      </c>
      <c r="C4811" s="43" t="s">
        <v>289</v>
      </c>
      <c r="D4811" s="43" t="s">
        <v>635</v>
      </c>
      <c r="E4811" s="43" t="s">
        <v>464</v>
      </c>
    </row>
    <row r="4812" spans="1:5" x14ac:dyDescent="0.25">
      <c r="A4812" s="41">
        <v>17317</v>
      </c>
      <c r="B4812" s="42" t="s">
        <v>5182</v>
      </c>
      <c r="C4812" s="43" t="s">
        <v>289</v>
      </c>
      <c r="D4812" s="43" t="s">
        <v>410</v>
      </c>
      <c r="E4812" s="43" t="s">
        <v>230</v>
      </c>
    </row>
    <row r="4813" spans="1:5" x14ac:dyDescent="0.25">
      <c r="A4813" s="41">
        <v>17321</v>
      </c>
      <c r="B4813" s="42" t="s">
        <v>5183</v>
      </c>
      <c r="C4813" s="43" t="s">
        <v>289</v>
      </c>
      <c r="D4813" s="43" t="s">
        <v>433</v>
      </c>
      <c r="E4813" s="43" t="s">
        <v>230</v>
      </c>
    </row>
    <row r="4814" spans="1:5" x14ac:dyDescent="0.25">
      <c r="A4814" s="41">
        <v>17333</v>
      </c>
      <c r="B4814" s="42" t="s">
        <v>5184</v>
      </c>
      <c r="C4814" s="43" t="s">
        <v>289</v>
      </c>
      <c r="D4814" s="43" t="s">
        <v>1112</v>
      </c>
      <c r="E4814" s="43" t="s">
        <v>464</v>
      </c>
    </row>
    <row r="4815" spans="1:5" x14ac:dyDescent="0.25">
      <c r="A4815" s="41">
        <v>17334</v>
      </c>
      <c r="B4815" s="42" t="s">
        <v>5185</v>
      </c>
      <c r="C4815" s="43" t="s">
        <v>289</v>
      </c>
      <c r="D4815" s="43" t="s">
        <v>1112</v>
      </c>
      <c r="E4815" s="43" t="s">
        <v>464</v>
      </c>
    </row>
    <row r="4816" spans="1:5" x14ac:dyDescent="0.25">
      <c r="A4816" s="41">
        <v>17335</v>
      </c>
      <c r="B4816" s="42" t="s">
        <v>5186</v>
      </c>
      <c r="C4816" s="43" t="s">
        <v>289</v>
      </c>
      <c r="D4816" s="43" t="s">
        <v>474</v>
      </c>
      <c r="E4816" s="43" t="s">
        <v>230</v>
      </c>
    </row>
    <row r="4817" spans="1:5" x14ac:dyDescent="0.25">
      <c r="A4817" s="41">
        <v>17338</v>
      </c>
      <c r="B4817" s="42" t="s">
        <v>5187</v>
      </c>
      <c r="C4817" s="43" t="s">
        <v>289</v>
      </c>
      <c r="D4817" s="43" t="s">
        <v>316</v>
      </c>
      <c r="E4817" s="43" t="s">
        <v>230</v>
      </c>
    </row>
    <row r="4818" spans="1:5" x14ac:dyDescent="0.25">
      <c r="A4818" s="41">
        <v>17339</v>
      </c>
      <c r="B4818" s="42" t="s">
        <v>5188</v>
      </c>
      <c r="C4818" s="43" t="s">
        <v>289</v>
      </c>
      <c r="D4818" s="43" t="s">
        <v>996</v>
      </c>
      <c r="E4818" s="43" t="s">
        <v>230</v>
      </c>
    </row>
    <row r="4819" spans="1:5" x14ac:dyDescent="0.25">
      <c r="A4819" s="41">
        <v>17340</v>
      </c>
      <c r="B4819" s="42" t="s">
        <v>5189</v>
      </c>
      <c r="C4819" s="43" t="s">
        <v>289</v>
      </c>
      <c r="D4819" s="43" t="s">
        <v>996</v>
      </c>
      <c r="E4819" s="43" t="s">
        <v>230</v>
      </c>
    </row>
    <row r="4820" spans="1:5" x14ac:dyDescent="0.25">
      <c r="A4820" s="41">
        <v>17341</v>
      </c>
      <c r="B4820" s="42" t="s">
        <v>5190</v>
      </c>
      <c r="C4820" s="43" t="s">
        <v>289</v>
      </c>
      <c r="D4820" s="43" t="s">
        <v>1913</v>
      </c>
      <c r="E4820" s="43" t="s">
        <v>230</v>
      </c>
    </row>
    <row r="4821" spans="1:5" x14ac:dyDescent="0.25">
      <c r="A4821" s="41">
        <v>17342</v>
      </c>
      <c r="B4821" s="42" t="s">
        <v>5191</v>
      </c>
      <c r="C4821" s="43" t="s">
        <v>289</v>
      </c>
      <c r="D4821" s="43" t="s">
        <v>1913</v>
      </c>
      <c r="E4821" s="43" t="s">
        <v>230</v>
      </c>
    </row>
    <row r="4822" spans="1:5" x14ac:dyDescent="0.25">
      <c r="A4822" s="41">
        <v>17343</v>
      </c>
      <c r="B4822" s="42" t="s">
        <v>5192</v>
      </c>
      <c r="C4822" s="43" t="s">
        <v>289</v>
      </c>
      <c r="D4822" s="43" t="s">
        <v>1913</v>
      </c>
      <c r="E4822" s="43" t="s">
        <v>230</v>
      </c>
    </row>
    <row r="4823" spans="1:5" x14ac:dyDescent="0.25">
      <c r="A4823" s="41">
        <v>17344</v>
      </c>
      <c r="B4823" s="42" t="s">
        <v>5193</v>
      </c>
      <c r="C4823" s="43" t="s">
        <v>289</v>
      </c>
      <c r="D4823" s="43" t="s">
        <v>1913</v>
      </c>
      <c r="E4823" s="43" t="s">
        <v>230</v>
      </c>
    </row>
    <row r="4824" spans="1:5" x14ac:dyDescent="0.25">
      <c r="A4824" s="41">
        <v>17345</v>
      </c>
      <c r="B4824" s="42" t="s">
        <v>5194</v>
      </c>
      <c r="C4824" s="43" t="s">
        <v>289</v>
      </c>
      <c r="D4824" s="43" t="s">
        <v>1913</v>
      </c>
      <c r="E4824" s="43" t="s">
        <v>230</v>
      </c>
    </row>
    <row r="4825" spans="1:5" x14ac:dyDescent="0.25">
      <c r="A4825" s="41">
        <v>17346</v>
      </c>
      <c r="B4825" s="42" t="s">
        <v>5195</v>
      </c>
      <c r="C4825" s="43" t="s">
        <v>289</v>
      </c>
      <c r="D4825" s="43" t="s">
        <v>1913</v>
      </c>
      <c r="E4825" s="43" t="s">
        <v>230</v>
      </c>
    </row>
    <row r="4826" spans="1:5" x14ac:dyDescent="0.25">
      <c r="A4826" s="41">
        <v>17347</v>
      </c>
      <c r="B4826" s="42" t="s">
        <v>5196</v>
      </c>
      <c r="C4826" s="43" t="s">
        <v>289</v>
      </c>
      <c r="D4826" s="43" t="s">
        <v>1913</v>
      </c>
      <c r="E4826" s="43" t="s">
        <v>230</v>
      </c>
    </row>
    <row r="4827" spans="1:5" x14ac:dyDescent="0.25">
      <c r="A4827" s="41">
        <v>17348</v>
      </c>
      <c r="B4827" s="42" t="s">
        <v>5197</v>
      </c>
      <c r="C4827" s="43" t="s">
        <v>289</v>
      </c>
      <c r="D4827" s="43" t="s">
        <v>1913</v>
      </c>
      <c r="E4827" s="43" t="s">
        <v>230</v>
      </c>
    </row>
    <row r="4828" spans="1:5" x14ac:dyDescent="0.25">
      <c r="A4828" s="41">
        <v>17349</v>
      </c>
      <c r="B4828" s="42" t="s">
        <v>5198</v>
      </c>
      <c r="C4828" s="43" t="s">
        <v>289</v>
      </c>
      <c r="D4828" s="43" t="s">
        <v>1913</v>
      </c>
      <c r="E4828" s="43" t="s">
        <v>230</v>
      </c>
    </row>
    <row r="4829" spans="1:5" x14ac:dyDescent="0.25">
      <c r="A4829" s="41">
        <v>17350</v>
      </c>
      <c r="B4829" s="42" t="s">
        <v>5199</v>
      </c>
      <c r="C4829" s="43" t="s">
        <v>289</v>
      </c>
      <c r="D4829" s="43" t="s">
        <v>1913</v>
      </c>
      <c r="E4829" s="43" t="s">
        <v>230</v>
      </c>
    </row>
    <row r="4830" spans="1:5" x14ac:dyDescent="0.25">
      <c r="A4830" s="41">
        <v>17351</v>
      </c>
      <c r="B4830" s="42" t="s">
        <v>5200</v>
      </c>
      <c r="C4830" s="43" t="s">
        <v>289</v>
      </c>
      <c r="D4830" s="43" t="s">
        <v>1913</v>
      </c>
      <c r="E4830" s="43" t="s">
        <v>230</v>
      </c>
    </row>
    <row r="4831" spans="1:5" x14ac:dyDescent="0.25">
      <c r="A4831" s="41">
        <v>17352</v>
      </c>
      <c r="B4831" s="42" t="s">
        <v>5201</v>
      </c>
      <c r="C4831" s="43" t="s">
        <v>289</v>
      </c>
      <c r="D4831" s="43" t="s">
        <v>1913</v>
      </c>
      <c r="E4831" s="43" t="s">
        <v>230</v>
      </c>
    </row>
    <row r="4832" spans="1:5" x14ac:dyDescent="0.25">
      <c r="A4832" s="41">
        <v>17353</v>
      </c>
      <c r="B4832" s="42" t="s">
        <v>5202</v>
      </c>
      <c r="C4832" s="43" t="s">
        <v>289</v>
      </c>
      <c r="D4832" s="43" t="s">
        <v>1913</v>
      </c>
      <c r="E4832" s="43" t="s">
        <v>230</v>
      </c>
    </row>
    <row r="4833" spans="1:5" x14ac:dyDescent="0.25">
      <c r="A4833" s="41">
        <v>17354</v>
      </c>
      <c r="B4833" s="42" t="s">
        <v>5203</v>
      </c>
      <c r="C4833" s="43" t="s">
        <v>289</v>
      </c>
      <c r="D4833" s="43" t="s">
        <v>1913</v>
      </c>
      <c r="E4833" s="43" t="s">
        <v>230</v>
      </c>
    </row>
    <row r="4834" spans="1:5" x14ac:dyDescent="0.25">
      <c r="A4834" s="41">
        <v>17355</v>
      </c>
      <c r="B4834" s="42" t="s">
        <v>5204</v>
      </c>
      <c r="C4834" s="43" t="s">
        <v>289</v>
      </c>
      <c r="D4834" s="43" t="s">
        <v>1913</v>
      </c>
      <c r="E4834" s="43" t="s">
        <v>230</v>
      </c>
    </row>
    <row r="4835" spans="1:5" x14ac:dyDescent="0.25">
      <c r="A4835" s="41">
        <v>17356</v>
      </c>
      <c r="B4835" s="42" t="s">
        <v>5205</v>
      </c>
      <c r="C4835" s="43" t="s">
        <v>289</v>
      </c>
      <c r="D4835" s="43" t="s">
        <v>1913</v>
      </c>
      <c r="E4835" s="43" t="s">
        <v>230</v>
      </c>
    </row>
    <row r="4836" spans="1:5" x14ac:dyDescent="0.25">
      <c r="A4836" s="41">
        <v>17357</v>
      </c>
      <c r="B4836" s="42" t="s">
        <v>5206</v>
      </c>
      <c r="C4836" s="43" t="s">
        <v>289</v>
      </c>
      <c r="D4836" s="43" t="s">
        <v>314</v>
      </c>
      <c r="E4836" s="43" t="s">
        <v>230</v>
      </c>
    </row>
    <row r="4837" spans="1:5" x14ac:dyDescent="0.25">
      <c r="A4837" s="41">
        <v>17358</v>
      </c>
      <c r="B4837" s="42" t="s">
        <v>5207</v>
      </c>
      <c r="C4837" s="43" t="s">
        <v>289</v>
      </c>
      <c r="D4837" s="43" t="s">
        <v>1112</v>
      </c>
      <c r="E4837" s="43" t="s">
        <v>464</v>
      </c>
    </row>
    <row r="4838" spans="1:5" x14ac:dyDescent="0.25">
      <c r="A4838" s="41">
        <v>17360</v>
      </c>
      <c r="B4838" s="42" t="s">
        <v>5208</v>
      </c>
      <c r="C4838" s="43" t="s">
        <v>289</v>
      </c>
      <c r="D4838" s="43" t="s">
        <v>316</v>
      </c>
      <c r="E4838" s="43" t="s">
        <v>464</v>
      </c>
    </row>
    <row r="4839" spans="1:5" x14ac:dyDescent="0.25">
      <c r="A4839" s="41">
        <v>17361</v>
      </c>
      <c r="B4839" s="42" t="s">
        <v>5209</v>
      </c>
      <c r="C4839" s="43" t="s">
        <v>289</v>
      </c>
      <c r="D4839" s="43" t="s">
        <v>316</v>
      </c>
      <c r="E4839" s="43" t="s">
        <v>464</v>
      </c>
    </row>
    <row r="4840" spans="1:5" x14ac:dyDescent="0.25">
      <c r="A4840" s="41">
        <v>17362</v>
      </c>
      <c r="B4840" s="42" t="s">
        <v>5210</v>
      </c>
      <c r="C4840" s="43" t="s">
        <v>289</v>
      </c>
      <c r="D4840" s="43" t="s">
        <v>316</v>
      </c>
      <c r="E4840" s="43" t="s">
        <v>464</v>
      </c>
    </row>
    <row r="4841" spans="1:5" x14ac:dyDescent="0.25">
      <c r="A4841" s="41">
        <v>17363</v>
      </c>
      <c r="B4841" s="42" t="s">
        <v>5211</v>
      </c>
      <c r="C4841" s="43" t="s">
        <v>289</v>
      </c>
      <c r="D4841" s="43" t="s">
        <v>316</v>
      </c>
      <c r="E4841" s="43" t="s">
        <v>464</v>
      </c>
    </row>
    <row r="4842" spans="1:5" x14ac:dyDescent="0.25">
      <c r="A4842" s="41">
        <v>17364</v>
      </c>
      <c r="B4842" s="42" t="s">
        <v>5212</v>
      </c>
      <c r="C4842" s="43" t="s">
        <v>289</v>
      </c>
      <c r="D4842" s="43" t="s">
        <v>316</v>
      </c>
      <c r="E4842" s="43" t="s">
        <v>373</v>
      </c>
    </row>
    <row r="4843" spans="1:5" x14ac:dyDescent="0.25">
      <c r="A4843" s="41">
        <v>17365</v>
      </c>
      <c r="B4843" s="42" t="s">
        <v>5213</v>
      </c>
      <c r="C4843" s="43" t="s">
        <v>289</v>
      </c>
      <c r="D4843" s="43" t="s">
        <v>327</v>
      </c>
      <c r="E4843" s="43" t="s">
        <v>464</v>
      </c>
    </row>
    <row r="4844" spans="1:5" x14ac:dyDescent="0.25">
      <c r="A4844" s="41">
        <v>17366</v>
      </c>
      <c r="B4844" s="42" t="s">
        <v>5214</v>
      </c>
      <c r="C4844" s="43" t="s">
        <v>289</v>
      </c>
      <c r="D4844" s="43" t="s">
        <v>327</v>
      </c>
      <c r="E4844" s="43" t="s">
        <v>464</v>
      </c>
    </row>
    <row r="4845" spans="1:5" x14ac:dyDescent="0.25">
      <c r="A4845" s="41">
        <v>17367</v>
      </c>
      <c r="B4845" s="42" t="s">
        <v>5215</v>
      </c>
      <c r="C4845" s="43" t="s">
        <v>289</v>
      </c>
      <c r="D4845" s="43" t="s">
        <v>996</v>
      </c>
      <c r="E4845" s="43" t="s">
        <v>230</v>
      </c>
    </row>
    <row r="4846" spans="1:5" x14ac:dyDescent="0.25">
      <c r="A4846" s="41">
        <v>17368</v>
      </c>
      <c r="B4846" s="42" t="s">
        <v>5216</v>
      </c>
      <c r="C4846" s="43" t="s">
        <v>289</v>
      </c>
      <c r="D4846" s="43" t="s">
        <v>4329</v>
      </c>
      <c r="E4846" s="43" t="s">
        <v>769</v>
      </c>
    </row>
    <row r="4847" spans="1:5" x14ac:dyDescent="0.25">
      <c r="A4847" s="41">
        <v>17369</v>
      </c>
      <c r="B4847" s="42" t="s">
        <v>5217</v>
      </c>
      <c r="C4847" s="43" t="s">
        <v>289</v>
      </c>
      <c r="D4847" s="43" t="s">
        <v>316</v>
      </c>
      <c r="E4847" s="43" t="s">
        <v>454</v>
      </c>
    </row>
    <row r="4848" spans="1:5" x14ac:dyDescent="0.25">
      <c r="A4848" s="41">
        <v>17370</v>
      </c>
      <c r="B4848" s="42" t="s">
        <v>5218</v>
      </c>
      <c r="C4848" s="43" t="s">
        <v>289</v>
      </c>
      <c r="D4848" s="43" t="s">
        <v>316</v>
      </c>
      <c r="E4848" s="43" t="s">
        <v>454</v>
      </c>
    </row>
    <row r="4849" spans="1:5" x14ac:dyDescent="0.25">
      <c r="A4849" s="41">
        <v>17371</v>
      </c>
      <c r="B4849" s="42" t="s">
        <v>5219</v>
      </c>
      <c r="C4849" s="43" t="s">
        <v>289</v>
      </c>
      <c r="D4849" s="43" t="s">
        <v>941</v>
      </c>
      <c r="E4849" s="43" t="s">
        <v>230</v>
      </c>
    </row>
    <row r="4850" spans="1:5" x14ac:dyDescent="0.25">
      <c r="A4850" s="41">
        <v>17372</v>
      </c>
      <c r="B4850" s="42" t="s">
        <v>5220</v>
      </c>
      <c r="C4850" s="43" t="s">
        <v>289</v>
      </c>
      <c r="D4850" s="43" t="s">
        <v>327</v>
      </c>
      <c r="E4850" s="43" t="s">
        <v>454</v>
      </c>
    </row>
    <row r="4851" spans="1:5" x14ac:dyDescent="0.25">
      <c r="A4851" s="41">
        <v>17373</v>
      </c>
      <c r="B4851" s="42" t="s">
        <v>5221</v>
      </c>
      <c r="C4851" s="43" t="s">
        <v>289</v>
      </c>
      <c r="D4851" s="43" t="s">
        <v>410</v>
      </c>
      <c r="E4851" s="43" t="s">
        <v>230</v>
      </c>
    </row>
    <row r="4852" spans="1:5" x14ac:dyDescent="0.25">
      <c r="A4852" s="41">
        <v>17374</v>
      </c>
      <c r="B4852" s="42" t="s">
        <v>5222</v>
      </c>
      <c r="C4852" s="43" t="s">
        <v>289</v>
      </c>
      <c r="D4852" s="43" t="s">
        <v>316</v>
      </c>
      <c r="E4852" s="43" t="s">
        <v>454</v>
      </c>
    </row>
    <row r="4853" spans="1:5" x14ac:dyDescent="0.25">
      <c r="A4853" s="41">
        <v>17376</v>
      </c>
      <c r="B4853" s="42" t="s">
        <v>5223</v>
      </c>
      <c r="C4853" s="43" t="s">
        <v>289</v>
      </c>
      <c r="D4853" s="43" t="s">
        <v>316</v>
      </c>
      <c r="E4853" s="43" t="s">
        <v>464</v>
      </c>
    </row>
    <row r="4854" spans="1:5" x14ac:dyDescent="0.25">
      <c r="A4854" s="41">
        <v>17377</v>
      </c>
      <c r="B4854" s="42" t="s">
        <v>5224</v>
      </c>
      <c r="C4854" s="43" t="s">
        <v>289</v>
      </c>
      <c r="D4854" s="43" t="s">
        <v>316</v>
      </c>
      <c r="E4854" s="43" t="s">
        <v>464</v>
      </c>
    </row>
    <row r="4855" spans="1:5" x14ac:dyDescent="0.25">
      <c r="A4855" s="41">
        <v>17378</v>
      </c>
      <c r="B4855" s="42" t="s">
        <v>5225</v>
      </c>
      <c r="C4855" s="43" t="s">
        <v>289</v>
      </c>
      <c r="D4855" s="43" t="s">
        <v>316</v>
      </c>
      <c r="E4855" s="43" t="s">
        <v>464</v>
      </c>
    </row>
    <row r="4856" spans="1:5" x14ac:dyDescent="0.25">
      <c r="A4856" s="41">
        <v>17379</v>
      </c>
      <c r="B4856" s="42" t="s">
        <v>5226</v>
      </c>
      <c r="C4856" s="43" t="s">
        <v>289</v>
      </c>
      <c r="D4856" s="43" t="s">
        <v>433</v>
      </c>
      <c r="E4856" s="43" t="s">
        <v>769</v>
      </c>
    </row>
    <row r="4857" spans="1:5" x14ac:dyDescent="0.25">
      <c r="A4857" s="41">
        <v>17380</v>
      </c>
      <c r="B4857" s="42" t="s">
        <v>5227</v>
      </c>
      <c r="C4857" s="43" t="s">
        <v>289</v>
      </c>
      <c r="D4857" s="43" t="s">
        <v>1526</v>
      </c>
      <c r="E4857" s="43" t="s">
        <v>454</v>
      </c>
    </row>
    <row r="4858" spans="1:5" x14ac:dyDescent="0.25">
      <c r="A4858" s="41">
        <v>17381</v>
      </c>
      <c r="B4858" s="42" t="s">
        <v>5228</v>
      </c>
      <c r="C4858" s="43" t="s">
        <v>289</v>
      </c>
      <c r="D4858" s="43" t="s">
        <v>327</v>
      </c>
      <c r="E4858" s="43" t="s">
        <v>454</v>
      </c>
    </row>
    <row r="4859" spans="1:5" x14ac:dyDescent="0.25">
      <c r="A4859" s="41">
        <v>17382</v>
      </c>
      <c r="B4859" s="42" t="s">
        <v>5227</v>
      </c>
      <c r="C4859" s="43" t="s">
        <v>289</v>
      </c>
      <c r="D4859" s="43" t="s">
        <v>941</v>
      </c>
      <c r="E4859" s="43" t="s">
        <v>454</v>
      </c>
    </row>
    <row r="4860" spans="1:5" x14ac:dyDescent="0.25">
      <c r="A4860" s="41">
        <v>17383</v>
      </c>
      <c r="B4860" s="42" t="s">
        <v>5229</v>
      </c>
      <c r="C4860" s="43" t="s">
        <v>289</v>
      </c>
      <c r="D4860" s="43" t="s">
        <v>813</v>
      </c>
      <c r="E4860" s="43" t="s">
        <v>454</v>
      </c>
    </row>
    <row r="4861" spans="1:5" x14ac:dyDescent="0.25">
      <c r="A4861" s="41">
        <v>17384</v>
      </c>
      <c r="B4861" s="42" t="s">
        <v>5230</v>
      </c>
      <c r="C4861" s="43" t="s">
        <v>289</v>
      </c>
      <c r="D4861" s="43" t="s">
        <v>813</v>
      </c>
      <c r="E4861" s="43" t="s">
        <v>454</v>
      </c>
    </row>
    <row r="4862" spans="1:5" x14ac:dyDescent="0.25">
      <c r="A4862" s="41">
        <v>17385</v>
      </c>
      <c r="B4862" s="42" t="s">
        <v>5231</v>
      </c>
      <c r="C4862" s="43" t="s">
        <v>289</v>
      </c>
      <c r="D4862" s="43" t="s">
        <v>5232</v>
      </c>
      <c r="E4862" s="43" t="s">
        <v>769</v>
      </c>
    </row>
    <row r="4863" spans="1:5" x14ac:dyDescent="0.25">
      <c r="A4863" s="41">
        <v>17386</v>
      </c>
      <c r="B4863" s="42" t="s">
        <v>5233</v>
      </c>
      <c r="C4863" s="43" t="s">
        <v>289</v>
      </c>
      <c r="D4863" s="43" t="s">
        <v>1112</v>
      </c>
      <c r="E4863" s="43" t="s">
        <v>230</v>
      </c>
    </row>
    <row r="4864" spans="1:5" x14ac:dyDescent="0.25">
      <c r="A4864" s="41">
        <v>17387</v>
      </c>
      <c r="B4864" s="42" t="s">
        <v>5234</v>
      </c>
      <c r="C4864" s="43" t="s">
        <v>289</v>
      </c>
      <c r="D4864" s="43" t="s">
        <v>316</v>
      </c>
      <c r="E4864" s="43" t="s">
        <v>454</v>
      </c>
    </row>
    <row r="4865" spans="1:5" x14ac:dyDescent="0.25">
      <c r="A4865" s="41">
        <v>17388</v>
      </c>
      <c r="B4865" s="42" t="s">
        <v>5235</v>
      </c>
      <c r="C4865" s="43" t="s">
        <v>289</v>
      </c>
      <c r="D4865" s="43" t="s">
        <v>316</v>
      </c>
      <c r="E4865" s="43" t="s">
        <v>454</v>
      </c>
    </row>
    <row r="4866" spans="1:5" x14ac:dyDescent="0.25">
      <c r="A4866" s="41">
        <v>17389</v>
      </c>
      <c r="B4866" s="42" t="s">
        <v>5236</v>
      </c>
      <c r="C4866" s="43" t="s">
        <v>289</v>
      </c>
      <c r="D4866" s="43" t="s">
        <v>1112</v>
      </c>
      <c r="E4866" s="43" t="s">
        <v>464</v>
      </c>
    </row>
    <row r="4867" spans="1:5" x14ac:dyDescent="0.25">
      <c r="A4867" s="41">
        <v>17390</v>
      </c>
      <c r="B4867" s="42" t="s">
        <v>5237</v>
      </c>
      <c r="C4867" s="43" t="s">
        <v>289</v>
      </c>
      <c r="D4867" s="43" t="s">
        <v>1112</v>
      </c>
      <c r="E4867" s="43" t="s">
        <v>464</v>
      </c>
    </row>
    <row r="4868" spans="1:5" x14ac:dyDescent="0.25">
      <c r="A4868" s="41">
        <v>17391</v>
      </c>
      <c r="B4868" s="42" t="s">
        <v>5238</v>
      </c>
      <c r="C4868" s="43" t="s">
        <v>289</v>
      </c>
      <c r="D4868" s="43" t="s">
        <v>1112</v>
      </c>
      <c r="E4868" s="43" t="s">
        <v>464</v>
      </c>
    </row>
    <row r="4869" spans="1:5" x14ac:dyDescent="0.25">
      <c r="A4869" s="41">
        <v>17392</v>
      </c>
      <c r="B4869" s="42" t="s">
        <v>5239</v>
      </c>
      <c r="C4869" s="43" t="s">
        <v>289</v>
      </c>
      <c r="D4869" s="43" t="s">
        <v>996</v>
      </c>
      <c r="E4869" s="43" t="s">
        <v>230</v>
      </c>
    </row>
    <row r="4870" spans="1:5" x14ac:dyDescent="0.25">
      <c r="A4870" s="41">
        <v>17393</v>
      </c>
      <c r="B4870" s="42" t="s">
        <v>5240</v>
      </c>
      <c r="C4870" s="43" t="s">
        <v>289</v>
      </c>
      <c r="D4870" s="43" t="s">
        <v>941</v>
      </c>
      <c r="E4870" s="43" t="s">
        <v>230</v>
      </c>
    </row>
    <row r="4871" spans="1:5" x14ac:dyDescent="0.25">
      <c r="A4871" s="41">
        <v>17398</v>
      </c>
      <c r="B4871" s="42" t="s">
        <v>5241</v>
      </c>
      <c r="C4871" s="43" t="s">
        <v>289</v>
      </c>
      <c r="D4871" s="43" t="s">
        <v>1138</v>
      </c>
      <c r="E4871" s="43" t="s">
        <v>454</v>
      </c>
    </row>
    <row r="4872" spans="1:5" x14ac:dyDescent="0.25">
      <c r="A4872" s="41">
        <v>17399</v>
      </c>
      <c r="B4872" s="42" t="s">
        <v>5242</v>
      </c>
      <c r="C4872" s="43" t="s">
        <v>289</v>
      </c>
      <c r="D4872" s="43" t="s">
        <v>1138</v>
      </c>
      <c r="E4872" s="43" t="s">
        <v>454</v>
      </c>
    </row>
    <row r="4873" spans="1:5" x14ac:dyDescent="0.25">
      <c r="A4873" s="41">
        <v>17400</v>
      </c>
      <c r="B4873" s="42" t="s">
        <v>5243</v>
      </c>
      <c r="C4873" s="43" t="s">
        <v>289</v>
      </c>
      <c r="D4873" s="43" t="s">
        <v>316</v>
      </c>
      <c r="E4873" s="43" t="s">
        <v>454</v>
      </c>
    </row>
    <row r="4874" spans="1:5" x14ac:dyDescent="0.25">
      <c r="A4874" s="41">
        <v>17401</v>
      </c>
      <c r="B4874" s="42" t="s">
        <v>5244</v>
      </c>
      <c r="C4874" s="43" t="s">
        <v>289</v>
      </c>
      <c r="D4874" s="43" t="s">
        <v>316</v>
      </c>
      <c r="E4874" s="43" t="s">
        <v>464</v>
      </c>
    </row>
    <row r="4875" spans="1:5" x14ac:dyDescent="0.25">
      <c r="A4875" s="41">
        <v>17402</v>
      </c>
      <c r="B4875" s="42" t="s">
        <v>5245</v>
      </c>
      <c r="C4875" s="43" t="s">
        <v>289</v>
      </c>
      <c r="D4875" s="43" t="s">
        <v>1112</v>
      </c>
      <c r="E4875" s="43" t="s">
        <v>464</v>
      </c>
    </row>
    <row r="4876" spans="1:5" x14ac:dyDescent="0.25">
      <c r="A4876" s="41">
        <v>17403</v>
      </c>
      <c r="B4876" s="42" t="s">
        <v>5246</v>
      </c>
      <c r="C4876" s="43" t="s">
        <v>289</v>
      </c>
      <c r="D4876" s="43" t="s">
        <v>1041</v>
      </c>
      <c r="E4876" s="43" t="s">
        <v>464</v>
      </c>
    </row>
    <row r="4877" spans="1:5" x14ac:dyDescent="0.25">
      <c r="A4877" s="41">
        <v>17404</v>
      </c>
      <c r="B4877" s="42" t="s">
        <v>5247</v>
      </c>
      <c r="C4877" s="43" t="s">
        <v>289</v>
      </c>
      <c r="D4877" s="43" t="s">
        <v>1041</v>
      </c>
      <c r="E4877" s="43" t="s">
        <v>464</v>
      </c>
    </row>
    <row r="4878" spans="1:5" x14ac:dyDescent="0.25">
      <c r="A4878" s="41">
        <v>17405</v>
      </c>
      <c r="B4878" s="42" t="s">
        <v>5248</v>
      </c>
      <c r="C4878" s="43" t="s">
        <v>289</v>
      </c>
      <c r="D4878" s="43" t="s">
        <v>1041</v>
      </c>
      <c r="E4878" s="43" t="s">
        <v>464</v>
      </c>
    </row>
    <row r="4879" spans="1:5" x14ac:dyDescent="0.25">
      <c r="A4879" s="41">
        <v>17406</v>
      </c>
      <c r="B4879" s="42" t="s">
        <v>5249</v>
      </c>
      <c r="C4879" s="43" t="s">
        <v>289</v>
      </c>
      <c r="D4879" s="43" t="s">
        <v>996</v>
      </c>
      <c r="E4879" s="43" t="s">
        <v>230</v>
      </c>
    </row>
    <row r="4880" spans="1:5" x14ac:dyDescent="0.25">
      <c r="A4880" s="41">
        <v>17407</v>
      </c>
      <c r="B4880" s="42" t="s">
        <v>5250</v>
      </c>
      <c r="C4880" s="43" t="s">
        <v>289</v>
      </c>
      <c r="D4880" s="43" t="s">
        <v>996</v>
      </c>
      <c r="E4880" s="43" t="s">
        <v>230</v>
      </c>
    </row>
    <row r="4881" spans="1:5" x14ac:dyDescent="0.25">
      <c r="A4881" s="41">
        <v>17408</v>
      </c>
      <c r="B4881" s="42" t="s">
        <v>5251</v>
      </c>
      <c r="C4881" s="43" t="s">
        <v>289</v>
      </c>
      <c r="D4881" s="43" t="s">
        <v>996</v>
      </c>
      <c r="E4881" s="43" t="s">
        <v>230</v>
      </c>
    </row>
    <row r="4882" spans="1:5" x14ac:dyDescent="0.25">
      <c r="A4882" s="41">
        <v>17409</v>
      </c>
      <c r="B4882" s="42" t="s">
        <v>5252</v>
      </c>
      <c r="C4882" s="43" t="s">
        <v>289</v>
      </c>
      <c r="D4882" s="43" t="s">
        <v>996</v>
      </c>
      <c r="E4882" s="43" t="s">
        <v>230</v>
      </c>
    </row>
    <row r="4883" spans="1:5" x14ac:dyDescent="0.25">
      <c r="A4883" s="41">
        <v>17410</v>
      </c>
      <c r="B4883" s="42" t="s">
        <v>5253</v>
      </c>
      <c r="C4883" s="43" t="s">
        <v>289</v>
      </c>
      <c r="D4883" s="43" t="s">
        <v>996</v>
      </c>
      <c r="E4883" s="43" t="s">
        <v>230</v>
      </c>
    </row>
    <row r="4884" spans="1:5" x14ac:dyDescent="0.25">
      <c r="A4884" s="41">
        <v>17411</v>
      </c>
      <c r="B4884" s="42" t="s">
        <v>5254</v>
      </c>
      <c r="C4884" s="43" t="s">
        <v>289</v>
      </c>
      <c r="D4884" s="43" t="s">
        <v>996</v>
      </c>
      <c r="E4884" s="43" t="s">
        <v>230</v>
      </c>
    </row>
    <row r="4885" spans="1:5" x14ac:dyDescent="0.25">
      <c r="A4885" s="41">
        <v>17412</v>
      </c>
      <c r="B4885" s="42" t="s">
        <v>5255</v>
      </c>
      <c r="C4885" s="43" t="s">
        <v>289</v>
      </c>
      <c r="D4885" s="43" t="s">
        <v>996</v>
      </c>
      <c r="E4885" s="43" t="s">
        <v>230</v>
      </c>
    </row>
    <row r="4886" spans="1:5" x14ac:dyDescent="0.25">
      <c r="A4886" s="41">
        <v>17413</v>
      </c>
      <c r="B4886" s="42" t="s">
        <v>5256</v>
      </c>
      <c r="C4886" s="43" t="s">
        <v>289</v>
      </c>
      <c r="D4886" s="43" t="s">
        <v>996</v>
      </c>
      <c r="E4886" s="43" t="s">
        <v>230</v>
      </c>
    </row>
    <row r="4887" spans="1:5" x14ac:dyDescent="0.25">
      <c r="A4887" s="41">
        <v>17414</v>
      </c>
      <c r="B4887" s="42" t="s">
        <v>5257</v>
      </c>
      <c r="C4887" s="43" t="s">
        <v>289</v>
      </c>
      <c r="D4887" s="43" t="s">
        <v>996</v>
      </c>
      <c r="E4887" s="43" t="s">
        <v>230</v>
      </c>
    </row>
    <row r="4888" spans="1:5" x14ac:dyDescent="0.25">
      <c r="A4888" s="41">
        <v>17415</v>
      </c>
      <c r="B4888" s="42" t="s">
        <v>5258</v>
      </c>
      <c r="C4888" s="43" t="s">
        <v>289</v>
      </c>
      <c r="D4888" s="43" t="s">
        <v>996</v>
      </c>
      <c r="E4888" s="43" t="s">
        <v>230</v>
      </c>
    </row>
    <row r="4889" spans="1:5" x14ac:dyDescent="0.25">
      <c r="A4889" s="41">
        <v>17416</v>
      </c>
      <c r="B4889" s="42" t="s">
        <v>5259</v>
      </c>
      <c r="C4889" s="43" t="s">
        <v>289</v>
      </c>
      <c r="D4889" s="43" t="s">
        <v>996</v>
      </c>
      <c r="E4889" s="43" t="s">
        <v>230</v>
      </c>
    </row>
    <row r="4890" spans="1:5" x14ac:dyDescent="0.25">
      <c r="A4890" s="41">
        <v>17417</v>
      </c>
      <c r="B4890" s="42" t="s">
        <v>5260</v>
      </c>
      <c r="C4890" s="43" t="s">
        <v>289</v>
      </c>
      <c r="D4890" s="43" t="s">
        <v>996</v>
      </c>
      <c r="E4890" s="43" t="s">
        <v>230</v>
      </c>
    </row>
    <row r="4891" spans="1:5" x14ac:dyDescent="0.25">
      <c r="A4891" s="41">
        <v>17418</v>
      </c>
      <c r="B4891" s="42" t="s">
        <v>5261</v>
      </c>
      <c r="C4891" s="43" t="s">
        <v>289</v>
      </c>
      <c r="D4891" s="43" t="s">
        <v>996</v>
      </c>
      <c r="E4891" s="43" t="s">
        <v>230</v>
      </c>
    </row>
    <row r="4892" spans="1:5" x14ac:dyDescent="0.25">
      <c r="A4892" s="41">
        <v>17419</v>
      </c>
      <c r="B4892" s="42" t="s">
        <v>5262</v>
      </c>
      <c r="C4892" s="43" t="s">
        <v>289</v>
      </c>
      <c r="D4892" s="43" t="s">
        <v>996</v>
      </c>
      <c r="E4892" s="43" t="s">
        <v>230</v>
      </c>
    </row>
    <row r="4893" spans="1:5" x14ac:dyDescent="0.25">
      <c r="A4893" s="41">
        <v>17420</v>
      </c>
      <c r="B4893" s="42" t="s">
        <v>5263</v>
      </c>
      <c r="C4893" s="43" t="s">
        <v>289</v>
      </c>
      <c r="D4893" s="43" t="s">
        <v>996</v>
      </c>
      <c r="E4893" s="43" t="s">
        <v>230</v>
      </c>
    </row>
    <row r="4894" spans="1:5" x14ac:dyDescent="0.25">
      <c r="A4894" s="41">
        <v>17421</v>
      </c>
      <c r="B4894" s="42" t="s">
        <v>5264</v>
      </c>
      <c r="C4894" s="43" t="s">
        <v>289</v>
      </c>
      <c r="D4894" s="43" t="s">
        <v>996</v>
      </c>
      <c r="E4894" s="43" t="s">
        <v>230</v>
      </c>
    </row>
    <row r="4895" spans="1:5" x14ac:dyDescent="0.25">
      <c r="A4895" s="41">
        <v>17422</v>
      </c>
      <c r="B4895" s="42" t="s">
        <v>5265</v>
      </c>
      <c r="C4895" s="43" t="s">
        <v>289</v>
      </c>
      <c r="D4895" s="43" t="s">
        <v>996</v>
      </c>
      <c r="E4895" s="43" t="s">
        <v>230</v>
      </c>
    </row>
    <row r="4896" spans="1:5" x14ac:dyDescent="0.25">
      <c r="A4896" s="41">
        <v>17423</v>
      </c>
      <c r="B4896" s="42" t="s">
        <v>5266</v>
      </c>
      <c r="C4896" s="43" t="s">
        <v>289</v>
      </c>
      <c r="D4896" s="43" t="s">
        <v>327</v>
      </c>
      <c r="E4896" s="43" t="s">
        <v>336</v>
      </c>
    </row>
    <row r="4897" spans="1:5" x14ac:dyDescent="0.25">
      <c r="A4897" s="41">
        <v>17424</v>
      </c>
      <c r="B4897" s="42" t="s">
        <v>5267</v>
      </c>
      <c r="C4897" s="43" t="s">
        <v>289</v>
      </c>
      <c r="D4897" s="43" t="s">
        <v>1477</v>
      </c>
      <c r="E4897" s="43" t="s">
        <v>769</v>
      </c>
    </row>
    <row r="4898" spans="1:5" x14ac:dyDescent="0.25">
      <c r="A4898" s="41">
        <v>17425</v>
      </c>
      <c r="B4898" s="42" t="s">
        <v>5268</v>
      </c>
      <c r="C4898" s="43" t="s">
        <v>289</v>
      </c>
      <c r="D4898" s="43" t="s">
        <v>433</v>
      </c>
      <c r="E4898" s="43" t="s">
        <v>230</v>
      </c>
    </row>
    <row r="4899" spans="1:5" x14ac:dyDescent="0.25">
      <c r="A4899" s="41">
        <v>17426</v>
      </c>
      <c r="B4899" s="42" t="s">
        <v>5269</v>
      </c>
      <c r="C4899" s="43" t="s">
        <v>289</v>
      </c>
      <c r="D4899" s="43" t="s">
        <v>333</v>
      </c>
      <c r="E4899" s="43" t="s">
        <v>230</v>
      </c>
    </row>
    <row r="4900" spans="1:5" x14ac:dyDescent="0.25">
      <c r="A4900" s="41">
        <v>17427</v>
      </c>
      <c r="B4900" s="42" t="s">
        <v>5270</v>
      </c>
      <c r="C4900" s="43" t="s">
        <v>289</v>
      </c>
      <c r="D4900" s="43" t="s">
        <v>333</v>
      </c>
      <c r="E4900" s="43" t="s">
        <v>170</v>
      </c>
    </row>
    <row r="4901" spans="1:5" x14ac:dyDescent="0.25">
      <c r="A4901" s="41">
        <v>17428</v>
      </c>
      <c r="B4901" s="42" t="s">
        <v>5271</v>
      </c>
      <c r="C4901" s="43" t="s">
        <v>289</v>
      </c>
      <c r="D4901" s="43" t="s">
        <v>333</v>
      </c>
      <c r="E4901" s="43" t="s">
        <v>170</v>
      </c>
    </row>
    <row r="4902" spans="1:5" x14ac:dyDescent="0.25">
      <c r="A4902" s="41">
        <v>17429</v>
      </c>
      <c r="B4902" s="42" t="s">
        <v>5272</v>
      </c>
      <c r="C4902" s="43" t="s">
        <v>289</v>
      </c>
      <c r="D4902" s="43" t="s">
        <v>333</v>
      </c>
      <c r="E4902" s="43" t="s">
        <v>170</v>
      </c>
    </row>
    <row r="4903" spans="1:5" x14ac:dyDescent="0.25">
      <c r="A4903" s="41">
        <v>17430</v>
      </c>
      <c r="B4903" s="42" t="s">
        <v>5273</v>
      </c>
      <c r="C4903" s="43" t="s">
        <v>289</v>
      </c>
      <c r="D4903" s="43" t="s">
        <v>333</v>
      </c>
      <c r="E4903" s="43" t="s">
        <v>170</v>
      </c>
    </row>
    <row r="4904" spans="1:5" x14ac:dyDescent="0.25">
      <c r="A4904" s="41">
        <v>17431</v>
      </c>
      <c r="B4904" s="42" t="s">
        <v>5274</v>
      </c>
      <c r="C4904" s="43" t="s">
        <v>289</v>
      </c>
      <c r="D4904" s="43" t="s">
        <v>1112</v>
      </c>
      <c r="E4904" s="43" t="s">
        <v>464</v>
      </c>
    </row>
    <row r="4905" spans="1:5" x14ac:dyDescent="0.25">
      <c r="A4905" s="41">
        <v>17432</v>
      </c>
      <c r="B4905" s="42" t="s">
        <v>5275</v>
      </c>
      <c r="C4905" s="43" t="s">
        <v>289</v>
      </c>
      <c r="D4905" s="43" t="s">
        <v>941</v>
      </c>
      <c r="E4905" s="43" t="s">
        <v>336</v>
      </c>
    </row>
    <row r="4906" spans="1:5" x14ac:dyDescent="0.25">
      <c r="A4906" s="41">
        <v>17433</v>
      </c>
      <c r="B4906" s="42" t="s">
        <v>5276</v>
      </c>
      <c r="C4906" s="43" t="s">
        <v>289</v>
      </c>
      <c r="D4906" s="43" t="s">
        <v>941</v>
      </c>
      <c r="E4906" s="43" t="s">
        <v>336</v>
      </c>
    </row>
    <row r="4907" spans="1:5" x14ac:dyDescent="0.25">
      <c r="A4907" s="41">
        <v>17434</v>
      </c>
      <c r="B4907" s="42" t="s">
        <v>5277</v>
      </c>
      <c r="C4907" s="43" t="s">
        <v>289</v>
      </c>
      <c r="D4907" s="43" t="s">
        <v>996</v>
      </c>
      <c r="E4907" s="43" t="s">
        <v>230</v>
      </c>
    </row>
    <row r="4908" spans="1:5" x14ac:dyDescent="0.25">
      <c r="A4908" s="41">
        <v>17435</v>
      </c>
      <c r="B4908" s="42" t="s">
        <v>5278</v>
      </c>
      <c r="C4908" s="43" t="s">
        <v>289</v>
      </c>
      <c r="D4908" s="43" t="s">
        <v>635</v>
      </c>
      <c r="E4908" s="43" t="s">
        <v>464</v>
      </c>
    </row>
    <row r="4909" spans="1:5" x14ac:dyDescent="0.25">
      <c r="A4909" s="41">
        <v>17436</v>
      </c>
      <c r="B4909" s="42" t="s">
        <v>5279</v>
      </c>
      <c r="C4909" s="43" t="s">
        <v>289</v>
      </c>
      <c r="D4909" s="43" t="s">
        <v>635</v>
      </c>
      <c r="E4909" s="43" t="s">
        <v>464</v>
      </c>
    </row>
    <row r="4910" spans="1:5" x14ac:dyDescent="0.25">
      <c r="A4910" s="41">
        <v>17437</v>
      </c>
      <c r="B4910" s="42" t="s">
        <v>5280</v>
      </c>
      <c r="C4910" s="43" t="s">
        <v>289</v>
      </c>
      <c r="D4910" s="43" t="s">
        <v>635</v>
      </c>
      <c r="E4910" s="43" t="s">
        <v>464</v>
      </c>
    </row>
    <row r="4911" spans="1:5" x14ac:dyDescent="0.25">
      <c r="A4911" s="41">
        <v>17439</v>
      </c>
      <c r="B4911" s="42" t="s">
        <v>5281</v>
      </c>
      <c r="C4911" s="43" t="s">
        <v>289</v>
      </c>
      <c r="D4911" s="43" t="s">
        <v>474</v>
      </c>
      <c r="E4911" s="43" t="s">
        <v>230</v>
      </c>
    </row>
    <row r="4912" spans="1:5" x14ac:dyDescent="0.25">
      <c r="A4912" s="41">
        <v>17440</v>
      </c>
      <c r="B4912" s="42" t="s">
        <v>5282</v>
      </c>
      <c r="C4912" s="43" t="s">
        <v>289</v>
      </c>
      <c r="D4912" s="43" t="s">
        <v>635</v>
      </c>
      <c r="E4912" s="43" t="s">
        <v>464</v>
      </c>
    </row>
    <row r="4913" spans="1:5" x14ac:dyDescent="0.25">
      <c r="A4913" s="41">
        <v>17441</v>
      </c>
      <c r="B4913" s="42" t="s">
        <v>5283</v>
      </c>
      <c r="C4913" s="43" t="s">
        <v>289</v>
      </c>
      <c r="D4913" s="43" t="s">
        <v>941</v>
      </c>
      <c r="E4913" s="43" t="s">
        <v>230</v>
      </c>
    </row>
    <row r="4914" spans="1:5" x14ac:dyDescent="0.25">
      <c r="A4914" s="41">
        <v>17442</v>
      </c>
      <c r="B4914" s="42" t="s">
        <v>5284</v>
      </c>
      <c r="C4914" s="43" t="s">
        <v>289</v>
      </c>
      <c r="D4914" s="43" t="s">
        <v>1112</v>
      </c>
      <c r="E4914" s="43" t="s">
        <v>464</v>
      </c>
    </row>
    <row r="4915" spans="1:5" x14ac:dyDescent="0.25">
      <c r="A4915" s="41">
        <v>17443</v>
      </c>
      <c r="B4915" s="42" t="s">
        <v>5285</v>
      </c>
      <c r="C4915" s="43" t="s">
        <v>289</v>
      </c>
      <c r="D4915" s="43" t="s">
        <v>1112</v>
      </c>
      <c r="E4915" s="43" t="s">
        <v>464</v>
      </c>
    </row>
    <row r="4916" spans="1:5" x14ac:dyDescent="0.25">
      <c r="A4916" s="41">
        <v>17444</v>
      </c>
      <c r="B4916" s="42" t="s">
        <v>5286</v>
      </c>
      <c r="C4916" s="43" t="s">
        <v>289</v>
      </c>
      <c r="D4916" s="43" t="s">
        <v>1112</v>
      </c>
      <c r="E4916" s="43" t="s">
        <v>464</v>
      </c>
    </row>
    <row r="4917" spans="1:5" x14ac:dyDescent="0.25">
      <c r="A4917" s="41">
        <v>17445</v>
      </c>
      <c r="B4917" s="42" t="s">
        <v>5287</v>
      </c>
      <c r="C4917" s="43" t="s">
        <v>289</v>
      </c>
      <c r="D4917" s="43" t="s">
        <v>635</v>
      </c>
      <c r="E4917" s="43" t="s">
        <v>464</v>
      </c>
    </row>
    <row r="4918" spans="1:5" x14ac:dyDescent="0.25">
      <c r="A4918" s="41">
        <v>17446</v>
      </c>
      <c r="B4918" s="42" t="s">
        <v>5288</v>
      </c>
      <c r="C4918" s="43" t="s">
        <v>289</v>
      </c>
      <c r="D4918" s="43" t="s">
        <v>433</v>
      </c>
      <c r="E4918" s="43" t="s">
        <v>454</v>
      </c>
    </row>
    <row r="4919" spans="1:5" x14ac:dyDescent="0.25">
      <c r="A4919" s="41">
        <v>17447</v>
      </c>
      <c r="B4919" s="42" t="s">
        <v>5289</v>
      </c>
      <c r="C4919" s="43" t="s">
        <v>289</v>
      </c>
      <c r="D4919" s="43" t="s">
        <v>635</v>
      </c>
      <c r="E4919" s="43" t="s">
        <v>464</v>
      </c>
    </row>
    <row r="4920" spans="1:5" x14ac:dyDescent="0.25">
      <c r="A4920" s="41">
        <v>17448</v>
      </c>
      <c r="B4920" s="42" t="s">
        <v>5290</v>
      </c>
      <c r="C4920" s="43" t="s">
        <v>289</v>
      </c>
      <c r="D4920" s="43" t="s">
        <v>316</v>
      </c>
      <c r="E4920" s="43" t="s">
        <v>454</v>
      </c>
    </row>
    <row r="4921" spans="1:5" x14ac:dyDescent="0.25">
      <c r="A4921" s="41">
        <v>17449</v>
      </c>
      <c r="B4921" s="42" t="s">
        <v>5291</v>
      </c>
      <c r="C4921" s="43" t="s">
        <v>289</v>
      </c>
      <c r="D4921" s="43" t="s">
        <v>996</v>
      </c>
      <c r="E4921" s="43" t="s">
        <v>769</v>
      </c>
    </row>
    <row r="4922" spans="1:5" x14ac:dyDescent="0.25">
      <c r="A4922" s="41">
        <v>17450</v>
      </c>
      <c r="B4922" s="42" t="s">
        <v>5292</v>
      </c>
      <c r="C4922" s="43" t="s">
        <v>289</v>
      </c>
      <c r="D4922" s="43" t="s">
        <v>996</v>
      </c>
      <c r="E4922" s="43" t="s">
        <v>769</v>
      </c>
    </row>
    <row r="4923" spans="1:5" x14ac:dyDescent="0.25">
      <c r="A4923" s="41">
        <v>17451</v>
      </c>
      <c r="B4923" s="42" t="s">
        <v>5293</v>
      </c>
      <c r="C4923" s="43" t="s">
        <v>289</v>
      </c>
      <c r="D4923" s="43" t="s">
        <v>996</v>
      </c>
      <c r="E4923" s="43" t="s">
        <v>769</v>
      </c>
    </row>
    <row r="4924" spans="1:5" x14ac:dyDescent="0.25">
      <c r="A4924" s="41">
        <v>17452</v>
      </c>
      <c r="B4924" s="42" t="s">
        <v>5294</v>
      </c>
      <c r="C4924" s="43" t="s">
        <v>289</v>
      </c>
      <c r="D4924" s="43" t="s">
        <v>996</v>
      </c>
      <c r="E4924" s="43" t="s">
        <v>769</v>
      </c>
    </row>
    <row r="4925" spans="1:5" x14ac:dyDescent="0.25">
      <c r="A4925" s="41">
        <v>17453</v>
      </c>
      <c r="B4925" s="42" t="s">
        <v>5295</v>
      </c>
      <c r="C4925" s="43" t="s">
        <v>289</v>
      </c>
      <c r="D4925" s="43" t="s">
        <v>996</v>
      </c>
      <c r="E4925" s="43" t="s">
        <v>769</v>
      </c>
    </row>
    <row r="4926" spans="1:5" x14ac:dyDescent="0.25">
      <c r="A4926" s="41">
        <v>17454</v>
      </c>
      <c r="B4926" s="42" t="s">
        <v>5296</v>
      </c>
      <c r="C4926" s="43" t="s">
        <v>289</v>
      </c>
      <c r="D4926" s="43" t="s">
        <v>996</v>
      </c>
      <c r="E4926" s="43" t="s">
        <v>769</v>
      </c>
    </row>
    <row r="4927" spans="1:5" x14ac:dyDescent="0.25">
      <c r="A4927" s="41">
        <v>17455</v>
      </c>
      <c r="B4927" s="42" t="s">
        <v>5297</v>
      </c>
      <c r="C4927" s="43" t="s">
        <v>289</v>
      </c>
      <c r="D4927" s="43" t="s">
        <v>996</v>
      </c>
      <c r="E4927" s="43" t="s">
        <v>769</v>
      </c>
    </row>
    <row r="4928" spans="1:5" x14ac:dyDescent="0.25">
      <c r="A4928" s="41">
        <v>17456</v>
      </c>
      <c r="B4928" s="42" t="s">
        <v>5298</v>
      </c>
      <c r="C4928" s="43" t="s">
        <v>289</v>
      </c>
      <c r="D4928" s="43" t="s">
        <v>435</v>
      </c>
      <c r="E4928" s="43" t="s">
        <v>464</v>
      </c>
    </row>
    <row r="4929" spans="1:5" x14ac:dyDescent="0.25">
      <c r="A4929" s="41">
        <v>17457</v>
      </c>
      <c r="B4929" s="42" t="s">
        <v>5299</v>
      </c>
      <c r="C4929" s="43" t="s">
        <v>289</v>
      </c>
      <c r="D4929" s="43" t="s">
        <v>410</v>
      </c>
      <c r="E4929" s="43" t="s">
        <v>464</v>
      </c>
    </row>
    <row r="4930" spans="1:5" x14ac:dyDescent="0.25">
      <c r="A4930" s="41">
        <v>17458</v>
      </c>
      <c r="B4930" s="42" t="s">
        <v>5300</v>
      </c>
      <c r="C4930" s="43" t="s">
        <v>289</v>
      </c>
      <c r="D4930" s="43" t="s">
        <v>1112</v>
      </c>
      <c r="E4930" s="43" t="s">
        <v>769</v>
      </c>
    </row>
    <row r="4931" spans="1:5" x14ac:dyDescent="0.25">
      <c r="A4931" s="41">
        <v>17461</v>
      </c>
      <c r="B4931" s="42" t="s">
        <v>5301</v>
      </c>
      <c r="C4931" s="43" t="s">
        <v>289</v>
      </c>
      <c r="D4931" s="43" t="s">
        <v>996</v>
      </c>
      <c r="E4931" s="43" t="s">
        <v>230</v>
      </c>
    </row>
    <row r="4932" spans="1:5" x14ac:dyDescent="0.25">
      <c r="A4932" s="41">
        <v>17462</v>
      </c>
      <c r="B4932" s="42" t="s">
        <v>5302</v>
      </c>
      <c r="C4932" s="43" t="s">
        <v>289</v>
      </c>
      <c r="D4932" s="43" t="s">
        <v>314</v>
      </c>
      <c r="E4932" s="43" t="s">
        <v>230</v>
      </c>
    </row>
    <row r="4933" spans="1:5" x14ac:dyDescent="0.25">
      <c r="A4933" s="41">
        <v>17463</v>
      </c>
      <c r="B4933" s="42" t="s">
        <v>5303</v>
      </c>
      <c r="C4933" s="43" t="s">
        <v>289</v>
      </c>
      <c r="D4933" s="43" t="s">
        <v>941</v>
      </c>
      <c r="E4933" s="43" t="s">
        <v>230</v>
      </c>
    </row>
    <row r="4934" spans="1:5" x14ac:dyDescent="0.25">
      <c r="A4934" s="41">
        <v>17465</v>
      </c>
      <c r="B4934" s="42" t="s">
        <v>5304</v>
      </c>
      <c r="C4934" s="43" t="s">
        <v>289</v>
      </c>
      <c r="D4934" s="43" t="s">
        <v>1112</v>
      </c>
      <c r="E4934" s="43" t="s">
        <v>769</v>
      </c>
    </row>
    <row r="4935" spans="1:5" x14ac:dyDescent="0.25">
      <c r="A4935" s="41">
        <v>17466</v>
      </c>
      <c r="B4935" s="42" t="s">
        <v>5305</v>
      </c>
      <c r="C4935" s="43" t="s">
        <v>289</v>
      </c>
      <c r="D4935" s="43" t="s">
        <v>316</v>
      </c>
      <c r="E4935" s="43" t="s">
        <v>336</v>
      </c>
    </row>
    <row r="4936" spans="1:5" x14ac:dyDescent="0.25">
      <c r="A4936" s="41">
        <v>17467</v>
      </c>
      <c r="B4936" s="42" t="s">
        <v>5306</v>
      </c>
      <c r="C4936" s="43" t="s">
        <v>289</v>
      </c>
      <c r="D4936" s="43" t="s">
        <v>316</v>
      </c>
      <c r="E4936" s="43" t="s">
        <v>336</v>
      </c>
    </row>
    <row r="4937" spans="1:5" x14ac:dyDescent="0.25">
      <c r="A4937" s="41">
        <v>17469</v>
      </c>
      <c r="B4937" s="42" t="s">
        <v>5307</v>
      </c>
      <c r="C4937" s="43" t="s">
        <v>289</v>
      </c>
      <c r="D4937" s="43" t="s">
        <v>5308</v>
      </c>
      <c r="E4937" s="43" t="s">
        <v>230</v>
      </c>
    </row>
    <row r="4938" spans="1:5" x14ac:dyDescent="0.25">
      <c r="A4938" s="41">
        <v>17470</v>
      </c>
      <c r="B4938" s="42" t="s">
        <v>5309</v>
      </c>
      <c r="C4938" s="43" t="s">
        <v>289</v>
      </c>
      <c r="D4938" s="43" t="s">
        <v>435</v>
      </c>
      <c r="E4938" s="43" t="s">
        <v>464</v>
      </c>
    </row>
    <row r="4939" spans="1:5" x14ac:dyDescent="0.25">
      <c r="A4939" s="41">
        <v>17471</v>
      </c>
      <c r="B4939" s="42" t="s">
        <v>5310</v>
      </c>
      <c r="C4939" s="43" t="s">
        <v>289</v>
      </c>
      <c r="D4939" s="43" t="s">
        <v>435</v>
      </c>
      <c r="E4939" s="43" t="s">
        <v>464</v>
      </c>
    </row>
    <row r="4940" spans="1:5" x14ac:dyDescent="0.25">
      <c r="A4940" s="41">
        <v>17472</v>
      </c>
      <c r="B4940" s="42" t="s">
        <v>5311</v>
      </c>
      <c r="C4940" s="43" t="s">
        <v>289</v>
      </c>
      <c r="D4940" s="43" t="s">
        <v>316</v>
      </c>
      <c r="E4940" s="43" t="s">
        <v>336</v>
      </c>
    </row>
    <row r="4941" spans="1:5" x14ac:dyDescent="0.25">
      <c r="A4941" s="41">
        <v>17473</v>
      </c>
      <c r="B4941" s="42" t="s">
        <v>5312</v>
      </c>
      <c r="C4941" s="43" t="s">
        <v>289</v>
      </c>
      <c r="D4941" s="43" t="s">
        <v>316</v>
      </c>
      <c r="E4941" s="43" t="s">
        <v>454</v>
      </c>
    </row>
    <row r="4942" spans="1:5" x14ac:dyDescent="0.25">
      <c r="A4942" s="41">
        <v>17474</v>
      </c>
      <c r="B4942" s="42" t="s">
        <v>5313</v>
      </c>
      <c r="C4942" s="43" t="s">
        <v>289</v>
      </c>
      <c r="D4942" s="43" t="s">
        <v>316</v>
      </c>
      <c r="E4942" s="43" t="s">
        <v>454</v>
      </c>
    </row>
    <row r="4943" spans="1:5" x14ac:dyDescent="0.25">
      <c r="A4943" s="41">
        <v>17475</v>
      </c>
      <c r="B4943" s="42" t="s">
        <v>5314</v>
      </c>
      <c r="C4943" s="43" t="s">
        <v>289</v>
      </c>
      <c r="D4943" s="43" t="s">
        <v>316</v>
      </c>
      <c r="E4943" s="43" t="s">
        <v>454</v>
      </c>
    </row>
    <row r="4944" spans="1:5" x14ac:dyDescent="0.25">
      <c r="A4944" s="41">
        <v>17476</v>
      </c>
      <c r="B4944" s="42" t="s">
        <v>5315</v>
      </c>
      <c r="C4944" s="43" t="s">
        <v>289</v>
      </c>
      <c r="D4944" s="43" t="s">
        <v>316</v>
      </c>
      <c r="E4944" s="43" t="s">
        <v>454</v>
      </c>
    </row>
    <row r="4945" spans="1:5" x14ac:dyDescent="0.25">
      <c r="A4945" s="41">
        <v>17477</v>
      </c>
      <c r="B4945" s="42" t="s">
        <v>5316</v>
      </c>
      <c r="C4945" s="43" t="s">
        <v>289</v>
      </c>
      <c r="D4945" s="43" t="s">
        <v>682</v>
      </c>
      <c r="E4945" s="43" t="s">
        <v>454</v>
      </c>
    </row>
    <row r="4946" spans="1:5" x14ac:dyDescent="0.25">
      <c r="A4946" s="41">
        <v>17478</v>
      </c>
      <c r="B4946" s="42" t="s">
        <v>5317</v>
      </c>
      <c r="C4946" s="43" t="s">
        <v>289</v>
      </c>
      <c r="D4946" s="43" t="s">
        <v>682</v>
      </c>
      <c r="E4946" s="43" t="s">
        <v>454</v>
      </c>
    </row>
    <row r="4947" spans="1:5" x14ac:dyDescent="0.25">
      <c r="A4947" s="41">
        <v>17479</v>
      </c>
      <c r="B4947" s="42" t="s">
        <v>5318</v>
      </c>
      <c r="C4947" s="43" t="s">
        <v>289</v>
      </c>
      <c r="D4947" s="43" t="s">
        <v>1112</v>
      </c>
      <c r="E4947" s="43" t="s">
        <v>464</v>
      </c>
    </row>
    <row r="4948" spans="1:5" x14ac:dyDescent="0.25">
      <c r="A4948" s="41">
        <v>17480</v>
      </c>
      <c r="B4948" s="42" t="s">
        <v>5319</v>
      </c>
      <c r="C4948" s="43" t="s">
        <v>289</v>
      </c>
      <c r="D4948" s="43" t="s">
        <v>1112</v>
      </c>
      <c r="E4948" s="43" t="s">
        <v>464</v>
      </c>
    </row>
    <row r="4949" spans="1:5" x14ac:dyDescent="0.25">
      <c r="A4949" s="41">
        <v>17481</v>
      </c>
      <c r="B4949" s="42" t="s">
        <v>5320</v>
      </c>
      <c r="C4949" s="43" t="s">
        <v>289</v>
      </c>
      <c r="D4949" s="43" t="s">
        <v>314</v>
      </c>
      <c r="E4949" s="43" t="s">
        <v>230</v>
      </c>
    </row>
    <row r="4950" spans="1:5" x14ac:dyDescent="0.25">
      <c r="A4950" s="41">
        <v>17482</v>
      </c>
      <c r="B4950" s="42" t="s">
        <v>5321</v>
      </c>
      <c r="C4950" s="43" t="s">
        <v>289</v>
      </c>
      <c r="D4950" s="43" t="s">
        <v>314</v>
      </c>
      <c r="E4950" s="43" t="s">
        <v>230</v>
      </c>
    </row>
    <row r="4951" spans="1:5" x14ac:dyDescent="0.25">
      <c r="A4951" s="41">
        <v>17483</v>
      </c>
      <c r="B4951" s="42" t="s">
        <v>5322</v>
      </c>
      <c r="C4951" s="43" t="s">
        <v>289</v>
      </c>
      <c r="D4951" s="43" t="s">
        <v>3754</v>
      </c>
      <c r="E4951" s="43" t="s">
        <v>454</v>
      </c>
    </row>
    <row r="4952" spans="1:5" x14ac:dyDescent="0.25">
      <c r="A4952" s="41">
        <v>17484</v>
      </c>
      <c r="B4952" s="42" t="s">
        <v>5323</v>
      </c>
      <c r="C4952" s="43" t="s">
        <v>289</v>
      </c>
      <c r="D4952" s="43" t="s">
        <v>5324</v>
      </c>
      <c r="E4952" s="43" t="s">
        <v>454</v>
      </c>
    </row>
    <row r="4953" spans="1:5" x14ac:dyDescent="0.25">
      <c r="A4953" s="41">
        <v>17485</v>
      </c>
      <c r="B4953" s="42" t="s">
        <v>5325</v>
      </c>
      <c r="C4953" s="43" t="s">
        <v>289</v>
      </c>
      <c r="D4953" s="43" t="s">
        <v>996</v>
      </c>
      <c r="E4953" s="43" t="s">
        <v>230</v>
      </c>
    </row>
    <row r="4954" spans="1:5" x14ac:dyDescent="0.25">
      <c r="A4954" s="41">
        <v>17486</v>
      </c>
      <c r="B4954" s="42" t="s">
        <v>5326</v>
      </c>
      <c r="C4954" s="43" t="s">
        <v>289</v>
      </c>
      <c r="D4954" s="43" t="s">
        <v>996</v>
      </c>
      <c r="E4954" s="43" t="s">
        <v>766</v>
      </c>
    </row>
    <row r="4955" spans="1:5" x14ac:dyDescent="0.25">
      <c r="A4955" s="41">
        <v>17487</v>
      </c>
      <c r="B4955" s="42" t="s">
        <v>5327</v>
      </c>
      <c r="C4955" s="43" t="s">
        <v>289</v>
      </c>
      <c r="D4955" s="43" t="s">
        <v>474</v>
      </c>
      <c r="E4955" s="43" t="s">
        <v>230</v>
      </c>
    </row>
    <row r="4956" spans="1:5" x14ac:dyDescent="0.25">
      <c r="A4956" s="41">
        <v>17488</v>
      </c>
      <c r="B4956" s="42" t="s">
        <v>5328</v>
      </c>
      <c r="C4956" s="43" t="s">
        <v>289</v>
      </c>
      <c r="D4956" s="43" t="s">
        <v>316</v>
      </c>
      <c r="E4956" s="43" t="s">
        <v>454</v>
      </c>
    </row>
    <row r="4957" spans="1:5" x14ac:dyDescent="0.25">
      <c r="A4957" s="41">
        <v>17489</v>
      </c>
      <c r="B4957" s="42" t="s">
        <v>5329</v>
      </c>
      <c r="C4957" s="43" t="s">
        <v>289</v>
      </c>
      <c r="D4957" s="43" t="s">
        <v>316</v>
      </c>
      <c r="E4957" s="43" t="s">
        <v>454</v>
      </c>
    </row>
    <row r="4958" spans="1:5" x14ac:dyDescent="0.25">
      <c r="A4958" s="41">
        <v>17490</v>
      </c>
      <c r="B4958" s="42" t="s">
        <v>5330</v>
      </c>
      <c r="C4958" s="43" t="s">
        <v>289</v>
      </c>
      <c r="D4958" s="43" t="s">
        <v>316</v>
      </c>
      <c r="E4958" s="43" t="s">
        <v>454</v>
      </c>
    </row>
    <row r="4959" spans="1:5" x14ac:dyDescent="0.25">
      <c r="A4959" s="41">
        <v>17491</v>
      </c>
      <c r="B4959" s="42" t="s">
        <v>5331</v>
      </c>
      <c r="C4959" s="43" t="s">
        <v>289</v>
      </c>
      <c r="D4959" s="43" t="s">
        <v>316</v>
      </c>
      <c r="E4959" s="43" t="s">
        <v>454</v>
      </c>
    </row>
    <row r="4960" spans="1:5" x14ac:dyDescent="0.25">
      <c r="A4960" s="41">
        <v>17492</v>
      </c>
      <c r="B4960" s="42" t="s">
        <v>5332</v>
      </c>
      <c r="C4960" s="43" t="s">
        <v>289</v>
      </c>
      <c r="D4960" s="43" t="s">
        <v>1141</v>
      </c>
      <c r="E4960" s="43" t="s">
        <v>464</v>
      </c>
    </row>
    <row r="4961" spans="1:5" x14ac:dyDescent="0.25">
      <c r="A4961" s="41">
        <v>17493</v>
      </c>
      <c r="B4961" s="42" t="s">
        <v>5333</v>
      </c>
      <c r="C4961" s="43" t="s">
        <v>289</v>
      </c>
      <c r="D4961" s="43" t="s">
        <v>1112</v>
      </c>
      <c r="E4961" s="43" t="s">
        <v>336</v>
      </c>
    </row>
    <row r="4962" spans="1:5" x14ac:dyDescent="0.25">
      <c r="A4962" s="41">
        <v>17494</v>
      </c>
      <c r="B4962" s="42" t="s">
        <v>5334</v>
      </c>
      <c r="C4962" s="43" t="s">
        <v>289</v>
      </c>
      <c r="D4962" s="43" t="s">
        <v>3754</v>
      </c>
      <c r="E4962" s="43" t="s">
        <v>769</v>
      </c>
    </row>
    <row r="4963" spans="1:5" x14ac:dyDescent="0.25">
      <c r="A4963" s="41">
        <v>17496</v>
      </c>
      <c r="B4963" s="42" t="s">
        <v>5335</v>
      </c>
      <c r="C4963" s="43" t="s">
        <v>289</v>
      </c>
      <c r="D4963" s="43" t="s">
        <v>1112</v>
      </c>
      <c r="E4963" s="43" t="s">
        <v>464</v>
      </c>
    </row>
    <row r="4964" spans="1:5" x14ac:dyDescent="0.25">
      <c r="A4964" s="41">
        <v>17497</v>
      </c>
      <c r="B4964" s="42" t="s">
        <v>5336</v>
      </c>
      <c r="C4964" s="43" t="s">
        <v>289</v>
      </c>
      <c r="D4964" s="43" t="s">
        <v>438</v>
      </c>
      <c r="E4964" s="43" t="s">
        <v>454</v>
      </c>
    </row>
    <row r="4965" spans="1:5" x14ac:dyDescent="0.25">
      <c r="A4965" s="41">
        <v>17498</v>
      </c>
      <c r="B4965" s="42" t="s">
        <v>5337</v>
      </c>
      <c r="C4965" s="43" t="s">
        <v>289</v>
      </c>
      <c r="D4965" s="43" t="s">
        <v>438</v>
      </c>
      <c r="E4965" s="43" t="s">
        <v>454</v>
      </c>
    </row>
    <row r="4966" spans="1:5" x14ac:dyDescent="0.25">
      <c r="A4966" s="41">
        <v>17499</v>
      </c>
      <c r="B4966" s="42" t="s">
        <v>5338</v>
      </c>
      <c r="C4966" s="43" t="s">
        <v>289</v>
      </c>
      <c r="D4966" s="43" t="s">
        <v>1112</v>
      </c>
      <c r="E4966" s="43" t="s">
        <v>464</v>
      </c>
    </row>
    <row r="4967" spans="1:5" x14ac:dyDescent="0.25">
      <c r="A4967" s="41">
        <v>17500</v>
      </c>
      <c r="B4967" s="42" t="s">
        <v>5339</v>
      </c>
      <c r="C4967" s="43" t="s">
        <v>289</v>
      </c>
      <c r="D4967" s="43" t="s">
        <v>1112</v>
      </c>
      <c r="E4967" s="43" t="s">
        <v>464</v>
      </c>
    </row>
    <row r="4968" spans="1:5" x14ac:dyDescent="0.25">
      <c r="A4968" s="41">
        <v>17511</v>
      </c>
      <c r="B4968" s="42" t="s">
        <v>5340</v>
      </c>
      <c r="C4968" s="43" t="s">
        <v>289</v>
      </c>
      <c r="D4968" s="43" t="s">
        <v>1112</v>
      </c>
      <c r="E4968" s="43" t="s">
        <v>464</v>
      </c>
    </row>
    <row r="4969" spans="1:5" x14ac:dyDescent="0.25">
      <c r="A4969" s="41">
        <v>17512</v>
      </c>
      <c r="B4969" s="42" t="s">
        <v>5341</v>
      </c>
      <c r="C4969" s="43" t="s">
        <v>289</v>
      </c>
      <c r="D4969" s="43" t="s">
        <v>1112</v>
      </c>
      <c r="E4969" s="43" t="s">
        <v>464</v>
      </c>
    </row>
    <row r="4970" spans="1:5" x14ac:dyDescent="0.25">
      <c r="A4970" s="41">
        <v>17513</v>
      </c>
      <c r="B4970" s="42" t="s">
        <v>5342</v>
      </c>
      <c r="C4970" s="43" t="s">
        <v>289</v>
      </c>
      <c r="D4970" s="43" t="s">
        <v>1112</v>
      </c>
      <c r="E4970" s="43" t="s">
        <v>464</v>
      </c>
    </row>
    <row r="4971" spans="1:5" x14ac:dyDescent="0.25">
      <c r="A4971" s="41">
        <v>17514</v>
      </c>
      <c r="B4971" s="42" t="s">
        <v>5343</v>
      </c>
      <c r="C4971" s="43" t="s">
        <v>289</v>
      </c>
      <c r="D4971" s="43" t="s">
        <v>1112</v>
      </c>
      <c r="E4971" s="43" t="s">
        <v>464</v>
      </c>
    </row>
    <row r="4972" spans="1:5" x14ac:dyDescent="0.25">
      <c r="A4972" s="41">
        <v>17515</v>
      </c>
      <c r="B4972" s="42" t="s">
        <v>5344</v>
      </c>
      <c r="C4972" s="43" t="s">
        <v>289</v>
      </c>
      <c r="D4972" s="43" t="s">
        <v>290</v>
      </c>
      <c r="E4972" s="43" t="s">
        <v>230</v>
      </c>
    </row>
    <row r="4973" spans="1:5" x14ac:dyDescent="0.25">
      <c r="A4973" s="41">
        <v>17516</v>
      </c>
      <c r="B4973" s="42" t="s">
        <v>5345</v>
      </c>
      <c r="C4973" s="43" t="s">
        <v>289</v>
      </c>
      <c r="D4973" s="43" t="s">
        <v>996</v>
      </c>
      <c r="E4973" s="43" t="s">
        <v>230</v>
      </c>
    </row>
    <row r="4974" spans="1:5" x14ac:dyDescent="0.25">
      <c r="A4974" s="41">
        <v>17517</v>
      </c>
      <c r="B4974" s="42" t="s">
        <v>5346</v>
      </c>
      <c r="C4974" s="43" t="s">
        <v>289</v>
      </c>
      <c r="D4974" s="43" t="s">
        <v>1100</v>
      </c>
      <c r="E4974" s="43" t="s">
        <v>336</v>
      </c>
    </row>
    <row r="4975" spans="1:5" x14ac:dyDescent="0.25">
      <c r="A4975" s="41">
        <v>17518</v>
      </c>
      <c r="B4975" s="42" t="s">
        <v>5347</v>
      </c>
      <c r="C4975" s="43" t="s">
        <v>289</v>
      </c>
      <c r="D4975" s="43" t="s">
        <v>1100</v>
      </c>
      <c r="E4975" s="43" t="s">
        <v>454</v>
      </c>
    </row>
    <row r="4976" spans="1:5" x14ac:dyDescent="0.25">
      <c r="A4976" s="41">
        <v>17519</v>
      </c>
      <c r="B4976" s="42" t="s">
        <v>5348</v>
      </c>
      <c r="C4976" s="43" t="s">
        <v>289</v>
      </c>
      <c r="D4976" s="43" t="s">
        <v>1100</v>
      </c>
      <c r="E4976" s="43" t="s">
        <v>454</v>
      </c>
    </row>
    <row r="4977" spans="1:5" x14ac:dyDescent="0.25">
      <c r="A4977" s="41">
        <v>17521</v>
      </c>
      <c r="B4977" s="42" t="s">
        <v>5349</v>
      </c>
      <c r="C4977" s="43" t="s">
        <v>289</v>
      </c>
      <c r="D4977" s="43" t="s">
        <v>1112</v>
      </c>
      <c r="E4977" s="43" t="s">
        <v>464</v>
      </c>
    </row>
    <row r="4978" spans="1:5" x14ac:dyDescent="0.25">
      <c r="A4978" s="41">
        <v>17523</v>
      </c>
      <c r="B4978" s="42" t="s">
        <v>5350</v>
      </c>
      <c r="C4978" s="43" t="s">
        <v>289</v>
      </c>
      <c r="D4978" s="43" t="s">
        <v>5324</v>
      </c>
      <c r="E4978" s="43" t="s">
        <v>454</v>
      </c>
    </row>
    <row r="4979" spans="1:5" x14ac:dyDescent="0.25">
      <c r="A4979" s="41">
        <v>17524</v>
      </c>
      <c r="B4979" s="42" t="s">
        <v>5351</v>
      </c>
      <c r="C4979" s="43" t="s">
        <v>289</v>
      </c>
      <c r="D4979" s="43" t="s">
        <v>5324</v>
      </c>
      <c r="E4979" s="43" t="s">
        <v>454</v>
      </c>
    </row>
    <row r="4980" spans="1:5" x14ac:dyDescent="0.25">
      <c r="A4980" s="41">
        <v>17527</v>
      </c>
      <c r="B4980" s="42" t="s">
        <v>5352</v>
      </c>
      <c r="C4980" s="43" t="s">
        <v>289</v>
      </c>
      <c r="D4980" s="43" t="s">
        <v>1138</v>
      </c>
      <c r="E4980" s="43" t="s">
        <v>454</v>
      </c>
    </row>
    <row r="4981" spans="1:5" x14ac:dyDescent="0.25">
      <c r="A4981" s="41">
        <v>17528</v>
      </c>
      <c r="B4981" s="42" t="s">
        <v>5353</v>
      </c>
      <c r="C4981" s="43" t="s">
        <v>289</v>
      </c>
      <c r="D4981" s="43" t="s">
        <v>996</v>
      </c>
      <c r="E4981" s="43" t="s">
        <v>230</v>
      </c>
    </row>
    <row r="4982" spans="1:5" x14ac:dyDescent="0.25">
      <c r="A4982" s="41">
        <v>17530</v>
      </c>
      <c r="B4982" s="42" t="s">
        <v>5354</v>
      </c>
      <c r="C4982" s="43" t="s">
        <v>289</v>
      </c>
      <c r="D4982" s="43" t="s">
        <v>682</v>
      </c>
      <c r="E4982" s="43" t="s">
        <v>336</v>
      </c>
    </row>
    <row r="4983" spans="1:5" x14ac:dyDescent="0.25">
      <c r="A4983" s="41">
        <v>17531</v>
      </c>
      <c r="B4983" s="42" t="s">
        <v>5354</v>
      </c>
      <c r="C4983" s="43" t="s">
        <v>289</v>
      </c>
      <c r="D4983" s="43" t="s">
        <v>682</v>
      </c>
      <c r="E4983" s="43" t="s">
        <v>336</v>
      </c>
    </row>
    <row r="4984" spans="1:5" x14ac:dyDescent="0.25">
      <c r="A4984" s="41">
        <v>17532</v>
      </c>
      <c r="B4984" s="42" t="s">
        <v>5355</v>
      </c>
      <c r="C4984" s="43" t="s">
        <v>289</v>
      </c>
      <c r="D4984" s="43" t="s">
        <v>996</v>
      </c>
      <c r="E4984" s="43" t="s">
        <v>230</v>
      </c>
    </row>
    <row r="4985" spans="1:5" x14ac:dyDescent="0.25">
      <c r="A4985" s="41">
        <v>17533</v>
      </c>
      <c r="B4985" s="42" t="s">
        <v>5356</v>
      </c>
      <c r="C4985" s="43" t="s">
        <v>289</v>
      </c>
      <c r="D4985" s="43" t="s">
        <v>996</v>
      </c>
      <c r="E4985" s="43" t="s">
        <v>864</v>
      </c>
    </row>
    <row r="4986" spans="1:5" x14ac:dyDescent="0.25">
      <c r="A4986" s="41">
        <v>17534</v>
      </c>
      <c r="B4986" s="42" t="s">
        <v>5357</v>
      </c>
      <c r="C4986" s="43" t="s">
        <v>289</v>
      </c>
      <c r="D4986" s="43" t="s">
        <v>694</v>
      </c>
      <c r="E4986" s="43" t="s">
        <v>230</v>
      </c>
    </row>
    <row r="4987" spans="1:5" x14ac:dyDescent="0.25">
      <c r="A4987" s="41">
        <v>17535</v>
      </c>
      <c r="B4987" s="42" t="s">
        <v>5358</v>
      </c>
      <c r="C4987" s="43" t="s">
        <v>289</v>
      </c>
      <c r="D4987" s="43" t="s">
        <v>694</v>
      </c>
      <c r="E4987" s="43" t="s">
        <v>373</v>
      </c>
    </row>
    <row r="4988" spans="1:5" x14ac:dyDescent="0.25">
      <c r="A4988" s="41">
        <v>17536</v>
      </c>
      <c r="B4988" s="42" t="s">
        <v>5359</v>
      </c>
      <c r="C4988" s="43" t="s">
        <v>289</v>
      </c>
      <c r="D4988" s="43" t="s">
        <v>996</v>
      </c>
      <c r="E4988" s="43" t="s">
        <v>230</v>
      </c>
    </row>
    <row r="4989" spans="1:5" x14ac:dyDescent="0.25">
      <c r="A4989" s="41">
        <v>17537</v>
      </c>
      <c r="B4989" s="42" t="s">
        <v>5360</v>
      </c>
      <c r="C4989" s="43" t="s">
        <v>289</v>
      </c>
      <c r="D4989" s="43" t="s">
        <v>635</v>
      </c>
      <c r="E4989" s="43" t="s">
        <v>464</v>
      </c>
    </row>
    <row r="4990" spans="1:5" x14ac:dyDescent="0.25">
      <c r="A4990" s="41">
        <v>17538</v>
      </c>
      <c r="B4990" s="42" t="s">
        <v>5361</v>
      </c>
      <c r="C4990" s="43" t="s">
        <v>289</v>
      </c>
      <c r="D4990" s="43" t="s">
        <v>316</v>
      </c>
      <c r="E4990" s="43" t="s">
        <v>454</v>
      </c>
    </row>
    <row r="4991" spans="1:5" x14ac:dyDescent="0.25">
      <c r="A4991" s="41">
        <v>17539</v>
      </c>
      <c r="B4991" s="42" t="s">
        <v>5362</v>
      </c>
      <c r="C4991" s="43" t="s">
        <v>289</v>
      </c>
      <c r="D4991" s="43" t="s">
        <v>316</v>
      </c>
      <c r="E4991" s="43" t="s">
        <v>454</v>
      </c>
    </row>
    <row r="4992" spans="1:5" x14ac:dyDescent="0.25">
      <c r="A4992" s="41">
        <v>17540</v>
      </c>
      <c r="B4992" s="42" t="s">
        <v>5363</v>
      </c>
      <c r="C4992" s="43" t="s">
        <v>289</v>
      </c>
      <c r="D4992" s="43" t="s">
        <v>316</v>
      </c>
      <c r="E4992" s="43" t="s">
        <v>454</v>
      </c>
    </row>
    <row r="4993" spans="1:5" x14ac:dyDescent="0.25">
      <c r="A4993" s="41">
        <v>17541</v>
      </c>
      <c r="B4993" s="42" t="s">
        <v>5364</v>
      </c>
      <c r="C4993" s="43" t="s">
        <v>289</v>
      </c>
      <c r="D4993" s="43" t="s">
        <v>316</v>
      </c>
      <c r="E4993" s="43" t="s">
        <v>454</v>
      </c>
    </row>
    <row r="4994" spans="1:5" x14ac:dyDescent="0.25">
      <c r="A4994" s="41">
        <v>17542</v>
      </c>
      <c r="B4994" s="42" t="s">
        <v>5365</v>
      </c>
      <c r="C4994" s="43" t="s">
        <v>289</v>
      </c>
      <c r="D4994" s="43" t="s">
        <v>327</v>
      </c>
      <c r="E4994" s="43" t="s">
        <v>230</v>
      </c>
    </row>
    <row r="4995" spans="1:5" x14ac:dyDescent="0.25">
      <c r="A4995" s="41">
        <v>17545</v>
      </c>
      <c r="B4995" s="42" t="s">
        <v>5366</v>
      </c>
      <c r="C4995" s="43" t="s">
        <v>289</v>
      </c>
      <c r="D4995" s="43" t="s">
        <v>996</v>
      </c>
      <c r="E4995" s="43" t="s">
        <v>454</v>
      </c>
    </row>
    <row r="4996" spans="1:5" x14ac:dyDescent="0.25">
      <c r="A4996" s="41">
        <v>17546</v>
      </c>
      <c r="B4996" s="42" t="s">
        <v>5367</v>
      </c>
      <c r="C4996" s="43" t="s">
        <v>289</v>
      </c>
      <c r="D4996" s="43" t="s">
        <v>996</v>
      </c>
      <c r="E4996" s="43" t="s">
        <v>454</v>
      </c>
    </row>
    <row r="4997" spans="1:5" x14ac:dyDescent="0.25">
      <c r="A4997" s="41">
        <v>17547</v>
      </c>
      <c r="B4997" s="42" t="s">
        <v>4504</v>
      </c>
      <c r="C4997" s="43" t="s">
        <v>289</v>
      </c>
      <c r="D4997" s="43" t="s">
        <v>996</v>
      </c>
      <c r="E4997" s="43" t="s">
        <v>864</v>
      </c>
    </row>
    <row r="4998" spans="1:5" x14ac:dyDescent="0.25">
      <c r="A4998" s="41">
        <v>17548</v>
      </c>
      <c r="B4998" s="42" t="s">
        <v>4505</v>
      </c>
      <c r="C4998" s="43" t="s">
        <v>289</v>
      </c>
      <c r="D4998" s="43" t="s">
        <v>996</v>
      </c>
      <c r="E4998" s="43" t="s">
        <v>864</v>
      </c>
    </row>
    <row r="4999" spans="1:5" x14ac:dyDescent="0.25">
      <c r="A4999" s="41">
        <v>17549</v>
      </c>
      <c r="B4999" s="42" t="s">
        <v>5368</v>
      </c>
      <c r="C4999" s="43" t="s">
        <v>289</v>
      </c>
      <c r="D4999" s="43" t="s">
        <v>435</v>
      </c>
      <c r="E4999" s="43" t="s">
        <v>230</v>
      </c>
    </row>
    <row r="5000" spans="1:5" x14ac:dyDescent="0.25">
      <c r="A5000" s="41">
        <v>17550</v>
      </c>
      <c r="B5000" s="42" t="s">
        <v>5369</v>
      </c>
      <c r="C5000" s="43" t="s">
        <v>289</v>
      </c>
      <c r="D5000" s="43" t="s">
        <v>314</v>
      </c>
      <c r="E5000" s="43" t="s">
        <v>230</v>
      </c>
    </row>
    <row r="5001" spans="1:5" x14ac:dyDescent="0.25">
      <c r="A5001" s="41">
        <v>17551</v>
      </c>
      <c r="B5001" s="42" t="s">
        <v>5370</v>
      </c>
      <c r="C5001" s="43" t="s">
        <v>289</v>
      </c>
      <c r="D5001" s="43" t="s">
        <v>433</v>
      </c>
      <c r="E5001" s="43" t="s">
        <v>230</v>
      </c>
    </row>
    <row r="5002" spans="1:5" x14ac:dyDescent="0.25">
      <c r="A5002" s="41">
        <v>17552</v>
      </c>
      <c r="B5002" s="42" t="s">
        <v>5371</v>
      </c>
      <c r="C5002" s="43" t="s">
        <v>289</v>
      </c>
      <c r="D5002" s="43" t="s">
        <v>433</v>
      </c>
      <c r="E5002" s="43" t="s">
        <v>230</v>
      </c>
    </row>
    <row r="5003" spans="1:5" x14ac:dyDescent="0.25">
      <c r="A5003" s="41">
        <v>17561</v>
      </c>
      <c r="B5003" s="42" t="s">
        <v>5372</v>
      </c>
      <c r="C5003" s="43" t="s">
        <v>289</v>
      </c>
      <c r="D5003" s="43" t="s">
        <v>314</v>
      </c>
      <c r="E5003" s="43" t="s">
        <v>230</v>
      </c>
    </row>
    <row r="5004" spans="1:5" x14ac:dyDescent="0.25">
      <c r="A5004" s="41">
        <v>17562</v>
      </c>
      <c r="B5004" s="42" t="s">
        <v>5373</v>
      </c>
      <c r="C5004" s="43" t="s">
        <v>289</v>
      </c>
      <c r="D5004" s="43" t="s">
        <v>1112</v>
      </c>
      <c r="E5004" s="43" t="s">
        <v>464</v>
      </c>
    </row>
    <row r="5005" spans="1:5" x14ac:dyDescent="0.25">
      <c r="A5005" s="41">
        <v>17563</v>
      </c>
      <c r="B5005" s="42" t="s">
        <v>5374</v>
      </c>
      <c r="C5005" s="43" t="s">
        <v>289</v>
      </c>
      <c r="D5005" s="43" t="s">
        <v>1112</v>
      </c>
      <c r="E5005" s="43" t="s">
        <v>464</v>
      </c>
    </row>
    <row r="5006" spans="1:5" x14ac:dyDescent="0.25">
      <c r="A5006" s="41">
        <v>17564</v>
      </c>
      <c r="B5006" s="42" t="s">
        <v>5375</v>
      </c>
      <c r="C5006" s="43" t="s">
        <v>289</v>
      </c>
      <c r="D5006" s="43" t="s">
        <v>1112</v>
      </c>
      <c r="E5006" s="43" t="s">
        <v>464</v>
      </c>
    </row>
    <row r="5007" spans="1:5" x14ac:dyDescent="0.25">
      <c r="A5007" s="41">
        <v>17565</v>
      </c>
      <c r="B5007" s="42" t="s">
        <v>5376</v>
      </c>
      <c r="C5007" s="43" t="s">
        <v>289</v>
      </c>
      <c r="D5007" s="43" t="s">
        <v>1112</v>
      </c>
      <c r="E5007" s="43" t="s">
        <v>464</v>
      </c>
    </row>
    <row r="5008" spans="1:5" x14ac:dyDescent="0.25">
      <c r="A5008" s="41">
        <v>17566</v>
      </c>
      <c r="B5008" s="42" t="s">
        <v>5377</v>
      </c>
      <c r="C5008" s="43" t="s">
        <v>289</v>
      </c>
      <c r="D5008" s="43" t="s">
        <v>1112</v>
      </c>
      <c r="E5008" s="43" t="s">
        <v>464</v>
      </c>
    </row>
    <row r="5009" spans="1:5" x14ac:dyDescent="0.25">
      <c r="A5009" s="41">
        <v>17567</v>
      </c>
      <c r="B5009" s="42" t="s">
        <v>5378</v>
      </c>
      <c r="C5009" s="43" t="s">
        <v>289</v>
      </c>
      <c r="D5009" s="43" t="s">
        <v>1112</v>
      </c>
      <c r="E5009" s="43" t="s">
        <v>464</v>
      </c>
    </row>
    <row r="5010" spans="1:5" x14ac:dyDescent="0.25">
      <c r="A5010" s="41">
        <v>17568</v>
      </c>
      <c r="B5010" s="42" t="s">
        <v>5379</v>
      </c>
      <c r="C5010" s="43" t="s">
        <v>289</v>
      </c>
      <c r="D5010" s="43" t="s">
        <v>1112</v>
      </c>
      <c r="E5010" s="43" t="s">
        <v>464</v>
      </c>
    </row>
    <row r="5011" spans="1:5" x14ac:dyDescent="0.25">
      <c r="A5011" s="41">
        <v>17569</v>
      </c>
      <c r="B5011" s="42" t="s">
        <v>5380</v>
      </c>
      <c r="C5011" s="43" t="s">
        <v>289</v>
      </c>
      <c r="D5011" s="43" t="s">
        <v>1112</v>
      </c>
      <c r="E5011" s="43" t="s">
        <v>464</v>
      </c>
    </row>
    <row r="5012" spans="1:5" x14ac:dyDescent="0.25">
      <c r="A5012" s="41">
        <v>17570</v>
      </c>
      <c r="B5012" s="42" t="s">
        <v>5381</v>
      </c>
      <c r="C5012" s="43" t="s">
        <v>289</v>
      </c>
      <c r="D5012" s="43" t="s">
        <v>1112</v>
      </c>
      <c r="E5012" s="43" t="s">
        <v>464</v>
      </c>
    </row>
    <row r="5013" spans="1:5" x14ac:dyDescent="0.25">
      <c r="A5013" s="41">
        <v>17571</v>
      </c>
      <c r="B5013" s="42" t="s">
        <v>5382</v>
      </c>
      <c r="C5013" s="43" t="s">
        <v>289</v>
      </c>
      <c r="D5013" s="43" t="s">
        <v>499</v>
      </c>
      <c r="E5013" s="43" t="s">
        <v>472</v>
      </c>
    </row>
    <row r="5014" spans="1:5" x14ac:dyDescent="0.25">
      <c r="A5014" s="41">
        <v>17572</v>
      </c>
      <c r="B5014" s="42" t="s">
        <v>5383</v>
      </c>
      <c r="C5014" s="43" t="s">
        <v>289</v>
      </c>
      <c r="D5014" s="43" t="s">
        <v>1112</v>
      </c>
      <c r="E5014" s="43" t="s">
        <v>230</v>
      </c>
    </row>
    <row r="5015" spans="1:5" x14ac:dyDescent="0.25">
      <c r="A5015" s="41">
        <v>17573</v>
      </c>
      <c r="B5015" s="42" t="s">
        <v>5384</v>
      </c>
      <c r="C5015" s="43" t="s">
        <v>289</v>
      </c>
      <c r="D5015" s="43" t="s">
        <v>1112</v>
      </c>
      <c r="E5015" s="43" t="s">
        <v>230</v>
      </c>
    </row>
    <row r="5016" spans="1:5" x14ac:dyDescent="0.25">
      <c r="A5016" s="41">
        <v>17574</v>
      </c>
      <c r="B5016" s="42" t="s">
        <v>5385</v>
      </c>
      <c r="C5016" s="43" t="s">
        <v>289</v>
      </c>
      <c r="D5016" s="43" t="s">
        <v>1112</v>
      </c>
      <c r="E5016" s="43" t="s">
        <v>472</v>
      </c>
    </row>
    <row r="5017" spans="1:5" x14ac:dyDescent="0.25">
      <c r="A5017" s="41">
        <v>17581</v>
      </c>
      <c r="B5017" s="42" t="s">
        <v>5386</v>
      </c>
      <c r="C5017" s="43" t="s">
        <v>289</v>
      </c>
      <c r="D5017" s="43" t="s">
        <v>996</v>
      </c>
      <c r="E5017" s="43" t="s">
        <v>230</v>
      </c>
    </row>
    <row r="5018" spans="1:5" x14ac:dyDescent="0.25">
      <c r="A5018" s="41">
        <v>17582</v>
      </c>
      <c r="B5018" s="42" t="s">
        <v>5387</v>
      </c>
      <c r="C5018" s="43" t="s">
        <v>289</v>
      </c>
      <c r="D5018" s="43" t="s">
        <v>316</v>
      </c>
      <c r="E5018" s="43" t="s">
        <v>454</v>
      </c>
    </row>
    <row r="5019" spans="1:5" x14ac:dyDescent="0.25">
      <c r="A5019" s="41">
        <v>17583</v>
      </c>
      <c r="B5019" s="42" t="s">
        <v>5388</v>
      </c>
      <c r="C5019" s="43" t="s">
        <v>289</v>
      </c>
      <c r="D5019" s="43" t="s">
        <v>316</v>
      </c>
      <c r="E5019" s="43" t="s">
        <v>454</v>
      </c>
    </row>
    <row r="5020" spans="1:5" x14ac:dyDescent="0.25">
      <c r="A5020" s="41">
        <v>17584</v>
      </c>
      <c r="B5020" s="42" t="s">
        <v>5389</v>
      </c>
      <c r="C5020" s="43" t="s">
        <v>289</v>
      </c>
      <c r="D5020" s="43" t="s">
        <v>316</v>
      </c>
      <c r="E5020" s="43" t="s">
        <v>230</v>
      </c>
    </row>
    <row r="5021" spans="1:5" x14ac:dyDescent="0.25">
      <c r="A5021" s="41">
        <v>17585</v>
      </c>
      <c r="B5021" s="42" t="s">
        <v>5390</v>
      </c>
      <c r="C5021" s="43" t="s">
        <v>289</v>
      </c>
      <c r="D5021" s="43" t="s">
        <v>5391</v>
      </c>
      <c r="E5021" s="43" t="s">
        <v>230</v>
      </c>
    </row>
    <row r="5022" spans="1:5" x14ac:dyDescent="0.25">
      <c r="A5022" s="41">
        <v>17586</v>
      </c>
      <c r="B5022" s="42" t="s">
        <v>5392</v>
      </c>
      <c r="C5022" s="43" t="s">
        <v>289</v>
      </c>
      <c r="D5022" s="43" t="s">
        <v>2080</v>
      </c>
      <c r="E5022" s="43" t="s">
        <v>230</v>
      </c>
    </row>
    <row r="5023" spans="1:5" x14ac:dyDescent="0.25">
      <c r="A5023" s="41">
        <v>17587</v>
      </c>
      <c r="B5023" s="42" t="s">
        <v>5393</v>
      </c>
      <c r="C5023" s="43" t="s">
        <v>289</v>
      </c>
      <c r="D5023" s="43" t="s">
        <v>2080</v>
      </c>
      <c r="E5023" s="43" t="s">
        <v>230</v>
      </c>
    </row>
    <row r="5024" spans="1:5" x14ac:dyDescent="0.25">
      <c r="A5024" s="41">
        <v>17588</v>
      </c>
      <c r="B5024" s="42" t="s">
        <v>5394</v>
      </c>
      <c r="C5024" s="43" t="s">
        <v>289</v>
      </c>
      <c r="D5024" s="43" t="s">
        <v>2080</v>
      </c>
      <c r="E5024" s="43" t="s">
        <v>230</v>
      </c>
    </row>
    <row r="5025" spans="1:5" x14ac:dyDescent="0.25">
      <c r="A5025" s="41">
        <v>17589</v>
      </c>
      <c r="B5025" s="42" t="s">
        <v>5395</v>
      </c>
      <c r="C5025" s="43" t="s">
        <v>289</v>
      </c>
      <c r="D5025" s="43" t="s">
        <v>2080</v>
      </c>
      <c r="E5025" s="43" t="s">
        <v>230</v>
      </c>
    </row>
    <row r="5026" spans="1:5" x14ac:dyDescent="0.25">
      <c r="A5026" s="41">
        <v>17590</v>
      </c>
      <c r="B5026" s="42" t="s">
        <v>5396</v>
      </c>
      <c r="C5026" s="43" t="s">
        <v>289</v>
      </c>
      <c r="D5026" s="43" t="s">
        <v>2080</v>
      </c>
      <c r="E5026" s="43" t="s">
        <v>230</v>
      </c>
    </row>
    <row r="5027" spans="1:5" x14ac:dyDescent="0.25">
      <c r="A5027" s="41">
        <v>17591</v>
      </c>
      <c r="B5027" s="42" t="s">
        <v>5397</v>
      </c>
      <c r="C5027" s="43" t="s">
        <v>289</v>
      </c>
      <c r="D5027" s="43" t="s">
        <v>474</v>
      </c>
      <c r="E5027" s="43" t="s">
        <v>464</v>
      </c>
    </row>
    <row r="5028" spans="1:5" x14ac:dyDescent="0.25">
      <c r="A5028" s="41">
        <v>17592</v>
      </c>
      <c r="B5028" s="42" t="s">
        <v>5398</v>
      </c>
      <c r="C5028" s="43" t="s">
        <v>289</v>
      </c>
      <c r="D5028" s="43" t="s">
        <v>474</v>
      </c>
      <c r="E5028" s="43" t="s">
        <v>373</v>
      </c>
    </row>
    <row r="5029" spans="1:5" x14ac:dyDescent="0.25">
      <c r="A5029" s="41">
        <v>17593</v>
      </c>
      <c r="B5029" s="42" t="s">
        <v>5399</v>
      </c>
      <c r="C5029" s="43" t="s">
        <v>289</v>
      </c>
      <c r="D5029" s="43" t="s">
        <v>996</v>
      </c>
      <c r="E5029" s="43" t="s">
        <v>769</v>
      </c>
    </row>
    <row r="5030" spans="1:5" x14ac:dyDescent="0.25">
      <c r="A5030" s="41">
        <v>17595</v>
      </c>
      <c r="B5030" s="42" t="s">
        <v>5400</v>
      </c>
      <c r="C5030" s="43" t="s">
        <v>289</v>
      </c>
      <c r="D5030" s="43" t="s">
        <v>2334</v>
      </c>
      <c r="E5030" s="43" t="s">
        <v>464</v>
      </c>
    </row>
    <row r="5031" spans="1:5" x14ac:dyDescent="0.25">
      <c r="A5031" s="41">
        <v>17596</v>
      </c>
      <c r="B5031" s="42" t="s">
        <v>5401</v>
      </c>
      <c r="C5031" s="43" t="s">
        <v>289</v>
      </c>
      <c r="D5031" s="43" t="s">
        <v>996</v>
      </c>
      <c r="E5031" s="43" t="s">
        <v>230</v>
      </c>
    </row>
    <row r="5032" spans="1:5" x14ac:dyDescent="0.25">
      <c r="A5032" s="41">
        <v>17597</v>
      </c>
      <c r="B5032" s="42" t="s">
        <v>5402</v>
      </c>
      <c r="C5032" s="43" t="s">
        <v>289</v>
      </c>
      <c r="D5032" s="43" t="s">
        <v>996</v>
      </c>
      <c r="E5032" s="43" t="s">
        <v>230</v>
      </c>
    </row>
    <row r="5033" spans="1:5" x14ac:dyDescent="0.25">
      <c r="A5033" s="41">
        <v>17601</v>
      </c>
      <c r="B5033" s="42" t="s">
        <v>5403</v>
      </c>
      <c r="C5033" s="43" t="s">
        <v>289</v>
      </c>
      <c r="D5033" s="43" t="s">
        <v>290</v>
      </c>
      <c r="E5033" s="43" t="s">
        <v>230</v>
      </c>
    </row>
    <row r="5034" spans="1:5" x14ac:dyDescent="0.25">
      <c r="A5034" s="41">
        <v>17602</v>
      </c>
      <c r="B5034" s="42" t="s">
        <v>5404</v>
      </c>
      <c r="C5034" s="43" t="s">
        <v>289</v>
      </c>
      <c r="D5034" s="43" t="s">
        <v>290</v>
      </c>
      <c r="E5034" s="43" t="s">
        <v>230</v>
      </c>
    </row>
    <row r="5035" spans="1:5" x14ac:dyDescent="0.25">
      <c r="A5035" s="41">
        <v>17603</v>
      </c>
      <c r="B5035" s="42" t="s">
        <v>5405</v>
      </c>
      <c r="C5035" s="43" t="s">
        <v>289</v>
      </c>
      <c r="D5035" s="43" t="s">
        <v>941</v>
      </c>
      <c r="E5035" s="43" t="s">
        <v>230</v>
      </c>
    </row>
    <row r="5036" spans="1:5" x14ac:dyDescent="0.25">
      <c r="A5036" s="41">
        <v>17604</v>
      </c>
      <c r="B5036" s="42" t="s">
        <v>5406</v>
      </c>
      <c r="C5036" s="43" t="s">
        <v>289</v>
      </c>
      <c r="D5036" s="43" t="s">
        <v>327</v>
      </c>
      <c r="E5036" s="43" t="s">
        <v>4605</v>
      </c>
    </row>
    <row r="5037" spans="1:5" x14ac:dyDescent="0.25">
      <c r="A5037" s="41">
        <v>17605</v>
      </c>
      <c r="B5037" s="42" t="s">
        <v>5407</v>
      </c>
      <c r="C5037" s="43" t="s">
        <v>289</v>
      </c>
      <c r="D5037" s="43" t="s">
        <v>635</v>
      </c>
      <c r="E5037" s="43" t="s">
        <v>464</v>
      </c>
    </row>
    <row r="5038" spans="1:5" x14ac:dyDescent="0.25">
      <c r="A5038" s="41">
        <v>17606</v>
      </c>
      <c r="B5038" s="42" t="s">
        <v>5408</v>
      </c>
      <c r="C5038" s="43" t="s">
        <v>289</v>
      </c>
      <c r="D5038" s="43" t="s">
        <v>474</v>
      </c>
      <c r="E5038" s="43" t="s">
        <v>230</v>
      </c>
    </row>
    <row r="5039" spans="1:5" x14ac:dyDescent="0.25">
      <c r="A5039" s="41">
        <v>17607</v>
      </c>
      <c r="B5039" s="42" t="s">
        <v>5409</v>
      </c>
      <c r="C5039" s="43" t="s">
        <v>289</v>
      </c>
      <c r="D5039" s="43" t="s">
        <v>327</v>
      </c>
      <c r="E5039" s="43" t="s">
        <v>230</v>
      </c>
    </row>
    <row r="5040" spans="1:5" x14ac:dyDescent="0.25">
      <c r="A5040" s="41">
        <v>17608</v>
      </c>
      <c r="B5040" s="42" t="s">
        <v>5410</v>
      </c>
      <c r="C5040" s="43" t="s">
        <v>289</v>
      </c>
      <c r="D5040" s="43" t="s">
        <v>433</v>
      </c>
      <c r="E5040" s="43" t="s">
        <v>230</v>
      </c>
    </row>
    <row r="5041" spans="1:5" x14ac:dyDescent="0.25">
      <c r="A5041" s="41">
        <v>17609</v>
      </c>
      <c r="B5041" s="42" t="s">
        <v>5411</v>
      </c>
      <c r="C5041" s="43" t="s">
        <v>289</v>
      </c>
      <c r="D5041" s="43" t="s">
        <v>1112</v>
      </c>
      <c r="E5041" s="43" t="s">
        <v>464</v>
      </c>
    </row>
    <row r="5042" spans="1:5" x14ac:dyDescent="0.25">
      <c r="A5042" s="41">
        <v>17611</v>
      </c>
      <c r="B5042" s="42" t="s">
        <v>5412</v>
      </c>
      <c r="C5042" s="43" t="s">
        <v>289</v>
      </c>
      <c r="D5042" s="43" t="s">
        <v>1100</v>
      </c>
      <c r="E5042" s="43" t="s">
        <v>230</v>
      </c>
    </row>
    <row r="5043" spans="1:5" x14ac:dyDescent="0.25">
      <c r="A5043" s="41">
        <v>17612</v>
      </c>
      <c r="B5043" s="42" t="s">
        <v>5413</v>
      </c>
      <c r="C5043" s="43" t="s">
        <v>289</v>
      </c>
      <c r="D5043" s="43" t="s">
        <v>4329</v>
      </c>
      <c r="E5043" s="43" t="s">
        <v>769</v>
      </c>
    </row>
    <row r="5044" spans="1:5" x14ac:dyDescent="0.25">
      <c r="A5044" s="41">
        <v>17615</v>
      </c>
      <c r="B5044" s="42" t="s">
        <v>5414</v>
      </c>
      <c r="C5044" s="43" t="s">
        <v>289</v>
      </c>
      <c r="D5044" s="43" t="s">
        <v>4329</v>
      </c>
      <c r="E5044" s="43" t="s">
        <v>769</v>
      </c>
    </row>
    <row r="5045" spans="1:5" x14ac:dyDescent="0.25">
      <c r="A5045" s="41">
        <v>17617</v>
      </c>
      <c r="B5045" s="42" t="s">
        <v>5415</v>
      </c>
      <c r="C5045" s="43" t="s">
        <v>289</v>
      </c>
      <c r="D5045" s="43" t="s">
        <v>433</v>
      </c>
      <c r="E5045" s="43" t="s">
        <v>230</v>
      </c>
    </row>
    <row r="5046" spans="1:5" x14ac:dyDescent="0.25">
      <c r="A5046" s="41">
        <v>17618</v>
      </c>
      <c r="B5046" s="42" t="s">
        <v>5416</v>
      </c>
      <c r="C5046" s="43" t="s">
        <v>289</v>
      </c>
      <c r="D5046" s="43" t="s">
        <v>433</v>
      </c>
      <c r="E5046" s="43" t="s">
        <v>230</v>
      </c>
    </row>
    <row r="5047" spans="1:5" x14ac:dyDescent="0.25">
      <c r="A5047" s="41">
        <v>17622</v>
      </c>
      <c r="B5047" s="42" t="s">
        <v>5417</v>
      </c>
      <c r="C5047" s="43" t="s">
        <v>289</v>
      </c>
      <c r="D5047" s="43" t="s">
        <v>1112</v>
      </c>
      <c r="E5047" s="43" t="s">
        <v>769</v>
      </c>
    </row>
    <row r="5048" spans="1:5" x14ac:dyDescent="0.25">
      <c r="A5048" s="41">
        <v>17623</v>
      </c>
      <c r="B5048" s="42" t="s">
        <v>5418</v>
      </c>
      <c r="C5048" s="43" t="s">
        <v>289</v>
      </c>
      <c r="D5048" s="43" t="s">
        <v>996</v>
      </c>
      <c r="E5048" s="43" t="s">
        <v>769</v>
      </c>
    </row>
    <row r="5049" spans="1:5" x14ac:dyDescent="0.25">
      <c r="A5049" s="41">
        <v>17625</v>
      </c>
      <c r="B5049" s="42" t="s">
        <v>5419</v>
      </c>
      <c r="C5049" s="43" t="s">
        <v>289</v>
      </c>
      <c r="D5049" s="43" t="s">
        <v>1112</v>
      </c>
      <c r="E5049" s="43" t="s">
        <v>464</v>
      </c>
    </row>
    <row r="5050" spans="1:5" x14ac:dyDescent="0.25">
      <c r="A5050" s="41">
        <v>17626</v>
      </c>
      <c r="B5050" s="42" t="s">
        <v>5420</v>
      </c>
      <c r="C5050" s="43" t="s">
        <v>289</v>
      </c>
      <c r="D5050" s="43" t="s">
        <v>5324</v>
      </c>
      <c r="E5050" s="43" t="s">
        <v>230</v>
      </c>
    </row>
    <row r="5051" spans="1:5" x14ac:dyDescent="0.25">
      <c r="A5051" s="41">
        <v>17628</v>
      </c>
      <c r="B5051" s="42" t="s">
        <v>5421</v>
      </c>
      <c r="C5051" s="43" t="s">
        <v>289</v>
      </c>
      <c r="D5051" s="43" t="s">
        <v>1112</v>
      </c>
      <c r="E5051" s="43" t="s">
        <v>464</v>
      </c>
    </row>
    <row r="5052" spans="1:5" x14ac:dyDescent="0.25">
      <c r="A5052" s="41">
        <v>17629</v>
      </c>
      <c r="B5052" s="42" t="s">
        <v>5422</v>
      </c>
      <c r="C5052" s="43" t="s">
        <v>289</v>
      </c>
      <c r="D5052" s="43" t="s">
        <v>1112</v>
      </c>
      <c r="E5052" s="43" t="s">
        <v>464</v>
      </c>
    </row>
    <row r="5053" spans="1:5" x14ac:dyDescent="0.25">
      <c r="A5053" s="41">
        <v>17631</v>
      </c>
      <c r="B5053" s="42" t="s">
        <v>5423</v>
      </c>
      <c r="C5053" s="43" t="s">
        <v>289</v>
      </c>
      <c r="D5053" s="43" t="s">
        <v>499</v>
      </c>
      <c r="E5053" s="43" t="s">
        <v>472</v>
      </c>
    </row>
    <row r="5054" spans="1:5" x14ac:dyDescent="0.25">
      <c r="A5054" s="41">
        <v>17632</v>
      </c>
      <c r="B5054" s="42" t="s">
        <v>5424</v>
      </c>
      <c r="C5054" s="43" t="s">
        <v>289</v>
      </c>
      <c r="D5054" s="43" t="s">
        <v>433</v>
      </c>
      <c r="E5054" s="43" t="s">
        <v>230</v>
      </c>
    </row>
    <row r="5055" spans="1:5" x14ac:dyDescent="0.25">
      <c r="A5055" s="41">
        <v>17641</v>
      </c>
      <c r="B5055" s="42" t="s">
        <v>5425</v>
      </c>
      <c r="C5055" s="43" t="s">
        <v>289</v>
      </c>
      <c r="D5055" s="43" t="s">
        <v>682</v>
      </c>
      <c r="E5055" s="43" t="s">
        <v>336</v>
      </c>
    </row>
    <row r="5056" spans="1:5" x14ac:dyDescent="0.25">
      <c r="A5056" s="41">
        <v>17642</v>
      </c>
      <c r="B5056" s="42" t="s">
        <v>5426</v>
      </c>
      <c r="C5056" s="43" t="s">
        <v>289</v>
      </c>
      <c r="D5056" s="43" t="s">
        <v>433</v>
      </c>
      <c r="E5056" s="43" t="s">
        <v>454</v>
      </c>
    </row>
    <row r="5057" spans="1:5" x14ac:dyDescent="0.25">
      <c r="A5057" s="41">
        <v>17643</v>
      </c>
      <c r="B5057" s="42" t="s">
        <v>5427</v>
      </c>
      <c r="C5057" s="43" t="s">
        <v>289</v>
      </c>
      <c r="D5057" s="43" t="s">
        <v>316</v>
      </c>
      <c r="E5057" s="43" t="s">
        <v>454</v>
      </c>
    </row>
    <row r="5058" spans="1:5" x14ac:dyDescent="0.25">
      <c r="A5058" s="41">
        <v>17644</v>
      </c>
      <c r="B5058" s="42" t="s">
        <v>5428</v>
      </c>
      <c r="C5058" s="43" t="s">
        <v>289</v>
      </c>
      <c r="D5058" s="43" t="s">
        <v>908</v>
      </c>
      <c r="E5058" s="43" t="s">
        <v>454</v>
      </c>
    </row>
    <row r="5059" spans="1:5" x14ac:dyDescent="0.25">
      <c r="A5059" s="41">
        <v>17645</v>
      </c>
      <c r="B5059" s="42" t="s">
        <v>5428</v>
      </c>
      <c r="C5059" s="43" t="s">
        <v>289</v>
      </c>
      <c r="D5059" s="43" t="s">
        <v>908</v>
      </c>
      <c r="E5059" s="43" t="s">
        <v>454</v>
      </c>
    </row>
    <row r="5060" spans="1:5" x14ac:dyDescent="0.25">
      <c r="A5060" s="41">
        <v>17649</v>
      </c>
      <c r="B5060" s="42" t="s">
        <v>5429</v>
      </c>
      <c r="C5060" s="43" t="s">
        <v>289</v>
      </c>
      <c r="D5060" s="43" t="s">
        <v>908</v>
      </c>
      <c r="E5060" s="43" t="s">
        <v>454</v>
      </c>
    </row>
    <row r="5061" spans="1:5" x14ac:dyDescent="0.25">
      <c r="A5061" s="41">
        <v>17650</v>
      </c>
      <c r="B5061" s="42" t="s">
        <v>5430</v>
      </c>
      <c r="C5061" s="43" t="s">
        <v>289</v>
      </c>
      <c r="D5061" s="43" t="s">
        <v>908</v>
      </c>
      <c r="E5061" s="43" t="s">
        <v>454</v>
      </c>
    </row>
    <row r="5062" spans="1:5" x14ac:dyDescent="0.25">
      <c r="A5062" s="41">
        <v>17651</v>
      </c>
      <c r="B5062" s="42" t="s">
        <v>5431</v>
      </c>
      <c r="C5062" s="43" t="s">
        <v>289</v>
      </c>
      <c r="D5062" s="43" t="s">
        <v>908</v>
      </c>
      <c r="E5062" s="43" t="s">
        <v>454</v>
      </c>
    </row>
    <row r="5063" spans="1:5" x14ac:dyDescent="0.25">
      <c r="A5063" s="41">
        <v>17652</v>
      </c>
      <c r="B5063" s="42" t="s">
        <v>5432</v>
      </c>
      <c r="C5063" s="43" t="s">
        <v>289</v>
      </c>
      <c r="D5063" s="43" t="s">
        <v>908</v>
      </c>
      <c r="E5063" s="43" t="s">
        <v>454</v>
      </c>
    </row>
    <row r="5064" spans="1:5" x14ac:dyDescent="0.25">
      <c r="A5064" s="41">
        <v>17653</v>
      </c>
      <c r="B5064" s="42" t="s">
        <v>5433</v>
      </c>
      <c r="C5064" s="43" t="s">
        <v>289</v>
      </c>
      <c r="D5064" s="43" t="s">
        <v>908</v>
      </c>
      <c r="E5064" s="43" t="s">
        <v>454</v>
      </c>
    </row>
    <row r="5065" spans="1:5" x14ac:dyDescent="0.25">
      <c r="A5065" s="41">
        <v>17655</v>
      </c>
      <c r="B5065" s="42" t="s">
        <v>5434</v>
      </c>
      <c r="C5065" s="43" t="s">
        <v>289</v>
      </c>
      <c r="D5065" s="43" t="s">
        <v>908</v>
      </c>
      <c r="E5065" s="43" t="s">
        <v>454</v>
      </c>
    </row>
    <row r="5066" spans="1:5" x14ac:dyDescent="0.25">
      <c r="A5066" s="41">
        <v>17656</v>
      </c>
      <c r="B5066" s="42" t="s">
        <v>5435</v>
      </c>
      <c r="C5066" s="43" t="s">
        <v>289</v>
      </c>
      <c r="D5066" s="43" t="s">
        <v>908</v>
      </c>
      <c r="E5066" s="43" t="s">
        <v>454</v>
      </c>
    </row>
    <row r="5067" spans="1:5" x14ac:dyDescent="0.25">
      <c r="A5067" s="41">
        <v>17657</v>
      </c>
      <c r="B5067" s="42" t="s">
        <v>5436</v>
      </c>
      <c r="C5067" s="43" t="s">
        <v>289</v>
      </c>
      <c r="D5067" s="43" t="s">
        <v>908</v>
      </c>
      <c r="E5067" s="43" t="s">
        <v>454</v>
      </c>
    </row>
    <row r="5068" spans="1:5" x14ac:dyDescent="0.25">
      <c r="A5068" s="41">
        <v>17658</v>
      </c>
      <c r="B5068" s="42" t="s">
        <v>5437</v>
      </c>
      <c r="C5068" s="43" t="s">
        <v>289</v>
      </c>
      <c r="D5068" s="43" t="s">
        <v>908</v>
      </c>
      <c r="E5068" s="43" t="s">
        <v>454</v>
      </c>
    </row>
    <row r="5069" spans="1:5" x14ac:dyDescent="0.25">
      <c r="A5069" s="41">
        <v>17659</v>
      </c>
      <c r="B5069" s="42" t="s">
        <v>5438</v>
      </c>
      <c r="C5069" s="43" t="s">
        <v>289</v>
      </c>
      <c r="D5069" s="43" t="s">
        <v>908</v>
      </c>
      <c r="E5069" s="43" t="s">
        <v>454</v>
      </c>
    </row>
    <row r="5070" spans="1:5" x14ac:dyDescent="0.25">
      <c r="A5070" s="41">
        <v>17660</v>
      </c>
      <c r="B5070" s="42" t="s">
        <v>5439</v>
      </c>
      <c r="C5070" s="43" t="s">
        <v>289</v>
      </c>
      <c r="D5070" s="43" t="s">
        <v>908</v>
      </c>
      <c r="E5070" s="43" t="s">
        <v>454</v>
      </c>
    </row>
    <row r="5071" spans="1:5" x14ac:dyDescent="0.25">
      <c r="A5071" s="41">
        <v>17661</v>
      </c>
      <c r="B5071" s="42" t="s">
        <v>5440</v>
      </c>
      <c r="C5071" s="43" t="s">
        <v>289</v>
      </c>
      <c r="D5071" s="43" t="s">
        <v>908</v>
      </c>
      <c r="E5071" s="43" t="s">
        <v>454</v>
      </c>
    </row>
    <row r="5072" spans="1:5" x14ac:dyDescent="0.25">
      <c r="A5072" s="41">
        <v>17662</v>
      </c>
      <c r="B5072" s="42" t="s">
        <v>5441</v>
      </c>
      <c r="C5072" s="43" t="s">
        <v>289</v>
      </c>
      <c r="D5072" s="43" t="s">
        <v>908</v>
      </c>
      <c r="E5072" s="43" t="s">
        <v>454</v>
      </c>
    </row>
    <row r="5073" spans="1:5" x14ac:dyDescent="0.25">
      <c r="A5073" s="41">
        <v>17663</v>
      </c>
      <c r="B5073" s="42" t="s">
        <v>5442</v>
      </c>
      <c r="C5073" s="43" t="s">
        <v>289</v>
      </c>
      <c r="D5073" s="43" t="s">
        <v>908</v>
      </c>
      <c r="E5073" s="43" t="s">
        <v>454</v>
      </c>
    </row>
    <row r="5074" spans="1:5" x14ac:dyDescent="0.25">
      <c r="A5074" s="41">
        <v>17664</v>
      </c>
      <c r="B5074" s="42" t="s">
        <v>5443</v>
      </c>
      <c r="C5074" s="43" t="s">
        <v>289</v>
      </c>
      <c r="D5074" s="43" t="s">
        <v>908</v>
      </c>
      <c r="E5074" s="43" t="s">
        <v>454</v>
      </c>
    </row>
    <row r="5075" spans="1:5" x14ac:dyDescent="0.25">
      <c r="A5075" s="41">
        <v>17665</v>
      </c>
      <c r="B5075" s="42" t="s">
        <v>5444</v>
      </c>
      <c r="C5075" s="43" t="s">
        <v>289</v>
      </c>
      <c r="D5075" s="43" t="s">
        <v>908</v>
      </c>
      <c r="E5075" s="43" t="s">
        <v>454</v>
      </c>
    </row>
    <row r="5076" spans="1:5" x14ac:dyDescent="0.25">
      <c r="A5076" s="41">
        <v>17666</v>
      </c>
      <c r="B5076" s="42" t="s">
        <v>5445</v>
      </c>
      <c r="C5076" s="43" t="s">
        <v>289</v>
      </c>
      <c r="D5076" s="43" t="s">
        <v>908</v>
      </c>
      <c r="E5076" s="43" t="s">
        <v>454</v>
      </c>
    </row>
    <row r="5077" spans="1:5" x14ac:dyDescent="0.25">
      <c r="A5077" s="41">
        <v>17667</v>
      </c>
      <c r="B5077" s="42" t="s">
        <v>5446</v>
      </c>
      <c r="C5077" s="43" t="s">
        <v>289</v>
      </c>
      <c r="D5077" s="43" t="s">
        <v>908</v>
      </c>
      <c r="E5077" s="43" t="s">
        <v>454</v>
      </c>
    </row>
    <row r="5078" spans="1:5" x14ac:dyDescent="0.25">
      <c r="A5078" s="41">
        <v>17668</v>
      </c>
      <c r="B5078" s="42" t="s">
        <v>5447</v>
      </c>
      <c r="C5078" s="43" t="s">
        <v>289</v>
      </c>
      <c r="D5078" s="43" t="s">
        <v>908</v>
      </c>
      <c r="E5078" s="43" t="s">
        <v>454</v>
      </c>
    </row>
    <row r="5079" spans="1:5" x14ac:dyDescent="0.25">
      <c r="A5079" s="41">
        <v>17669</v>
      </c>
      <c r="B5079" s="42" t="s">
        <v>5448</v>
      </c>
      <c r="C5079" s="43" t="s">
        <v>289</v>
      </c>
      <c r="D5079" s="43" t="s">
        <v>908</v>
      </c>
      <c r="E5079" s="43" t="s">
        <v>454</v>
      </c>
    </row>
    <row r="5080" spans="1:5" x14ac:dyDescent="0.25">
      <c r="A5080" s="41">
        <v>17670</v>
      </c>
      <c r="B5080" s="42" t="s">
        <v>5449</v>
      </c>
      <c r="C5080" s="43" t="s">
        <v>289</v>
      </c>
      <c r="D5080" s="43" t="s">
        <v>908</v>
      </c>
      <c r="E5080" s="43" t="s">
        <v>454</v>
      </c>
    </row>
    <row r="5081" spans="1:5" x14ac:dyDescent="0.25">
      <c r="A5081" s="41">
        <v>17671</v>
      </c>
      <c r="B5081" s="42" t="s">
        <v>5450</v>
      </c>
      <c r="C5081" s="43" t="s">
        <v>289</v>
      </c>
      <c r="D5081" s="43" t="s">
        <v>908</v>
      </c>
      <c r="E5081" s="43" t="s">
        <v>454</v>
      </c>
    </row>
    <row r="5082" spans="1:5" x14ac:dyDescent="0.25">
      <c r="A5082" s="41">
        <v>17672</v>
      </c>
      <c r="B5082" s="42" t="s">
        <v>5451</v>
      </c>
      <c r="C5082" s="43" t="s">
        <v>289</v>
      </c>
      <c r="D5082" s="43" t="s">
        <v>908</v>
      </c>
      <c r="E5082" s="43" t="s">
        <v>454</v>
      </c>
    </row>
    <row r="5083" spans="1:5" x14ac:dyDescent="0.25">
      <c r="A5083" s="41">
        <v>17673</v>
      </c>
      <c r="B5083" s="42" t="s">
        <v>5452</v>
      </c>
      <c r="C5083" s="43" t="s">
        <v>289</v>
      </c>
      <c r="D5083" s="43" t="s">
        <v>908</v>
      </c>
      <c r="E5083" s="43" t="s">
        <v>454</v>
      </c>
    </row>
    <row r="5084" spans="1:5" x14ac:dyDescent="0.25">
      <c r="A5084" s="41">
        <v>17674</v>
      </c>
      <c r="B5084" s="42" t="s">
        <v>5453</v>
      </c>
      <c r="C5084" s="43" t="s">
        <v>289</v>
      </c>
      <c r="D5084" s="43" t="s">
        <v>908</v>
      </c>
      <c r="E5084" s="43" t="s">
        <v>454</v>
      </c>
    </row>
    <row r="5085" spans="1:5" x14ac:dyDescent="0.25">
      <c r="A5085" s="41">
        <v>17675</v>
      </c>
      <c r="B5085" s="42" t="s">
        <v>5454</v>
      </c>
      <c r="C5085" s="43" t="s">
        <v>289</v>
      </c>
      <c r="D5085" s="43" t="s">
        <v>908</v>
      </c>
      <c r="E5085" s="43" t="s">
        <v>454</v>
      </c>
    </row>
    <row r="5086" spans="1:5" x14ac:dyDescent="0.25">
      <c r="A5086" s="41">
        <v>17676</v>
      </c>
      <c r="B5086" s="42" t="s">
        <v>5455</v>
      </c>
      <c r="C5086" s="43" t="s">
        <v>289</v>
      </c>
      <c r="D5086" s="43" t="s">
        <v>908</v>
      </c>
      <c r="E5086" s="43" t="s">
        <v>454</v>
      </c>
    </row>
    <row r="5087" spans="1:5" x14ac:dyDescent="0.25">
      <c r="A5087" s="41">
        <v>17677</v>
      </c>
      <c r="B5087" s="42" t="s">
        <v>5456</v>
      </c>
      <c r="C5087" s="43" t="s">
        <v>289</v>
      </c>
      <c r="D5087" s="43" t="s">
        <v>908</v>
      </c>
      <c r="E5087" s="43" t="s">
        <v>454</v>
      </c>
    </row>
    <row r="5088" spans="1:5" x14ac:dyDescent="0.25">
      <c r="A5088" s="41">
        <v>17678</v>
      </c>
      <c r="B5088" s="42" t="s">
        <v>5457</v>
      </c>
      <c r="C5088" s="43" t="s">
        <v>289</v>
      </c>
      <c r="D5088" s="43" t="s">
        <v>908</v>
      </c>
      <c r="E5088" s="43" t="s">
        <v>454</v>
      </c>
    </row>
    <row r="5089" spans="1:5" x14ac:dyDescent="0.25">
      <c r="A5089" s="41">
        <v>17679</v>
      </c>
      <c r="B5089" s="42" t="s">
        <v>5458</v>
      </c>
      <c r="C5089" s="43" t="s">
        <v>289</v>
      </c>
      <c r="D5089" s="43" t="s">
        <v>908</v>
      </c>
      <c r="E5089" s="43" t="s">
        <v>454</v>
      </c>
    </row>
    <row r="5090" spans="1:5" x14ac:dyDescent="0.25">
      <c r="A5090" s="41">
        <v>17680</v>
      </c>
      <c r="B5090" s="42" t="s">
        <v>5459</v>
      </c>
      <c r="C5090" s="43" t="s">
        <v>289</v>
      </c>
      <c r="D5090" s="43" t="s">
        <v>908</v>
      </c>
      <c r="E5090" s="43" t="s">
        <v>454</v>
      </c>
    </row>
    <row r="5091" spans="1:5" x14ac:dyDescent="0.25">
      <c r="A5091" s="41">
        <v>17681</v>
      </c>
      <c r="B5091" s="42" t="s">
        <v>5460</v>
      </c>
      <c r="C5091" s="43" t="s">
        <v>289</v>
      </c>
      <c r="D5091" s="43" t="s">
        <v>908</v>
      </c>
      <c r="E5091" s="43" t="s">
        <v>454</v>
      </c>
    </row>
    <row r="5092" spans="1:5" x14ac:dyDescent="0.25">
      <c r="A5092" s="41">
        <v>17682</v>
      </c>
      <c r="B5092" s="42" t="s">
        <v>5461</v>
      </c>
      <c r="C5092" s="43" t="s">
        <v>289</v>
      </c>
      <c r="D5092" s="43" t="s">
        <v>908</v>
      </c>
      <c r="E5092" s="43" t="s">
        <v>454</v>
      </c>
    </row>
    <row r="5093" spans="1:5" x14ac:dyDescent="0.25">
      <c r="A5093" s="41">
        <v>17683</v>
      </c>
      <c r="B5093" s="42" t="s">
        <v>5462</v>
      </c>
      <c r="C5093" s="43" t="s">
        <v>289</v>
      </c>
      <c r="D5093" s="43" t="s">
        <v>908</v>
      </c>
      <c r="E5093" s="43" t="s">
        <v>454</v>
      </c>
    </row>
    <row r="5094" spans="1:5" x14ac:dyDescent="0.25">
      <c r="A5094" s="41">
        <v>17684</v>
      </c>
      <c r="B5094" s="42" t="s">
        <v>5463</v>
      </c>
      <c r="C5094" s="43" t="s">
        <v>289</v>
      </c>
      <c r="D5094" s="43" t="s">
        <v>908</v>
      </c>
      <c r="E5094" s="43" t="s">
        <v>454</v>
      </c>
    </row>
    <row r="5095" spans="1:5" x14ac:dyDescent="0.25">
      <c r="A5095" s="41">
        <v>17685</v>
      </c>
      <c r="B5095" s="42" t="s">
        <v>5464</v>
      </c>
      <c r="C5095" s="43" t="s">
        <v>289</v>
      </c>
      <c r="D5095" s="43" t="s">
        <v>908</v>
      </c>
      <c r="E5095" s="43" t="s">
        <v>454</v>
      </c>
    </row>
    <row r="5096" spans="1:5" x14ac:dyDescent="0.25">
      <c r="A5096" s="41">
        <v>17686</v>
      </c>
      <c r="B5096" s="42" t="s">
        <v>5465</v>
      </c>
      <c r="C5096" s="43" t="s">
        <v>289</v>
      </c>
      <c r="D5096" s="43" t="s">
        <v>908</v>
      </c>
      <c r="E5096" s="43" t="s">
        <v>454</v>
      </c>
    </row>
    <row r="5097" spans="1:5" x14ac:dyDescent="0.25">
      <c r="A5097" s="41">
        <v>17687</v>
      </c>
      <c r="B5097" s="42" t="s">
        <v>5466</v>
      </c>
      <c r="C5097" s="43" t="s">
        <v>289</v>
      </c>
      <c r="D5097" s="43" t="s">
        <v>908</v>
      </c>
      <c r="E5097" s="43" t="s">
        <v>454</v>
      </c>
    </row>
    <row r="5098" spans="1:5" x14ac:dyDescent="0.25">
      <c r="A5098" s="41">
        <v>17688</v>
      </c>
      <c r="B5098" s="42" t="s">
        <v>5467</v>
      </c>
      <c r="C5098" s="43" t="s">
        <v>289</v>
      </c>
      <c r="D5098" s="43" t="s">
        <v>908</v>
      </c>
      <c r="E5098" s="43" t="s">
        <v>454</v>
      </c>
    </row>
    <row r="5099" spans="1:5" x14ac:dyDescent="0.25">
      <c r="A5099" s="41">
        <v>17689</v>
      </c>
      <c r="B5099" s="42" t="s">
        <v>5468</v>
      </c>
      <c r="C5099" s="43" t="s">
        <v>289</v>
      </c>
      <c r="D5099" s="43" t="s">
        <v>908</v>
      </c>
      <c r="E5099" s="43" t="s">
        <v>454</v>
      </c>
    </row>
    <row r="5100" spans="1:5" x14ac:dyDescent="0.25">
      <c r="A5100" s="41">
        <v>17690</v>
      </c>
      <c r="B5100" s="42" t="s">
        <v>5469</v>
      </c>
      <c r="C5100" s="43" t="s">
        <v>289</v>
      </c>
      <c r="D5100" s="43" t="s">
        <v>908</v>
      </c>
      <c r="E5100" s="43" t="s">
        <v>454</v>
      </c>
    </row>
    <row r="5101" spans="1:5" x14ac:dyDescent="0.25">
      <c r="A5101" s="41">
        <v>17691</v>
      </c>
      <c r="B5101" s="42" t="s">
        <v>5470</v>
      </c>
      <c r="C5101" s="43" t="s">
        <v>289</v>
      </c>
      <c r="D5101" s="43" t="s">
        <v>908</v>
      </c>
      <c r="E5101" s="43" t="s">
        <v>454</v>
      </c>
    </row>
    <row r="5102" spans="1:5" x14ac:dyDescent="0.25">
      <c r="A5102" s="41">
        <v>17692</v>
      </c>
      <c r="B5102" s="42" t="s">
        <v>5471</v>
      </c>
      <c r="C5102" s="43" t="s">
        <v>289</v>
      </c>
      <c r="D5102" s="43" t="s">
        <v>908</v>
      </c>
      <c r="E5102" s="43" t="s">
        <v>454</v>
      </c>
    </row>
    <row r="5103" spans="1:5" x14ac:dyDescent="0.25">
      <c r="A5103" s="41">
        <v>17693</v>
      </c>
      <c r="B5103" s="42" t="s">
        <v>5472</v>
      </c>
      <c r="C5103" s="43" t="s">
        <v>289</v>
      </c>
      <c r="D5103" s="43" t="s">
        <v>908</v>
      </c>
      <c r="E5103" s="43" t="s">
        <v>454</v>
      </c>
    </row>
    <row r="5104" spans="1:5" x14ac:dyDescent="0.25">
      <c r="A5104" s="41">
        <v>17694</v>
      </c>
      <c r="B5104" s="42" t="s">
        <v>5473</v>
      </c>
      <c r="C5104" s="43" t="s">
        <v>289</v>
      </c>
      <c r="D5104" s="43" t="s">
        <v>908</v>
      </c>
      <c r="E5104" s="43" t="s">
        <v>454</v>
      </c>
    </row>
    <row r="5105" spans="1:5" x14ac:dyDescent="0.25">
      <c r="A5105" s="41">
        <v>17695</v>
      </c>
      <c r="B5105" s="42" t="s">
        <v>5474</v>
      </c>
      <c r="C5105" s="43" t="s">
        <v>289</v>
      </c>
      <c r="D5105" s="43" t="s">
        <v>908</v>
      </c>
      <c r="E5105" s="43" t="s">
        <v>454</v>
      </c>
    </row>
    <row r="5106" spans="1:5" x14ac:dyDescent="0.25">
      <c r="A5106" s="41">
        <v>17696</v>
      </c>
      <c r="B5106" s="42" t="s">
        <v>5475</v>
      </c>
      <c r="C5106" s="43" t="s">
        <v>289</v>
      </c>
      <c r="D5106" s="43" t="s">
        <v>908</v>
      </c>
      <c r="E5106" s="43" t="s">
        <v>454</v>
      </c>
    </row>
    <row r="5107" spans="1:5" x14ac:dyDescent="0.25">
      <c r="A5107" s="41">
        <v>17697</v>
      </c>
      <c r="B5107" s="42" t="s">
        <v>5476</v>
      </c>
      <c r="C5107" s="43" t="s">
        <v>289</v>
      </c>
      <c r="D5107" s="43" t="s">
        <v>908</v>
      </c>
      <c r="E5107" s="43" t="s">
        <v>454</v>
      </c>
    </row>
    <row r="5108" spans="1:5" x14ac:dyDescent="0.25">
      <c r="A5108" s="41">
        <v>17698</v>
      </c>
      <c r="B5108" s="42" t="s">
        <v>5477</v>
      </c>
      <c r="C5108" s="43" t="s">
        <v>289</v>
      </c>
      <c r="D5108" s="43" t="s">
        <v>908</v>
      </c>
      <c r="E5108" s="43" t="s">
        <v>454</v>
      </c>
    </row>
    <row r="5109" spans="1:5" x14ac:dyDescent="0.25">
      <c r="A5109" s="41">
        <v>17699</v>
      </c>
      <c r="B5109" s="42" t="s">
        <v>5478</v>
      </c>
      <c r="C5109" s="43" t="s">
        <v>289</v>
      </c>
      <c r="D5109" s="43" t="s">
        <v>635</v>
      </c>
      <c r="E5109" s="43" t="s">
        <v>464</v>
      </c>
    </row>
    <row r="5110" spans="1:5" x14ac:dyDescent="0.25">
      <c r="A5110" s="41">
        <v>17700</v>
      </c>
      <c r="B5110" s="42" t="s">
        <v>5479</v>
      </c>
      <c r="C5110" s="43" t="s">
        <v>289</v>
      </c>
      <c r="D5110" s="43" t="s">
        <v>5480</v>
      </c>
      <c r="E5110" s="43" t="s">
        <v>769</v>
      </c>
    </row>
    <row r="5111" spans="1:5" x14ac:dyDescent="0.25">
      <c r="A5111" s="41">
        <v>17701</v>
      </c>
      <c r="B5111" s="42" t="s">
        <v>5481</v>
      </c>
      <c r="C5111" s="43" t="s">
        <v>289</v>
      </c>
      <c r="D5111" s="43" t="s">
        <v>5480</v>
      </c>
      <c r="E5111" s="43" t="s">
        <v>769</v>
      </c>
    </row>
    <row r="5112" spans="1:5" x14ac:dyDescent="0.25">
      <c r="A5112" s="41">
        <v>17702</v>
      </c>
      <c r="B5112" s="42" t="s">
        <v>5482</v>
      </c>
      <c r="C5112" s="43" t="s">
        <v>289</v>
      </c>
      <c r="D5112" s="43" t="s">
        <v>3733</v>
      </c>
      <c r="E5112" s="43" t="s">
        <v>336</v>
      </c>
    </row>
    <row r="5113" spans="1:5" x14ac:dyDescent="0.25">
      <c r="A5113" s="41">
        <v>17703</v>
      </c>
      <c r="B5113" s="42" t="s">
        <v>5483</v>
      </c>
      <c r="C5113" s="43" t="s">
        <v>289</v>
      </c>
      <c r="D5113" s="43" t="s">
        <v>5480</v>
      </c>
      <c r="E5113" s="43" t="s">
        <v>336</v>
      </c>
    </row>
    <row r="5114" spans="1:5" x14ac:dyDescent="0.25">
      <c r="A5114" s="41">
        <v>17704</v>
      </c>
      <c r="B5114" s="42" t="s">
        <v>5484</v>
      </c>
      <c r="C5114" s="43" t="s">
        <v>289</v>
      </c>
      <c r="D5114" s="43" t="s">
        <v>5480</v>
      </c>
      <c r="E5114" s="43" t="s">
        <v>336</v>
      </c>
    </row>
    <row r="5115" spans="1:5" x14ac:dyDescent="0.25">
      <c r="A5115" s="41">
        <v>17705</v>
      </c>
      <c r="B5115" s="42" t="s">
        <v>5485</v>
      </c>
      <c r="C5115" s="43" t="s">
        <v>289</v>
      </c>
      <c r="D5115" s="43" t="s">
        <v>5480</v>
      </c>
      <c r="E5115" s="43" t="s">
        <v>336</v>
      </c>
    </row>
    <row r="5116" spans="1:5" x14ac:dyDescent="0.25">
      <c r="A5116" s="41">
        <v>17706</v>
      </c>
      <c r="B5116" s="42" t="s">
        <v>5486</v>
      </c>
      <c r="C5116" s="43" t="s">
        <v>289</v>
      </c>
      <c r="D5116" s="43" t="s">
        <v>5480</v>
      </c>
      <c r="E5116" s="43" t="s">
        <v>336</v>
      </c>
    </row>
    <row r="5117" spans="1:5" x14ac:dyDescent="0.25">
      <c r="A5117" s="41">
        <v>17707</v>
      </c>
      <c r="B5117" s="42" t="s">
        <v>5487</v>
      </c>
      <c r="C5117" s="43" t="s">
        <v>289</v>
      </c>
      <c r="D5117" s="43" t="s">
        <v>5480</v>
      </c>
      <c r="E5117" s="43" t="s">
        <v>336</v>
      </c>
    </row>
    <row r="5118" spans="1:5" x14ac:dyDescent="0.25">
      <c r="A5118" s="41">
        <v>17708</v>
      </c>
      <c r="B5118" s="42" t="s">
        <v>5488</v>
      </c>
      <c r="C5118" s="43" t="s">
        <v>289</v>
      </c>
      <c r="D5118" s="43" t="s">
        <v>5480</v>
      </c>
      <c r="E5118" s="43" t="s">
        <v>336</v>
      </c>
    </row>
    <row r="5119" spans="1:5" x14ac:dyDescent="0.25">
      <c r="A5119" s="41">
        <v>17709</v>
      </c>
      <c r="B5119" s="42" t="s">
        <v>5489</v>
      </c>
      <c r="C5119" s="43" t="s">
        <v>289</v>
      </c>
      <c r="D5119" s="43" t="s">
        <v>5480</v>
      </c>
      <c r="E5119" s="43" t="s">
        <v>336</v>
      </c>
    </row>
    <row r="5120" spans="1:5" x14ac:dyDescent="0.25">
      <c r="A5120" s="41">
        <v>17710</v>
      </c>
      <c r="B5120" s="42" t="s">
        <v>5490</v>
      </c>
      <c r="C5120" s="43" t="s">
        <v>289</v>
      </c>
      <c r="D5120" s="43" t="s">
        <v>5480</v>
      </c>
      <c r="E5120" s="43" t="s">
        <v>336</v>
      </c>
    </row>
    <row r="5121" spans="1:5" x14ac:dyDescent="0.25">
      <c r="A5121" s="41">
        <v>17711</v>
      </c>
      <c r="B5121" s="42" t="s">
        <v>5491</v>
      </c>
      <c r="C5121" s="43" t="s">
        <v>289</v>
      </c>
      <c r="D5121" s="43" t="s">
        <v>5480</v>
      </c>
      <c r="E5121" s="43" t="s">
        <v>336</v>
      </c>
    </row>
    <row r="5122" spans="1:5" x14ac:dyDescent="0.25">
      <c r="A5122" s="41">
        <v>17712</v>
      </c>
      <c r="B5122" s="42" t="s">
        <v>5492</v>
      </c>
      <c r="C5122" s="43" t="s">
        <v>289</v>
      </c>
      <c r="D5122" s="43" t="s">
        <v>5480</v>
      </c>
      <c r="E5122" s="43" t="s">
        <v>336</v>
      </c>
    </row>
    <row r="5123" spans="1:5" x14ac:dyDescent="0.25">
      <c r="A5123" s="41">
        <v>17713</v>
      </c>
      <c r="B5123" s="42" t="s">
        <v>5493</v>
      </c>
      <c r="C5123" s="43" t="s">
        <v>289</v>
      </c>
      <c r="D5123" s="43" t="s">
        <v>5480</v>
      </c>
      <c r="E5123" s="43" t="s">
        <v>336</v>
      </c>
    </row>
    <row r="5124" spans="1:5" x14ac:dyDescent="0.25">
      <c r="A5124" s="41">
        <v>17714</v>
      </c>
      <c r="B5124" s="42" t="s">
        <v>5494</v>
      </c>
      <c r="C5124" s="43" t="s">
        <v>289</v>
      </c>
      <c r="D5124" s="43" t="s">
        <v>5480</v>
      </c>
      <c r="E5124" s="43" t="s">
        <v>336</v>
      </c>
    </row>
    <row r="5125" spans="1:5" x14ac:dyDescent="0.25">
      <c r="A5125" s="41">
        <v>17715</v>
      </c>
      <c r="B5125" s="42" t="s">
        <v>5495</v>
      </c>
      <c r="C5125" s="43" t="s">
        <v>289</v>
      </c>
      <c r="D5125" s="43" t="s">
        <v>5480</v>
      </c>
      <c r="E5125" s="43" t="s">
        <v>336</v>
      </c>
    </row>
    <row r="5126" spans="1:5" x14ac:dyDescent="0.25">
      <c r="A5126" s="41">
        <v>17716</v>
      </c>
      <c r="B5126" s="42" t="s">
        <v>5496</v>
      </c>
      <c r="C5126" s="43" t="s">
        <v>289</v>
      </c>
      <c r="D5126" s="43" t="s">
        <v>5480</v>
      </c>
      <c r="E5126" s="43" t="s">
        <v>336</v>
      </c>
    </row>
    <row r="5127" spans="1:5" x14ac:dyDescent="0.25">
      <c r="A5127" s="41">
        <v>17717</v>
      </c>
      <c r="B5127" s="42" t="s">
        <v>5497</v>
      </c>
      <c r="C5127" s="43" t="s">
        <v>289</v>
      </c>
      <c r="D5127" s="43" t="s">
        <v>3733</v>
      </c>
      <c r="E5127" s="43" t="s">
        <v>336</v>
      </c>
    </row>
    <row r="5128" spans="1:5" x14ac:dyDescent="0.25">
      <c r="A5128" s="41">
        <v>17718</v>
      </c>
      <c r="B5128" s="42" t="s">
        <v>5498</v>
      </c>
      <c r="C5128" s="43" t="s">
        <v>289</v>
      </c>
      <c r="D5128" s="43" t="s">
        <v>3733</v>
      </c>
      <c r="E5128" s="43" t="s">
        <v>336</v>
      </c>
    </row>
    <row r="5129" spans="1:5" x14ac:dyDescent="0.25">
      <c r="A5129" s="41">
        <v>17719</v>
      </c>
      <c r="B5129" s="42" t="s">
        <v>5499</v>
      </c>
      <c r="C5129" s="43" t="s">
        <v>289</v>
      </c>
      <c r="D5129" s="43" t="s">
        <v>3733</v>
      </c>
      <c r="E5129" s="43" t="s">
        <v>336</v>
      </c>
    </row>
    <row r="5130" spans="1:5" x14ac:dyDescent="0.25">
      <c r="A5130" s="41">
        <v>17720</v>
      </c>
      <c r="B5130" s="42" t="s">
        <v>5500</v>
      </c>
      <c r="C5130" s="43" t="s">
        <v>289</v>
      </c>
      <c r="D5130" s="43" t="s">
        <v>5480</v>
      </c>
      <c r="E5130" s="43" t="s">
        <v>336</v>
      </c>
    </row>
    <row r="5131" spans="1:5" x14ac:dyDescent="0.25">
      <c r="A5131" s="41">
        <v>17721</v>
      </c>
      <c r="B5131" s="42" t="s">
        <v>5501</v>
      </c>
      <c r="C5131" s="43" t="s">
        <v>289</v>
      </c>
      <c r="D5131" s="43" t="s">
        <v>3733</v>
      </c>
      <c r="E5131" s="43" t="s">
        <v>336</v>
      </c>
    </row>
    <row r="5132" spans="1:5" x14ac:dyDescent="0.25">
      <c r="A5132" s="41">
        <v>17722</v>
      </c>
      <c r="B5132" s="42" t="s">
        <v>5502</v>
      </c>
      <c r="C5132" s="43" t="s">
        <v>289</v>
      </c>
      <c r="D5132" s="43" t="s">
        <v>3733</v>
      </c>
      <c r="E5132" s="43" t="s">
        <v>336</v>
      </c>
    </row>
    <row r="5133" spans="1:5" x14ac:dyDescent="0.25">
      <c r="A5133" s="41">
        <v>17723</v>
      </c>
      <c r="B5133" s="42" t="s">
        <v>5503</v>
      </c>
      <c r="C5133" s="43" t="s">
        <v>289</v>
      </c>
      <c r="D5133" s="43" t="s">
        <v>3733</v>
      </c>
      <c r="E5133" s="43" t="s">
        <v>336</v>
      </c>
    </row>
    <row r="5134" spans="1:5" x14ac:dyDescent="0.25">
      <c r="A5134" s="41">
        <v>17724</v>
      </c>
      <c r="B5134" s="42" t="s">
        <v>5504</v>
      </c>
      <c r="C5134" s="43" t="s">
        <v>289</v>
      </c>
      <c r="D5134" s="43" t="s">
        <v>3733</v>
      </c>
      <c r="E5134" s="43" t="s">
        <v>336</v>
      </c>
    </row>
    <row r="5135" spans="1:5" x14ac:dyDescent="0.25">
      <c r="A5135" s="41">
        <v>17725</v>
      </c>
      <c r="B5135" s="42" t="s">
        <v>5505</v>
      </c>
      <c r="C5135" s="43" t="s">
        <v>289</v>
      </c>
      <c r="D5135" s="43" t="s">
        <v>3733</v>
      </c>
      <c r="E5135" s="43" t="s">
        <v>336</v>
      </c>
    </row>
    <row r="5136" spans="1:5" x14ac:dyDescent="0.25">
      <c r="A5136" s="41">
        <v>17726</v>
      </c>
      <c r="B5136" s="42" t="s">
        <v>5506</v>
      </c>
      <c r="C5136" s="43" t="s">
        <v>289</v>
      </c>
      <c r="D5136" s="43" t="s">
        <v>5480</v>
      </c>
      <c r="E5136" s="43" t="s">
        <v>336</v>
      </c>
    </row>
    <row r="5137" spans="1:5" x14ac:dyDescent="0.25">
      <c r="A5137" s="41">
        <v>17727</v>
      </c>
      <c r="B5137" s="42" t="s">
        <v>5507</v>
      </c>
      <c r="C5137" s="43" t="s">
        <v>289</v>
      </c>
      <c r="D5137" s="43" t="s">
        <v>5480</v>
      </c>
      <c r="E5137" s="43" t="s">
        <v>336</v>
      </c>
    </row>
    <row r="5138" spans="1:5" x14ac:dyDescent="0.25">
      <c r="A5138" s="41">
        <v>17728</v>
      </c>
      <c r="B5138" s="42" t="s">
        <v>5508</v>
      </c>
      <c r="C5138" s="43" t="s">
        <v>289</v>
      </c>
      <c r="D5138" s="43" t="s">
        <v>5480</v>
      </c>
      <c r="E5138" s="43" t="s">
        <v>336</v>
      </c>
    </row>
    <row r="5139" spans="1:5" x14ac:dyDescent="0.25">
      <c r="A5139" s="41">
        <v>17729</v>
      </c>
      <c r="B5139" s="42" t="s">
        <v>5509</v>
      </c>
      <c r="C5139" s="43" t="s">
        <v>289</v>
      </c>
      <c r="D5139" s="43" t="s">
        <v>3733</v>
      </c>
      <c r="E5139" s="43" t="s">
        <v>336</v>
      </c>
    </row>
    <row r="5140" spans="1:5" x14ac:dyDescent="0.25">
      <c r="A5140" s="41">
        <v>17730</v>
      </c>
      <c r="B5140" s="42" t="s">
        <v>5510</v>
      </c>
      <c r="C5140" s="43" t="s">
        <v>289</v>
      </c>
      <c r="D5140" s="43" t="s">
        <v>5480</v>
      </c>
      <c r="E5140" s="43" t="s">
        <v>336</v>
      </c>
    </row>
    <row r="5141" spans="1:5" x14ac:dyDescent="0.25">
      <c r="A5141" s="41">
        <v>17731</v>
      </c>
      <c r="B5141" s="42" t="s">
        <v>5511</v>
      </c>
      <c r="C5141" s="43" t="s">
        <v>289</v>
      </c>
      <c r="D5141" s="43" t="s">
        <v>3754</v>
      </c>
      <c r="E5141" s="43" t="s">
        <v>336</v>
      </c>
    </row>
    <row r="5142" spans="1:5" x14ac:dyDescent="0.25">
      <c r="A5142" s="41">
        <v>17732</v>
      </c>
      <c r="B5142" s="42" t="s">
        <v>5512</v>
      </c>
      <c r="C5142" s="43" t="s">
        <v>289</v>
      </c>
      <c r="D5142" s="43" t="s">
        <v>1112</v>
      </c>
      <c r="E5142" s="43" t="s">
        <v>464</v>
      </c>
    </row>
    <row r="5143" spans="1:5" x14ac:dyDescent="0.25">
      <c r="A5143" s="41">
        <v>17733</v>
      </c>
      <c r="B5143" s="42" t="s">
        <v>5513</v>
      </c>
      <c r="C5143" s="43" t="s">
        <v>289</v>
      </c>
      <c r="D5143" s="43" t="s">
        <v>996</v>
      </c>
      <c r="E5143" s="43" t="s">
        <v>769</v>
      </c>
    </row>
    <row r="5144" spans="1:5" x14ac:dyDescent="0.25">
      <c r="A5144" s="41">
        <v>17734</v>
      </c>
      <c r="B5144" s="42" t="s">
        <v>5380</v>
      </c>
      <c r="C5144" s="43" t="s">
        <v>289</v>
      </c>
      <c r="D5144" s="43" t="s">
        <v>1112</v>
      </c>
      <c r="E5144" s="43" t="s">
        <v>464</v>
      </c>
    </row>
    <row r="5145" spans="1:5" x14ac:dyDescent="0.25">
      <c r="A5145" s="41">
        <v>17735</v>
      </c>
      <c r="B5145" s="42" t="s">
        <v>5514</v>
      </c>
      <c r="C5145" s="43" t="s">
        <v>289</v>
      </c>
      <c r="D5145" s="43" t="s">
        <v>1112</v>
      </c>
      <c r="E5145" s="43" t="s">
        <v>464</v>
      </c>
    </row>
    <row r="5146" spans="1:5" x14ac:dyDescent="0.25">
      <c r="A5146" s="41">
        <v>17736</v>
      </c>
      <c r="B5146" s="42" t="s">
        <v>5515</v>
      </c>
      <c r="C5146" s="43" t="s">
        <v>289</v>
      </c>
      <c r="D5146" s="43" t="s">
        <v>1112</v>
      </c>
      <c r="E5146" s="43" t="s">
        <v>464</v>
      </c>
    </row>
    <row r="5147" spans="1:5" x14ac:dyDescent="0.25">
      <c r="A5147" s="41">
        <v>17737</v>
      </c>
      <c r="B5147" s="42" t="s">
        <v>5516</v>
      </c>
      <c r="C5147" s="43" t="s">
        <v>289</v>
      </c>
      <c r="D5147" s="43" t="s">
        <v>1112</v>
      </c>
      <c r="E5147" s="43" t="s">
        <v>464</v>
      </c>
    </row>
    <row r="5148" spans="1:5" x14ac:dyDescent="0.25">
      <c r="A5148" s="41">
        <v>17739</v>
      </c>
      <c r="B5148" s="42" t="s">
        <v>5517</v>
      </c>
      <c r="C5148" s="43" t="s">
        <v>289</v>
      </c>
      <c r="D5148" s="43" t="s">
        <v>941</v>
      </c>
      <c r="E5148" s="43" t="s">
        <v>769</v>
      </c>
    </row>
    <row r="5149" spans="1:5" x14ac:dyDescent="0.25">
      <c r="A5149" s="41">
        <v>17740</v>
      </c>
      <c r="B5149" s="42" t="s">
        <v>5518</v>
      </c>
      <c r="C5149" s="43" t="s">
        <v>289</v>
      </c>
      <c r="D5149" s="43" t="s">
        <v>996</v>
      </c>
      <c r="E5149" s="43" t="s">
        <v>230</v>
      </c>
    </row>
    <row r="5150" spans="1:5" x14ac:dyDescent="0.25">
      <c r="A5150" s="41">
        <v>17741</v>
      </c>
      <c r="B5150" s="42" t="s">
        <v>5519</v>
      </c>
      <c r="C5150" s="43" t="s">
        <v>289</v>
      </c>
      <c r="D5150" s="43" t="s">
        <v>996</v>
      </c>
      <c r="E5150" s="43" t="s">
        <v>454</v>
      </c>
    </row>
    <row r="5151" spans="1:5" x14ac:dyDescent="0.25">
      <c r="A5151" s="41">
        <v>17742</v>
      </c>
      <c r="B5151" s="42" t="s">
        <v>5520</v>
      </c>
      <c r="C5151" s="43" t="s">
        <v>289</v>
      </c>
      <c r="D5151" s="43" t="s">
        <v>996</v>
      </c>
      <c r="E5151" s="43" t="s">
        <v>230</v>
      </c>
    </row>
    <row r="5152" spans="1:5" x14ac:dyDescent="0.25">
      <c r="A5152" s="41">
        <v>17743</v>
      </c>
      <c r="B5152" s="42" t="s">
        <v>5521</v>
      </c>
      <c r="C5152" s="43" t="s">
        <v>289</v>
      </c>
      <c r="D5152" s="43" t="s">
        <v>314</v>
      </c>
      <c r="E5152" s="43" t="s">
        <v>354</v>
      </c>
    </row>
    <row r="5153" spans="1:5" x14ac:dyDescent="0.25">
      <c r="A5153" s="41">
        <v>17751</v>
      </c>
      <c r="B5153" s="42" t="s">
        <v>5522</v>
      </c>
      <c r="C5153" s="43" t="s">
        <v>289</v>
      </c>
      <c r="D5153" s="43" t="s">
        <v>499</v>
      </c>
      <c r="E5153" s="43" t="s">
        <v>472</v>
      </c>
    </row>
    <row r="5154" spans="1:5" x14ac:dyDescent="0.25">
      <c r="A5154" s="41">
        <v>17754</v>
      </c>
      <c r="B5154" s="42" t="s">
        <v>5523</v>
      </c>
      <c r="C5154" s="43" t="s">
        <v>289</v>
      </c>
      <c r="D5154" s="43" t="s">
        <v>499</v>
      </c>
      <c r="E5154" s="43" t="s">
        <v>472</v>
      </c>
    </row>
    <row r="5155" spans="1:5" x14ac:dyDescent="0.25">
      <c r="A5155" s="41">
        <v>17756</v>
      </c>
      <c r="B5155" s="42" t="s">
        <v>5524</v>
      </c>
      <c r="C5155" s="43" t="s">
        <v>289</v>
      </c>
      <c r="D5155" s="43" t="s">
        <v>327</v>
      </c>
      <c r="E5155" s="43" t="s">
        <v>230</v>
      </c>
    </row>
    <row r="5156" spans="1:5" x14ac:dyDescent="0.25">
      <c r="A5156" s="41">
        <v>17758</v>
      </c>
      <c r="B5156" s="42" t="s">
        <v>5525</v>
      </c>
      <c r="C5156" s="43" t="s">
        <v>289</v>
      </c>
      <c r="D5156" s="43" t="s">
        <v>327</v>
      </c>
      <c r="E5156" s="43" t="s">
        <v>230</v>
      </c>
    </row>
    <row r="5157" spans="1:5" x14ac:dyDescent="0.25">
      <c r="A5157" s="41">
        <v>17761</v>
      </c>
      <c r="B5157" s="42" t="s">
        <v>5526</v>
      </c>
      <c r="C5157" s="43" t="s">
        <v>289</v>
      </c>
      <c r="D5157" s="43" t="s">
        <v>941</v>
      </c>
      <c r="E5157" s="43" t="s">
        <v>464</v>
      </c>
    </row>
    <row r="5158" spans="1:5" x14ac:dyDescent="0.25">
      <c r="A5158" s="41">
        <v>17762</v>
      </c>
      <c r="B5158" s="42" t="s">
        <v>5527</v>
      </c>
      <c r="C5158" s="43" t="s">
        <v>289</v>
      </c>
      <c r="D5158" s="43" t="s">
        <v>327</v>
      </c>
      <c r="E5158" s="43" t="s">
        <v>464</v>
      </c>
    </row>
    <row r="5159" spans="1:5" x14ac:dyDescent="0.25">
      <c r="A5159" s="41">
        <v>17763</v>
      </c>
      <c r="B5159" s="42" t="s">
        <v>5528</v>
      </c>
      <c r="C5159" s="43" t="s">
        <v>289</v>
      </c>
      <c r="D5159" s="43" t="s">
        <v>941</v>
      </c>
      <c r="E5159" s="43" t="s">
        <v>454</v>
      </c>
    </row>
    <row r="5160" spans="1:5" x14ac:dyDescent="0.25">
      <c r="A5160" s="41">
        <v>17764</v>
      </c>
      <c r="B5160" s="42" t="s">
        <v>5529</v>
      </c>
      <c r="C5160" s="43" t="s">
        <v>289</v>
      </c>
      <c r="D5160" s="43" t="s">
        <v>941</v>
      </c>
      <c r="E5160" s="43" t="s">
        <v>230</v>
      </c>
    </row>
    <row r="5161" spans="1:5" x14ac:dyDescent="0.25">
      <c r="A5161" s="41">
        <v>17765</v>
      </c>
      <c r="B5161" s="42" t="s">
        <v>5530</v>
      </c>
      <c r="C5161" s="43" t="s">
        <v>289</v>
      </c>
      <c r="D5161" s="43" t="s">
        <v>474</v>
      </c>
      <c r="E5161" s="43" t="s">
        <v>373</v>
      </c>
    </row>
    <row r="5162" spans="1:5" x14ac:dyDescent="0.25">
      <c r="A5162" s="41">
        <v>17766</v>
      </c>
      <c r="B5162" s="42" t="s">
        <v>5531</v>
      </c>
      <c r="C5162" s="43" t="s">
        <v>289</v>
      </c>
      <c r="D5162" s="43" t="s">
        <v>316</v>
      </c>
      <c r="E5162" s="43" t="s">
        <v>336</v>
      </c>
    </row>
    <row r="5163" spans="1:5" x14ac:dyDescent="0.25">
      <c r="A5163" s="41">
        <v>17767</v>
      </c>
      <c r="B5163" s="42" t="s">
        <v>5532</v>
      </c>
      <c r="C5163" s="43" t="s">
        <v>289</v>
      </c>
      <c r="D5163" s="43" t="s">
        <v>316</v>
      </c>
      <c r="E5163" s="43" t="s">
        <v>336</v>
      </c>
    </row>
    <row r="5164" spans="1:5" x14ac:dyDescent="0.25">
      <c r="A5164" s="41">
        <v>17768</v>
      </c>
      <c r="B5164" s="42" t="s">
        <v>5533</v>
      </c>
      <c r="C5164" s="43" t="s">
        <v>289</v>
      </c>
      <c r="D5164" s="43" t="s">
        <v>316</v>
      </c>
      <c r="E5164" s="43" t="s">
        <v>336</v>
      </c>
    </row>
    <row r="5165" spans="1:5" x14ac:dyDescent="0.25">
      <c r="A5165" s="41">
        <v>17769</v>
      </c>
      <c r="B5165" s="42" t="s">
        <v>5534</v>
      </c>
      <c r="C5165" s="43" t="s">
        <v>289</v>
      </c>
      <c r="D5165" s="43" t="s">
        <v>908</v>
      </c>
      <c r="E5165" s="43" t="s">
        <v>454</v>
      </c>
    </row>
    <row r="5166" spans="1:5" x14ac:dyDescent="0.25">
      <c r="A5166" s="41">
        <v>17770</v>
      </c>
      <c r="B5166" s="42" t="s">
        <v>5535</v>
      </c>
      <c r="C5166" s="43" t="s">
        <v>289</v>
      </c>
      <c r="D5166" s="43" t="s">
        <v>908</v>
      </c>
      <c r="E5166" s="43" t="s">
        <v>454</v>
      </c>
    </row>
    <row r="5167" spans="1:5" x14ac:dyDescent="0.25">
      <c r="A5167" s="41">
        <v>17771</v>
      </c>
      <c r="B5167" s="42" t="s">
        <v>5536</v>
      </c>
      <c r="C5167" s="43" t="s">
        <v>289</v>
      </c>
      <c r="D5167" s="43" t="s">
        <v>1138</v>
      </c>
      <c r="E5167" s="43" t="s">
        <v>230</v>
      </c>
    </row>
    <row r="5168" spans="1:5" x14ac:dyDescent="0.25">
      <c r="A5168" s="41">
        <v>17772</v>
      </c>
      <c r="B5168" s="42" t="s">
        <v>5537</v>
      </c>
      <c r="C5168" s="43" t="s">
        <v>289</v>
      </c>
      <c r="D5168" s="43" t="s">
        <v>1138</v>
      </c>
      <c r="E5168" s="43" t="s">
        <v>230</v>
      </c>
    </row>
    <row r="5169" spans="1:5" x14ac:dyDescent="0.25">
      <c r="A5169" s="41">
        <v>17773</v>
      </c>
      <c r="B5169" s="42" t="s">
        <v>5538</v>
      </c>
      <c r="C5169" s="43" t="s">
        <v>289</v>
      </c>
      <c r="D5169" s="43" t="s">
        <v>996</v>
      </c>
      <c r="E5169" s="43" t="s">
        <v>769</v>
      </c>
    </row>
    <row r="5170" spans="1:5" x14ac:dyDescent="0.25">
      <c r="A5170" s="41">
        <v>17774</v>
      </c>
      <c r="B5170" s="42" t="s">
        <v>5539</v>
      </c>
      <c r="C5170" s="43" t="s">
        <v>289</v>
      </c>
      <c r="D5170" s="43" t="s">
        <v>996</v>
      </c>
      <c r="E5170" s="43" t="s">
        <v>769</v>
      </c>
    </row>
    <row r="5171" spans="1:5" x14ac:dyDescent="0.25">
      <c r="A5171" s="41">
        <v>17775</v>
      </c>
      <c r="B5171" s="42" t="s">
        <v>5540</v>
      </c>
      <c r="C5171" s="43" t="s">
        <v>289</v>
      </c>
      <c r="D5171" s="43" t="s">
        <v>996</v>
      </c>
      <c r="E5171" s="43" t="s">
        <v>769</v>
      </c>
    </row>
    <row r="5172" spans="1:5" x14ac:dyDescent="0.25">
      <c r="A5172" s="41">
        <v>17777</v>
      </c>
      <c r="B5172" s="42" t="s">
        <v>5541</v>
      </c>
      <c r="C5172" s="43" t="s">
        <v>289</v>
      </c>
      <c r="D5172" s="43" t="s">
        <v>941</v>
      </c>
      <c r="E5172" s="43" t="s">
        <v>454</v>
      </c>
    </row>
    <row r="5173" spans="1:5" x14ac:dyDescent="0.25">
      <c r="A5173" s="41">
        <v>17778</v>
      </c>
      <c r="B5173" s="42" t="s">
        <v>5542</v>
      </c>
      <c r="C5173" s="43" t="s">
        <v>289</v>
      </c>
      <c r="D5173" s="43" t="s">
        <v>474</v>
      </c>
      <c r="E5173" s="43" t="s">
        <v>230</v>
      </c>
    </row>
    <row r="5174" spans="1:5" x14ac:dyDescent="0.25">
      <c r="A5174" s="41">
        <v>17780</v>
      </c>
      <c r="B5174" s="42" t="s">
        <v>5543</v>
      </c>
      <c r="C5174" s="43" t="s">
        <v>289</v>
      </c>
      <c r="D5174" s="43" t="s">
        <v>474</v>
      </c>
      <c r="E5174" s="43" t="s">
        <v>531</v>
      </c>
    </row>
    <row r="5175" spans="1:5" x14ac:dyDescent="0.25">
      <c r="A5175" s="41">
        <v>17781</v>
      </c>
      <c r="B5175" s="42" t="s">
        <v>5544</v>
      </c>
      <c r="C5175" s="43" t="s">
        <v>289</v>
      </c>
      <c r="D5175" s="43" t="s">
        <v>438</v>
      </c>
      <c r="E5175" s="43" t="s">
        <v>230</v>
      </c>
    </row>
    <row r="5176" spans="1:5" x14ac:dyDescent="0.25">
      <c r="A5176" s="41">
        <v>17783</v>
      </c>
      <c r="B5176" s="42" t="s">
        <v>5545</v>
      </c>
      <c r="C5176" s="43" t="s">
        <v>289</v>
      </c>
      <c r="D5176" s="43" t="s">
        <v>438</v>
      </c>
      <c r="E5176" s="43" t="s">
        <v>230</v>
      </c>
    </row>
    <row r="5177" spans="1:5" x14ac:dyDescent="0.25">
      <c r="A5177" s="41">
        <v>17784</v>
      </c>
      <c r="B5177" s="42" t="s">
        <v>5546</v>
      </c>
      <c r="C5177" s="43" t="s">
        <v>289</v>
      </c>
      <c r="D5177" s="43" t="s">
        <v>438</v>
      </c>
      <c r="E5177" s="43" t="s">
        <v>230</v>
      </c>
    </row>
    <row r="5178" spans="1:5" x14ac:dyDescent="0.25">
      <c r="A5178" s="41">
        <v>17785</v>
      </c>
      <c r="B5178" s="42" t="s">
        <v>5547</v>
      </c>
      <c r="C5178" s="43" t="s">
        <v>289</v>
      </c>
      <c r="D5178" s="43" t="s">
        <v>1658</v>
      </c>
      <c r="E5178" s="43" t="s">
        <v>464</v>
      </c>
    </row>
    <row r="5179" spans="1:5" x14ac:dyDescent="0.25">
      <c r="A5179" s="41">
        <v>17786</v>
      </c>
      <c r="B5179" s="42" t="s">
        <v>5548</v>
      </c>
      <c r="C5179" s="43" t="s">
        <v>289</v>
      </c>
      <c r="D5179" s="43" t="s">
        <v>1112</v>
      </c>
      <c r="E5179" s="43" t="s">
        <v>464</v>
      </c>
    </row>
    <row r="5180" spans="1:5" x14ac:dyDescent="0.25">
      <c r="A5180" s="41">
        <v>17787</v>
      </c>
      <c r="B5180" s="42" t="s">
        <v>5549</v>
      </c>
      <c r="C5180" s="43" t="s">
        <v>289</v>
      </c>
      <c r="D5180" s="43" t="s">
        <v>996</v>
      </c>
      <c r="E5180" s="43" t="s">
        <v>769</v>
      </c>
    </row>
    <row r="5181" spans="1:5" x14ac:dyDescent="0.25">
      <c r="A5181" s="41">
        <v>17789</v>
      </c>
      <c r="B5181" s="42" t="s">
        <v>5550</v>
      </c>
      <c r="C5181" s="43" t="s">
        <v>289</v>
      </c>
      <c r="D5181" s="43" t="s">
        <v>290</v>
      </c>
      <c r="E5181" s="43" t="s">
        <v>230</v>
      </c>
    </row>
    <row r="5182" spans="1:5" x14ac:dyDescent="0.25">
      <c r="A5182" s="41">
        <v>17790</v>
      </c>
      <c r="B5182" s="42" t="s">
        <v>5551</v>
      </c>
      <c r="C5182" s="43" t="s">
        <v>289</v>
      </c>
      <c r="D5182" s="43" t="s">
        <v>290</v>
      </c>
      <c r="E5182" s="43" t="s">
        <v>230</v>
      </c>
    </row>
    <row r="5183" spans="1:5" x14ac:dyDescent="0.25">
      <c r="A5183" s="41">
        <v>17791</v>
      </c>
      <c r="B5183" s="42" t="s">
        <v>5552</v>
      </c>
      <c r="C5183" s="43" t="s">
        <v>289</v>
      </c>
      <c r="D5183" s="43" t="s">
        <v>290</v>
      </c>
      <c r="E5183" s="43" t="s">
        <v>230</v>
      </c>
    </row>
    <row r="5184" spans="1:5" x14ac:dyDescent="0.25">
      <c r="A5184" s="41">
        <v>17792</v>
      </c>
      <c r="B5184" s="42" t="s">
        <v>5553</v>
      </c>
      <c r="C5184" s="43" t="s">
        <v>289</v>
      </c>
      <c r="D5184" s="43" t="s">
        <v>290</v>
      </c>
      <c r="E5184" s="43" t="s">
        <v>230</v>
      </c>
    </row>
    <row r="5185" spans="1:5" x14ac:dyDescent="0.25">
      <c r="A5185" s="41">
        <v>17793</v>
      </c>
      <c r="B5185" s="42" t="s">
        <v>5554</v>
      </c>
      <c r="C5185" s="43" t="s">
        <v>289</v>
      </c>
      <c r="D5185" s="43" t="s">
        <v>1112</v>
      </c>
      <c r="E5185" s="43" t="s">
        <v>230</v>
      </c>
    </row>
    <row r="5186" spans="1:5" x14ac:dyDescent="0.25">
      <c r="A5186" s="41">
        <v>17794</v>
      </c>
      <c r="B5186" s="42" t="s">
        <v>5555</v>
      </c>
      <c r="C5186" s="43" t="s">
        <v>289</v>
      </c>
      <c r="D5186" s="43" t="s">
        <v>1112</v>
      </c>
      <c r="E5186" s="43" t="s">
        <v>230</v>
      </c>
    </row>
    <row r="5187" spans="1:5" x14ac:dyDescent="0.25">
      <c r="A5187" s="41">
        <v>17795</v>
      </c>
      <c r="B5187" s="42" t="s">
        <v>5556</v>
      </c>
      <c r="C5187" s="43" t="s">
        <v>289</v>
      </c>
      <c r="D5187" s="43" t="s">
        <v>1112</v>
      </c>
      <c r="E5187" s="43" t="s">
        <v>230</v>
      </c>
    </row>
    <row r="5188" spans="1:5" x14ac:dyDescent="0.25">
      <c r="A5188" s="41">
        <v>17796</v>
      </c>
      <c r="B5188" s="42" t="s">
        <v>5557</v>
      </c>
      <c r="C5188" s="43" t="s">
        <v>289</v>
      </c>
      <c r="D5188" s="43" t="s">
        <v>1112</v>
      </c>
      <c r="E5188" s="43" t="s">
        <v>230</v>
      </c>
    </row>
    <row r="5189" spans="1:5" x14ac:dyDescent="0.25">
      <c r="A5189" s="41">
        <v>17797</v>
      </c>
      <c r="B5189" s="42" t="s">
        <v>5558</v>
      </c>
      <c r="C5189" s="43" t="s">
        <v>289</v>
      </c>
      <c r="D5189" s="43" t="s">
        <v>996</v>
      </c>
      <c r="E5189" s="43" t="s">
        <v>336</v>
      </c>
    </row>
    <row r="5190" spans="1:5" x14ac:dyDescent="0.25">
      <c r="A5190" s="41">
        <v>17798</v>
      </c>
      <c r="B5190" s="42" t="s">
        <v>5559</v>
      </c>
      <c r="C5190" s="43" t="s">
        <v>289</v>
      </c>
      <c r="D5190" s="43" t="s">
        <v>996</v>
      </c>
      <c r="E5190" s="43" t="s">
        <v>230</v>
      </c>
    </row>
    <row r="5191" spans="1:5" x14ac:dyDescent="0.25">
      <c r="A5191" s="41">
        <v>17799</v>
      </c>
      <c r="B5191" s="42" t="s">
        <v>5560</v>
      </c>
      <c r="C5191" s="43" t="s">
        <v>289</v>
      </c>
      <c r="D5191" s="43" t="s">
        <v>996</v>
      </c>
      <c r="E5191" s="43" t="s">
        <v>336</v>
      </c>
    </row>
    <row r="5192" spans="1:5" x14ac:dyDescent="0.25">
      <c r="A5192" s="41">
        <v>17800</v>
      </c>
      <c r="B5192" s="42" t="s">
        <v>5561</v>
      </c>
      <c r="C5192" s="43" t="s">
        <v>289</v>
      </c>
      <c r="D5192" s="43" t="s">
        <v>996</v>
      </c>
      <c r="E5192" s="43" t="s">
        <v>230</v>
      </c>
    </row>
    <row r="5193" spans="1:5" x14ac:dyDescent="0.25">
      <c r="A5193" s="41">
        <v>17801</v>
      </c>
      <c r="B5193" s="42" t="s">
        <v>5562</v>
      </c>
      <c r="C5193" s="43" t="s">
        <v>289</v>
      </c>
      <c r="D5193" s="43" t="s">
        <v>5324</v>
      </c>
      <c r="E5193" s="43" t="s">
        <v>454</v>
      </c>
    </row>
    <row r="5194" spans="1:5" x14ac:dyDescent="0.25">
      <c r="A5194" s="41">
        <v>17802</v>
      </c>
      <c r="B5194" s="42" t="s">
        <v>5563</v>
      </c>
      <c r="C5194" s="43" t="s">
        <v>289</v>
      </c>
      <c r="D5194" s="43" t="s">
        <v>316</v>
      </c>
      <c r="E5194" s="43" t="s">
        <v>454</v>
      </c>
    </row>
    <row r="5195" spans="1:5" x14ac:dyDescent="0.25">
      <c r="A5195" s="41">
        <v>17803</v>
      </c>
      <c r="B5195" s="42" t="s">
        <v>5564</v>
      </c>
      <c r="C5195" s="43" t="s">
        <v>289</v>
      </c>
      <c r="D5195" s="43" t="s">
        <v>1112</v>
      </c>
      <c r="E5195" s="43" t="s">
        <v>464</v>
      </c>
    </row>
    <row r="5196" spans="1:5" x14ac:dyDescent="0.25">
      <c r="A5196" s="41">
        <v>17804</v>
      </c>
      <c r="B5196" s="42" t="s">
        <v>5565</v>
      </c>
      <c r="C5196" s="43" t="s">
        <v>289</v>
      </c>
      <c r="D5196" s="43" t="s">
        <v>5480</v>
      </c>
      <c r="E5196" s="43" t="s">
        <v>230</v>
      </c>
    </row>
    <row r="5197" spans="1:5" x14ac:dyDescent="0.25">
      <c r="A5197" s="41">
        <v>17805</v>
      </c>
      <c r="B5197" s="42" t="s">
        <v>5566</v>
      </c>
      <c r="C5197" s="43" t="s">
        <v>289</v>
      </c>
      <c r="D5197" s="43" t="s">
        <v>3733</v>
      </c>
      <c r="E5197" s="43" t="s">
        <v>230</v>
      </c>
    </row>
    <row r="5198" spans="1:5" x14ac:dyDescent="0.25">
      <c r="A5198" s="41">
        <v>17806</v>
      </c>
      <c r="B5198" s="42" t="s">
        <v>3930</v>
      </c>
      <c r="C5198" s="43" t="s">
        <v>289</v>
      </c>
      <c r="D5198" s="43" t="s">
        <v>3733</v>
      </c>
      <c r="E5198" s="43" t="s">
        <v>230</v>
      </c>
    </row>
    <row r="5199" spans="1:5" x14ac:dyDescent="0.25">
      <c r="A5199" s="41">
        <v>17807</v>
      </c>
      <c r="B5199" s="42" t="s">
        <v>5567</v>
      </c>
      <c r="C5199" s="43" t="s">
        <v>289</v>
      </c>
      <c r="D5199" s="43" t="s">
        <v>5480</v>
      </c>
      <c r="E5199" s="43" t="s">
        <v>230</v>
      </c>
    </row>
    <row r="5200" spans="1:5" x14ac:dyDescent="0.25">
      <c r="A5200" s="41">
        <v>17808</v>
      </c>
      <c r="B5200" s="42" t="s">
        <v>5568</v>
      </c>
      <c r="C5200" s="43" t="s">
        <v>289</v>
      </c>
      <c r="D5200" s="43" t="s">
        <v>694</v>
      </c>
      <c r="E5200" s="43" t="s">
        <v>230</v>
      </c>
    </row>
    <row r="5201" spans="1:5" x14ac:dyDescent="0.25">
      <c r="A5201" s="41">
        <v>17809</v>
      </c>
      <c r="B5201" s="42" t="s">
        <v>5569</v>
      </c>
      <c r="C5201" s="43" t="s">
        <v>289</v>
      </c>
      <c r="D5201" s="43" t="s">
        <v>5570</v>
      </c>
      <c r="E5201" s="43" t="s">
        <v>769</v>
      </c>
    </row>
    <row r="5202" spans="1:5" x14ac:dyDescent="0.25">
      <c r="A5202" s="41">
        <v>17810</v>
      </c>
      <c r="B5202" s="42" t="s">
        <v>5571</v>
      </c>
      <c r="C5202" s="43" t="s">
        <v>289</v>
      </c>
      <c r="D5202" s="43" t="s">
        <v>5570</v>
      </c>
      <c r="E5202" s="43" t="s">
        <v>769</v>
      </c>
    </row>
    <row r="5203" spans="1:5" x14ac:dyDescent="0.25">
      <c r="A5203" s="41">
        <v>17811</v>
      </c>
      <c r="B5203" s="42" t="s">
        <v>5572</v>
      </c>
      <c r="C5203" s="43" t="s">
        <v>289</v>
      </c>
      <c r="D5203" s="43" t="s">
        <v>333</v>
      </c>
      <c r="E5203" s="43" t="s">
        <v>230</v>
      </c>
    </row>
    <row r="5204" spans="1:5" x14ac:dyDescent="0.25">
      <c r="A5204" s="41">
        <v>17812</v>
      </c>
      <c r="B5204" s="42" t="s">
        <v>5573</v>
      </c>
      <c r="C5204" s="43" t="s">
        <v>289</v>
      </c>
      <c r="D5204" s="43" t="s">
        <v>333</v>
      </c>
      <c r="E5204" s="43" t="s">
        <v>230</v>
      </c>
    </row>
    <row r="5205" spans="1:5" x14ac:dyDescent="0.25">
      <c r="A5205" s="41">
        <v>17821</v>
      </c>
      <c r="B5205" s="42" t="s">
        <v>5574</v>
      </c>
      <c r="C5205" s="43" t="s">
        <v>289</v>
      </c>
      <c r="D5205" s="43" t="s">
        <v>433</v>
      </c>
      <c r="E5205" s="43" t="s">
        <v>230</v>
      </c>
    </row>
    <row r="5206" spans="1:5" x14ac:dyDescent="0.25">
      <c r="A5206" s="41">
        <v>17822</v>
      </c>
      <c r="B5206" s="42" t="s">
        <v>5575</v>
      </c>
      <c r="C5206" s="43" t="s">
        <v>289</v>
      </c>
      <c r="D5206" s="43" t="s">
        <v>433</v>
      </c>
      <c r="E5206" s="43" t="s">
        <v>230</v>
      </c>
    </row>
    <row r="5207" spans="1:5" x14ac:dyDescent="0.25">
      <c r="A5207" s="41">
        <v>17823</v>
      </c>
      <c r="B5207" s="42" t="s">
        <v>5576</v>
      </c>
      <c r="C5207" s="43" t="s">
        <v>289</v>
      </c>
      <c r="D5207" s="43" t="s">
        <v>1112</v>
      </c>
      <c r="E5207" s="43" t="s">
        <v>464</v>
      </c>
    </row>
    <row r="5208" spans="1:5" x14ac:dyDescent="0.25">
      <c r="A5208" s="41">
        <v>17824</v>
      </c>
      <c r="B5208" s="42" t="s">
        <v>5577</v>
      </c>
      <c r="C5208" s="43" t="s">
        <v>289</v>
      </c>
      <c r="D5208" s="43" t="s">
        <v>1112</v>
      </c>
      <c r="E5208" s="43" t="s">
        <v>464</v>
      </c>
    </row>
    <row r="5209" spans="1:5" x14ac:dyDescent="0.25">
      <c r="A5209" s="41">
        <v>17825</v>
      </c>
      <c r="B5209" s="42" t="s">
        <v>5578</v>
      </c>
      <c r="C5209" s="43" t="s">
        <v>289</v>
      </c>
      <c r="D5209" s="43" t="s">
        <v>996</v>
      </c>
      <c r="E5209" s="43" t="s">
        <v>864</v>
      </c>
    </row>
    <row r="5210" spans="1:5" x14ac:dyDescent="0.25">
      <c r="A5210" s="41">
        <v>17826</v>
      </c>
      <c r="B5210" s="42" t="s">
        <v>5579</v>
      </c>
      <c r="C5210" s="43" t="s">
        <v>289</v>
      </c>
      <c r="D5210" s="43" t="s">
        <v>2334</v>
      </c>
      <c r="E5210" s="43" t="s">
        <v>464</v>
      </c>
    </row>
    <row r="5211" spans="1:5" x14ac:dyDescent="0.25">
      <c r="A5211" s="41">
        <v>17827</v>
      </c>
      <c r="B5211" s="42" t="s">
        <v>5580</v>
      </c>
      <c r="C5211" s="43" t="s">
        <v>289</v>
      </c>
      <c r="D5211" s="43" t="s">
        <v>314</v>
      </c>
      <c r="E5211" s="43" t="s">
        <v>464</v>
      </c>
    </row>
    <row r="5212" spans="1:5" x14ac:dyDescent="0.25">
      <c r="A5212" s="41">
        <v>17828</v>
      </c>
      <c r="B5212" s="42" t="s">
        <v>5581</v>
      </c>
      <c r="C5212" s="43" t="s">
        <v>289</v>
      </c>
      <c r="D5212" s="43" t="s">
        <v>314</v>
      </c>
      <c r="E5212" s="43" t="s">
        <v>464</v>
      </c>
    </row>
    <row r="5213" spans="1:5" x14ac:dyDescent="0.25">
      <c r="A5213" s="41">
        <v>17829</v>
      </c>
      <c r="B5213" s="42" t="s">
        <v>5582</v>
      </c>
      <c r="C5213" s="43" t="s">
        <v>289</v>
      </c>
      <c r="D5213" s="43" t="s">
        <v>635</v>
      </c>
      <c r="E5213" s="43" t="s">
        <v>464</v>
      </c>
    </row>
    <row r="5214" spans="1:5" x14ac:dyDescent="0.25">
      <c r="A5214" s="41">
        <v>17830</v>
      </c>
      <c r="B5214" s="42" t="s">
        <v>5583</v>
      </c>
      <c r="C5214" s="43" t="s">
        <v>289</v>
      </c>
      <c r="D5214" s="43" t="s">
        <v>635</v>
      </c>
      <c r="E5214" s="43" t="s">
        <v>464</v>
      </c>
    </row>
    <row r="5215" spans="1:5" x14ac:dyDescent="0.25">
      <c r="A5215" s="41">
        <v>17831</v>
      </c>
      <c r="B5215" s="42" t="s">
        <v>5584</v>
      </c>
      <c r="C5215" s="43" t="s">
        <v>289</v>
      </c>
      <c r="D5215" s="43" t="s">
        <v>635</v>
      </c>
      <c r="E5215" s="43" t="s">
        <v>464</v>
      </c>
    </row>
    <row r="5216" spans="1:5" x14ac:dyDescent="0.25">
      <c r="A5216" s="41">
        <v>17841</v>
      </c>
      <c r="B5216" s="42" t="s">
        <v>5585</v>
      </c>
      <c r="C5216" s="43" t="s">
        <v>289</v>
      </c>
      <c r="D5216" s="43" t="s">
        <v>996</v>
      </c>
      <c r="E5216" s="43" t="s">
        <v>230</v>
      </c>
    </row>
    <row r="5217" spans="1:5" x14ac:dyDescent="0.25">
      <c r="A5217" s="41">
        <v>17842</v>
      </c>
      <c r="B5217" s="42" t="s">
        <v>5586</v>
      </c>
      <c r="C5217" s="43" t="s">
        <v>289</v>
      </c>
      <c r="D5217" s="43" t="s">
        <v>996</v>
      </c>
      <c r="E5217" s="43" t="s">
        <v>4605</v>
      </c>
    </row>
    <row r="5218" spans="1:5" x14ac:dyDescent="0.25">
      <c r="A5218" s="41">
        <v>17843</v>
      </c>
      <c r="B5218" s="42" t="s">
        <v>5587</v>
      </c>
      <c r="C5218" s="43" t="s">
        <v>289</v>
      </c>
      <c r="D5218" s="43" t="s">
        <v>996</v>
      </c>
      <c r="E5218" s="43" t="s">
        <v>4605</v>
      </c>
    </row>
    <row r="5219" spans="1:5" x14ac:dyDescent="0.25">
      <c r="A5219" s="41">
        <v>17844</v>
      </c>
      <c r="B5219" s="42" t="s">
        <v>5588</v>
      </c>
      <c r="C5219" s="43" t="s">
        <v>289</v>
      </c>
      <c r="D5219" s="43" t="s">
        <v>316</v>
      </c>
      <c r="E5219" s="43" t="s">
        <v>454</v>
      </c>
    </row>
    <row r="5220" spans="1:5" x14ac:dyDescent="0.25">
      <c r="A5220" s="41">
        <v>17846</v>
      </c>
      <c r="B5220" s="42" t="s">
        <v>5589</v>
      </c>
      <c r="C5220" s="43" t="s">
        <v>289</v>
      </c>
      <c r="D5220" s="43" t="s">
        <v>433</v>
      </c>
      <c r="E5220" s="43" t="s">
        <v>4605</v>
      </c>
    </row>
    <row r="5221" spans="1:5" x14ac:dyDescent="0.25">
      <c r="A5221" s="41">
        <v>17847</v>
      </c>
      <c r="B5221" s="42" t="s">
        <v>5590</v>
      </c>
      <c r="C5221" s="43" t="s">
        <v>289</v>
      </c>
      <c r="D5221" s="43" t="s">
        <v>314</v>
      </c>
      <c r="E5221" s="43" t="s">
        <v>230</v>
      </c>
    </row>
    <row r="5222" spans="1:5" x14ac:dyDescent="0.25">
      <c r="A5222" s="41">
        <v>17848</v>
      </c>
      <c r="B5222" s="42" t="s">
        <v>5591</v>
      </c>
      <c r="C5222" s="43" t="s">
        <v>289</v>
      </c>
      <c r="D5222" s="43" t="s">
        <v>314</v>
      </c>
      <c r="E5222" s="43" t="s">
        <v>230</v>
      </c>
    </row>
    <row r="5223" spans="1:5" x14ac:dyDescent="0.25">
      <c r="A5223" s="41">
        <v>17849</v>
      </c>
      <c r="B5223" s="42" t="s">
        <v>5592</v>
      </c>
      <c r="C5223" s="43" t="s">
        <v>289</v>
      </c>
      <c r="D5223" s="43" t="s">
        <v>410</v>
      </c>
      <c r="E5223" s="43" t="s">
        <v>230</v>
      </c>
    </row>
    <row r="5224" spans="1:5" x14ac:dyDescent="0.25">
      <c r="A5224" s="41">
        <v>17850</v>
      </c>
      <c r="B5224" s="42" t="s">
        <v>5593</v>
      </c>
      <c r="C5224" s="43" t="s">
        <v>289</v>
      </c>
      <c r="D5224" s="43" t="s">
        <v>410</v>
      </c>
      <c r="E5224" s="43" t="s">
        <v>230</v>
      </c>
    </row>
    <row r="5225" spans="1:5" x14ac:dyDescent="0.25">
      <c r="A5225" s="41">
        <v>17852</v>
      </c>
      <c r="B5225" s="42" t="s">
        <v>5594</v>
      </c>
      <c r="C5225" s="43" t="s">
        <v>289</v>
      </c>
      <c r="D5225" s="43" t="s">
        <v>333</v>
      </c>
      <c r="E5225" s="43" t="s">
        <v>230</v>
      </c>
    </row>
    <row r="5226" spans="1:5" x14ac:dyDescent="0.25">
      <c r="A5226" s="41">
        <v>17853</v>
      </c>
      <c r="B5226" s="42" t="s">
        <v>5595</v>
      </c>
      <c r="C5226" s="43" t="s">
        <v>289</v>
      </c>
      <c r="D5226" s="43" t="s">
        <v>1088</v>
      </c>
      <c r="E5226" s="43" t="s">
        <v>769</v>
      </c>
    </row>
    <row r="5227" spans="1:5" x14ac:dyDescent="0.25">
      <c r="A5227" s="41">
        <v>17856</v>
      </c>
      <c r="B5227" s="42" t="s">
        <v>5596</v>
      </c>
      <c r="C5227" s="43" t="s">
        <v>289</v>
      </c>
      <c r="D5227" s="43" t="s">
        <v>1100</v>
      </c>
      <c r="E5227" s="43" t="s">
        <v>230</v>
      </c>
    </row>
    <row r="5228" spans="1:5" x14ac:dyDescent="0.25">
      <c r="A5228" s="41">
        <v>17857</v>
      </c>
      <c r="B5228" s="42" t="s">
        <v>5597</v>
      </c>
      <c r="C5228" s="43" t="s">
        <v>289</v>
      </c>
      <c r="D5228" s="43" t="s">
        <v>333</v>
      </c>
      <c r="E5228" s="43" t="s">
        <v>373</v>
      </c>
    </row>
    <row r="5229" spans="1:5" x14ac:dyDescent="0.25">
      <c r="A5229" s="41">
        <v>17861</v>
      </c>
      <c r="B5229" s="42" t="s">
        <v>5598</v>
      </c>
      <c r="C5229" s="43" t="s">
        <v>289</v>
      </c>
      <c r="D5229" s="43" t="s">
        <v>410</v>
      </c>
      <c r="E5229" s="43" t="s">
        <v>230</v>
      </c>
    </row>
    <row r="5230" spans="1:5" x14ac:dyDescent="0.25">
      <c r="A5230" s="41">
        <v>17862</v>
      </c>
      <c r="B5230" s="42" t="s">
        <v>5599</v>
      </c>
      <c r="C5230" s="43" t="s">
        <v>289</v>
      </c>
      <c r="D5230" s="43" t="s">
        <v>410</v>
      </c>
      <c r="E5230" s="43" t="s">
        <v>230</v>
      </c>
    </row>
    <row r="5231" spans="1:5" x14ac:dyDescent="0.25">
      <c r="A5231" s="41">
        <v>17863</v>
      </c>
      <c r="B5231" s="42" t="s">
        <v>5600</v>
      </c>
      <c r="C5231" s="43" t="s">
        <v>289</v>
      </c>
      <c r="D5231" s="43" t="s">
        <v>410</v>
      </c>
      <c r="E5231" s="43" t="s">
        <v>230</v>
      </c>
    </row>
    <row r="5232" spans="1:5" x14ac:dyDescent="0.25">
      <c r="A5232" s="41">
        <v>17865</v>
      </c>
      <c r="B5232" s="42" t="s">
        <v>5601</v>
      </c>
      <c r="C5232" s="43" t="s">
        <v>289</v>
      </c>
      <c r="D5232" s="43" t="s">
        <v>410</v>
      </c>
      <c r="E5232" s="43" t="s">
        <v>230</v>
      </c>
    </row>
    <row r="5233" spans="1:5" x14ac:dyDescent="0.25">
      <c r="A5233" s="41">
        <v>17867</v>
      </c>
      <c r="B5233" s="42" t="s">
        <v>5602</v>
      </c>
      <c r="C5233" s="43" t="s">
        <v>289</v>
      </c>
      <c r="D5233" s="43" t="s">
        <v>1112</v>
      </c>
      <c r="E5233" s="43" t="s">
        <v>464</v>
      </c>
    </row>
    <row r="5234" spans="1:5" x14ac:dyDescent="0.25">
      <c r="A5234" s="41">
        <v>17868</v>
      </c>
      <c r="B5234" s="42" t="s">
        <v>5603</v>
      </c>
      <c r="C5234" s="43" t="s">
        <v>289</v>
      </c>
      <c r="D5234" s="43" t="s">
        <v>316</v>
      </c>
      <c r="E5234" s="43" t="s">
        <v>454</v>
      </c>
    </row>
    <row r="5235" spans="1:5" x14ac:dyDescent="0.25">
      <c r="A5235" s="41">
        <v>17869</v>
      </c>
      <c r="B5235" s="42" t="s">
        <v>5604</v>
      </c>
      <c r="C5235" s="43" t="s">
        <v>289</v>
      </c>
      <c r="D5235" s="43" t="s">
        <v>316</v>
      </c>
      <c r="E5235" s="43" t="s">
        <v>454</v>
      </c>
    </row>
    <row r="5236" spans="1:5" x14ac:dyDescent="0.25">
      <c r="A5236" s="41">
        <v>17870</v>
      </c>
      <c r="B5236" s="42" t="s">
        <v>5605</v>
      </c>
      <c r="C5236" s="43" t="s">
        <v>289</v>
      </c>
      <c r="D5236" s="43" t="s">
        <v>433</v>
      </c>
      <c r="E5236" s="43" t="s">
        <v>230</v>
      </c>
    </row>
    <row r="5237" spans="1:5" x14ac:dyDescent="0.25">
      <c r="A5237" s="41">
        <v>17871</v>
      </c>
      <c r="B5237" s="42" t="s">
        <v>5606</v>
      </c>
      <c r="C5237" s="43" t="s">
        <v>289</v>
      </c>
      <c r="D5237" s="43" t="s">
        <v>433</v>
      </c>
      <c r="E5237" s="43" t="s">
        <v>230</v>
      </c>
    </row>
    <row r="5238" spans="1:5" x14ac:dyDescent="0.25">
      <c r="A5238" s="41">
        <v>17872</v>
      </c>
      <c r="B5238" s="42" t="s">
        <v>5607</v>
      </c>
      <c r="C5238" s="43" t="s">
        <v>289</v>
      </c>
      <c r="D5238" s="43" t="s">
        <v>433</v>
      </c>
      <c r="E5238" s="43" t="s">
        <v>230</v>
      </c>
    </row>
    <row r="5239" spans="1:5" x14ac:dyDescent="0.25">
      <c r="A5239" s="41">
        <v>17873</v>
      </c>
      <c r="B5239" s="42" t="s">
        <v>5608</v>
      </c>
      <c r="C5239" s="43" t="s">
        <v>289</v>
      </c>
      <c r="D5239" s="43" t="s">
        <v>433</v>
      </c>
      <c r="E5239" s="43" t="s">
        <v>230</v>
      </c>
    </row>
    <row r="5240" spans="1:5" x14ac:dyDescent="0.25">
      <c r="A5240" s="41">
        <v>17875</v>
      </c>
      <c r="B5240" s="42" t="s">
        <v>5609</v>
      </c>
      <c r="C5240" s="43" t="s">
        <v>289</v>
      </c>
      <c r="D5240" s="43" t="s">
        <v>845</v>
      </c>
      <c r="E5240" s="43" t="s">
        <v>766</v>
      </c>
    </row>
    <row r="5241" spans="1:5" x14ac:dyDescent="0.25">
      <c r="A5241" s="41">
        <v>17876</v>
      </c>
      <c r="B5241" s="42" t="s">
        <v>5610</v>
      </c>
      <c r="C5241" s="43" t="s">
        <v>289</v>
      </c>
      <c r="D5241" s="43" t="s">
        <v>845</v>
      </c>
      <c r="E5241" s="43" t="s">
        <v>766</v>
      </c>
    </row>
    <row r="5242" spans="1:5" x14ac:dyDescent="0.25">
      <c r="A5242" s="41">
        <v>17877</v>
      </c>
      <c r="B5242" s="42" t="s">
        <v>5611</v>
      </c>
      <c r="C5242" s="43" t="s">
        <v>289</v>
      </c>
      <c r="D5242" s="43" t="s">
        <v>845</v>
      </c>
      <c r="E5242" s="43" t="s">
        <v>766</v>
      </c>
    </row>
    <row r="5243" spans="1:5" x14ac:dyDescent="0.25">
      <c r="A5243" s="41">
        <v>17878</v>
      </c>
      <c r="B5243" s="42" t="s">
        <v>5612</v>
      </c>
      <c r="C5243" s="43" t="s">
        <v>289</v>
      </c>
      <c r="D5243" s="43" t="s">
        <v>941</v>
      </c>
      <c r="E5243" s="43" t="s">
        <v>464</v>
      </c>
    </row>
    <row r="5244" spans="1:5" x14ac:dyDescent="0.25">
      <c r="A5244" s="41">
        <v>17879</v>
      </c>
      <c r="B5244" s="42" t="s">
        <v>5613</v>
      </c>
      <c r="C5244" s="43" t="s">
        <v>289</v>
      </c>
      <c r="D5244" s="43" t="s">
        <v>1112</v>
      </c>
      <c r="E5244" s="43" t="s">
        <v>464</v>
      </c>
    </row>
    <row r="5245" spans="1:5" x14ac:dyDescent="0.25">
      <c r="A5245" s="41">
        <v>17880</v>
      </c>
      <c r="B5245" s="42" t="s">
        <v>5614</v>
      </c>
      <c r="C5245" s="43" t="s">
        <v>289</v>
      </c>
      <c r="D5245" s="43" t="s">
        <v>1112</v>
      </c>
      <c r="E5245" s="43" t="s">
        <v>464</v>
      </c>
    </row>
    <row r="5246" spans="1:5" x14ac:dyDescent="0.25">
      <c r="A5246" s="41">
        <v>17881</v>
      </c>
      <c r="B5246" s="42" t="s">
        <v>5615</v>
      </c>
      <c r="C5246" s="43" t="s">
        <v>289</v>
      </c>
      <c r="D5246" s="43" t="s">
        <v>1112</v>
      </c>
      <c r="E5246" s="43" t="s">
        <v>464</v>
      </c>
    </row>
    <row r="5247" spans="1:5" x14ac:dyDescent="0.25">
      <c r="A5247" s="41">
        <v>17882</v>
      </c>
      <c r="B5247" s="42" t="s">
        <v>5616</v>
      </c>
      <c r="C5247" s="43" t="s">
        <v>289</v>
      </c>
      <c r="D5247" s="43" t="s">
        <v>1112</v>
      </c>
      <c r="E5247" s="43" t="s">
        <v>464</v>
      </c>
    </row>
    <row r="5248" spans="1:5" x14ac:dyDescent="0.25">
      <c r="A5248" s="41">
        <v>17883</v>
      </c>
      <c r="B5248" s="42" t="s">
        <v>5617</v>
      </c>
      <c r="C5248" s="43" t="s">
        <v>289</v>
      </c>
      <c r="D5248" s="43" t="s">
        <v>1112</v>
      </c>
      <c r="E5248" s="43" t="s">
        <v>464</v>
      </c>
    </row>
    <row r="5249" spans="1:5" x14ac:dyDescent="0.25">
      <c r="A5249" s="41">
        <v>17884</v>
      </c>
      <c r="B5249" s="42" t="s">
        <v>5618</v>
      </c>
      <c r="C5249" s="43" t="s">
        <v>289</v>
      </c>
      <c r="D5249" s="43" t="s">
        <v>433</v>
      </c>
      <c r="E5249" s="43" t="s">
        <v>454</v>
      </c>
    </row>
    <row r="5250" spans="1:5" x14ac:dyDescent="0.25">
      <c r="A5250" s="41">
        <v>17885</v>
      </c>
      <c r="B5250" s="42" t="s">
        <v>5619</v>
      </c>
      <c r="C5250" s="43" t="s">
        <v>289</v>
      </c>
      <c r="D5250" s="43" t="s">
        <v>433</v>
      </c>
      <c r="E5250" s="43" t="s">
        <v>454</v>
      </c>
    </row>
    <row r="5251" spans="1:5" x14ac:dyDescent="0.25">
      <c r="A5251" s="41">
        <v>17886</v>
      </c>
      <c r="B5251" s="42" t="s">
        <v>5620</v>
      </c>
      <c r="C5251" s="43" t="s">
        <v>289</v>
      </c>
      <c r="D5251" s="43" t="s">
        <v>316</v>
      </c>
      <c r="E5251" s="43" t="s">
        <v>336</v>
      </c>
    </row>
    <row r="5252" spans="1:5" x14ac:dyDescent="0.25">
      <c r="A5252" s="41">
        <v>17887</v>
      </c>
      <c r="B5252" s="42" t="s">
        <v>5621</v>
      </c>
      <c r="C5252" s="43" t="s">
        <v>289</v>
      </c>
      <c r="D5252" s="43" t="s">
        <v>316</v>
      </c>
      <c r="E5252" s="43" t="s">
        <v>336</v>
      </c>
    </row>
    <row r="5253" spans="1:5" x14ac:dyDescent="0.25">
      <c r="A5253" s="41">
        <v>17888</v>
      </c>
      <c r="B5253" s="42" t="s">
        <v>5622</v>
      </c>
      <c r="C5253" s="43" t="s">
        <v>289</v>
      </c>
      <c r="D5253" s="43" t="s">
        <v>316</v>
      </c>
      <c r="E5253" s="43" t="s">
        <v>336</v>
      </c>
    </row>
    <row r="5254" spans="1:5" x14ac:dyDescent="0.25">
      <c r="A5254" s="41">
        <v>17890</v>
      </c>
      <c r="B5254" s="42" t="s">
        <v>5623</v>
      </c>
      <c r="C5254" s="43" t="s">
        <v>289</v>
      </c>
      <c r="D5254" s="43" t="s">
        <v>1112</v>
      </c>
      <c r="E5254" s="43" t="s">
        <v>464</v>
      </c>
    </row>
    <row r="5255" spans="1:5" x14ac:dyDescent="0.25">
      <c r="A5255" s="41">
        <v>17892</v>
      </c>
      <c r="B5255" s="42" t="s">
        <v>5624</v>
      </c>
      <c r="C5255" s="43" t="s">
        <v>289</v>
      </c>
      <c r="D5255" s="43" t="s">
        <v>4329</v>
      </c>
      <c r="E5255" s="43" t="s">
        <v>769</v>
      </c>
    </row>
    <row r="5256" spans="1:5" x14ac:dyDescent="0.25">
      <c r="A5256" s="41">
        <v>17902</v>
      </c>
      <c r="B5256" s="42" t="s">
        <v>5625</v>
      </c>
      <c r="C5256" s="43" t="s">
        <v>289</v>
      </c>
      <c r="D5256" s="43" t="s">
        <v>290</v>
      </c>
      <c r="E5256" s="43" t="s">
        <v>230</v>
      </c>
    </row>
    <row r="5257" spans="1:5" x14ac:dyDescent="0.25">
      <c r="A5257" s="41">
        <v>17903</v>
      </c>
      <c r="B5257" s="42" t="s">
        <v>5626</v>
      </c>
      <c r="C5257" s="43" t="s">
        <v>289</v>
      </c>
      <c r="D5257" s="43" t="s">
        <v>290</v>
      </c>
      <c r="E5257" s="43" t="s">
        <v>230</v>
      </c>
    </row>
    <row r="5258" spans="1:5" x14ac:dyDescent="0.25">
      <c r="A5258" s="41">
        <v>17917</v>
      </c>
      <c r="B5258" s="42" t="s">
        <v>5627</v>
      </c>
      <c r="C5258" s="43" t="s">
        <v>289</v>
      </c>
      <c r="D5258" s="43" t="s">
        <v>499</v>
      </c>
      <c r="E5258" s="43" t="s">
        <v>472</v>
      </c>
    </row>
    <row r="5259" spans="1:5" x14ac:dyDescent="0.25">
      <c r="A5259" s="41">
        <v>17945</v>
      </c>
      <c r="B5259" s="42" t="s">
        <v>5628</v>
      </c>
      <c r="C5259" s="43" t="s">
        <v>289</v>
      </c>
      <c r="D5259" s="43" t="s">
        <v>1112</v>
      </c>
      <c r="E5259" s="43" t="s">
        <v>464</v>
      </c>
    </row>
    <row r="5260" spans="1:5" x14ac:dyDescent="0.25">
      <c r="A5260" s="41">
        <v>17947</v>
      </c>
      <c r="B5260" s="42" t="s">
        <v>5629</v>
      </c>
      <c r="C5260" s="43" t="s">
        <v>289</v>
      </c>
      <c r="D5260" s="43" t="s">
        <v>1112</v>
      </c>
      <c r="E5260" s="43" t="s">
        <v>769</v>
      </c>
    </row>
    <row r="5261" spans="1:5" x14ac:dyDescent="0.25">
      <c r="A5261" s="41">
        <v>17948</v>
      </c>
      <c r="B5261" s="42" t="s">
        <v>5630</v>
      </c>
      <c r="C5261" s="43" t="s">
        <v>289</v>
      </c>
      <c r="D5261" s="43" t="s">
        <v>1112</v>
      </c>
      <c r="E5261" s="43" t="s">
        <v>230</v>
      </c>
    </row>
    <row r="5262" spans="1:5" x14ac:dyDescent="0.25">
      <c r="A5262" s="41">
        <v>17949</v>
      </c>
      <c r="B5262" s="42" t="s">
        <v>5631</v>
      </c>
      <c r="C5262" s="43" t="s">
        <v>289</v>
      </c>
      <c r="D5262" s="43" t="s">
        <v>1112</v>
      </c>
      <c r="E5262" s="43" t="s">
        <v>464</v>
      </c>
    </row>
    <row r="5263" spans="1:5" x14ac:dyDescent="0.25">
      <c r="A5263" s="41">
        <v>17950</v>
      </c>
      <c r="B5263" s="42" t="s">
        <v>5632</v>
      </c>
      <c r="C5263" s="43" t="s">
        <v>289</v>
      </c>
      <c r="D5263" s="43" t="s">
        <v>316</v>
      </c>
      <c r="E5263" s="43" t="s">
        <v>230</v>
      </c>
    </row>
    <row r="5264" spans="1:5" x14ac:dyDescent="0.25">
      <c r="A5264" s="41">
        <v>17951</v>
      </c>
      <c r="B5264" s="42" t="s">
        <v>5633</v>
      </c>
      <c r="C5264" s="43" t="s">
        <v>289</v>
      </c>
      <c r="D5264" s="43" t="s">
        <v>316</v>
      </c>
      <c r="E5264" s="43" t="s">
        <v>230</v>
      </c>
    </row>
    <row r="5265" spans="1:5" x14ac:dyDescent="0.25">
      <c r="A5265" s="41">
        <v>17952</v>
      </c>
      <c r="B5265" s="42" t="s">
        <v>5634</v>
      </c>
      <c r="C5265" s="43" t="s">
        <v>289</v>
      </c>
      <c r="D5265" s="43" t="s">
        <v>316</v>
      </c>
      <c r="E5265" s="43" t="s">
        <v>230</v>
      </c>
    </row>
    <row r="5266" spans="1:5" x14ac:dyDescent="0.25">
      <c r="A5266" s="41">
        <v>17953</v>
      </c>
      <c r="B5266" s="42" t="s">
        <v>5635</v>
      </c>
      <c r="C5266" s="43" t="s">
        <v>289</v>
      </c>
      <c r="D5266" s="43" t="s">
        <v>316</v>
      </c>
      <c r="E5266" s="43" t="s">
        <v>230</v>
      </c>
    </row>
    <row r="5267" spans="1:5" x14ac:dyDescent="0.25">
      <c r="A5267" s="41">
        <v>17954</v>
      </c>
      <c r="B5267" s="42" t="s">
        <v>5636</v>
      </c>
      <c r="C5267" s="43" t="s">
        <v>289</v>
      </c>
      <c r="D5267" s="43" t="s">
        <v>509</v>
      </c>
      <c r="E5267" s="43" t="s">
        <v>769</v>
      </c>
    </row>
    <row r="5268" spans="1:5" x14ac:dyDescent="0.25">
      <c r="A5268" s="41">
        <v>17955</v>
      </c>
      <c r="B5268" s="42" t="s">
        <v>5637</v>
      </c>
      <c r="C5268" s="43" t="s">
        <v>289</v>
      </c>
      <c r="D5268" s="43" t="s">
        <v>509</v>
      </c>
      <c r="E5268" s="43" t="s">
        <v>769</v>
      </c>
    </row>
    <row r="5269" spans="1:5" x14ac:dyDescent="0.25">
      <c r="A5269" s="41">
        <v>17956</v>
      </c>
      <c r="B5269" s="42" t="s">
        <v>5638</v>
      </c>
      <c r="C5269" s="43" t="s">
        <v>289</v>
      </c>
      <c r="D5269" s="43" t="s">
        <v>509</v>
      </c>
      <c r="E5269" s="43" t="s">
        <v>769</v>
      </c>
    </row>
    <row r="5270" spans="1:5" x14ac:dyDescent="0.25">
      <c r="A5270" s="41">
        <v>17957</v>
      </c>
      <c r="B5270" s="42" t="s">
        <v>5639</v>
      </c>
      <c r="C5270" s="43" t="s">
        <v>289</v>
      </c>
      <c r="D5270" s="43" t="s">
        <v>509</v>
      </c>
      <c r="E5270" s="43" t="s">
        <v>769</v>
      </c>
    </row>
    <row r="5271" spans="1:5" x14ac:dyDescent="0.25">
      <c r="A5271" s="41">
        <v>17958</v>
      </c>
      <c r="B5271" s="42" t="s">
        <v>5640</v>
      </c>
      <c r="C5271" s="43" t="s">
        <v>289</v>
      </c>
      <c r="D5271" s="43" t="s">
        <v>509</v>
      </c>
      <c r="E5271" s="43" t="s">
        <v>769</v>
      </c>
    </row>
    <row r="5272" spans="1:5" x14ac:dyDescent="0.25">
      <c r="A5272" s="41">
        <v>17959</v>
      </c>
      <c r="B5272" s="42" t="s">
        <v>5641</v>
      </c>
      <c r="C5272" s="43" t="s">
        <v>289</v>
      </c>
      <c r="D5272" s="43" t="s">
        <v>509</v>
      </c>
      <c r="E5272" s="43" t="s">
        <v>769</v>
      </c>
    </row>
    <row r="5273" spans="1:5" x14ac:dyDescent="0.25">
      <c r="A5273" s="41">
        <v>17960</v>
      </c>
      <c r="B5273" s="42" t="s">
        <v>5642</v>
      </c>
      <c r="C5273" s="43" t="s">
        <v>289</v>
      </c>
      <c r="D5273" s="43" t="s">
        <v>509</v>
      </c>
      <c r="E5273" s="43" t="s">
        <v>769</v>
      </c>
    </row>
    <row r="5274" spans="1:5" x14ac:dyDescent="0.25">
      <c r="A5274" s="41">
        <v>17961</v>
      </c>
      <c r="B5274" s="42" t="s">
        <v>5643</v>
      </c>
      <c r="C5274" s="43" t="s">
        <v>289</v>
      </c>
      <c r="D5274" s="43" t="s">
        <v>509</v>
      </c>
      <c r="E5274" s="43" t="s">
        <v>769</v>
      </c>
    </row>
    <row r="5275" spans="1:5" x14ac:dyDescent="0.25">
      <c r="A5275" s="41">
        <v>17962</v>
      </c>
      <c r="B5275" s="42" t="s">
        <v>5644</v>
      </c>
      <c r="C5275" s="43" t="s">
        <v>289</v>
      </c>
      <c r="D5275" s="43" t="s">
        <v>509</v>
      </c>
      <c r="E5275" s="43" t="s">
        <v>769</v>
      </c>
    </row>
    <row r="5276" spans="1:5" x14ac:dyDescent="0.25">
      <c r="A5276" s="41">
        <v>17963</v>
      </c>
      <c r="B5276" s="42" t="s">
        <v>5645</v>
      </c>
      <c r="C5276" s="43" t="s">
        <v>289</v>
      </c>
      <c r="D5276" s="43" t="s">
        <v>509</v>
      </c>
      <c r="E5276" s="43" t="s">
        <v>769</v>
      </c>
    </row>
    <row r="5277" spans="1:5" x14ac:dyDescent="0.25">
      <c r="A5277" s="41">
        <v>17964</v>
      </c>
      <c r="B5277" s="42" t="s">
        <v>5646</v>
      </c>
      <c r="C5277" s="43" t="s">
        <v>289</v>
      </c>
      <c r="D5277" s="43" t="s">
        <v>509</v>
      </c>
      <c r="E5277" s="43" t="s">
        <v>769</v>
      </c>
    </row>
    <row r="5278" spans="1:5" x14ac:dyDescent="0.25">
      <c r="A5278" s="41">
        <v>17965</v>
      </c>
      <c r="B5278" s="42" t="s">
        <v>5647</v>
      </c>
      <c r="C5278" s="43" t="s">
        <v>289</v>
      </c>
      <c r="D5278" s="43" t="s">
        <v>509</v>
      </c>
      <c r="E5278" s="43" t="s">
        <v>769</v>
      </c>
    </row>
    <row r="5279" spans="1:5" x14ac:dyDescent="0.25">
      <c r="A5279" s="41">
        <v>17966</v>
      </c>
      <c r="B5279" s="42" t="s">
        <v>5648</v>
      </c>
      <c r="C5279" s="43" t="s">
        <v>289</v>
      </c>
      <c r="D5279" s="43" t="s">
        <v>509</v>
      </c>
      <c r="E5279" s="43" t="s">
        <v>769</v>
      </c>
    </row>
    <row r="5280" spans="1:5" x14ac:dyDescent="0.25">
      <c r="A5280" s="41">
        <v>17967</v>
      </c>
      <c r="B5280" s="42" t="s">
        <v>5649</v>
      </c>
      <c r="C5280" s="43" t="s">
        <v>289</v>
      </c>
      <c r="D5280" s="43" t="s">
        <v>1112</v>
      </c>
      <c r="E5280" s="43" t="s">
        <v>464</v>
      </c>
    </row>
    <row r="5281" spans="1:5" x14ac:dyDescent="0.25">
      <c r="A5281" s="41">
        <v>17968</v>
      </c>
      <c r="B5281" s="42" t="s">
        <v>5650</v>
      </c>
      <c r="C5281" s="43" t="s">
        <v>289</v>
      </c>
      <c r="D5281" s="43" t="s">
        <v>1112</v>
      </c>
      <c r="E5281" s="43" t="s">
        <v>464</v>
      </c>
    </row>
    <row r="5282" spans="1:5" x14ac:dyDescent="0.25">
      <c r="A5282" s="41">
        <v>17970</v>
      </c>
      <c r="B5282" s="42" t="s">
        <v>5651</v>
      </c>
      <c r="C5282" s="43" t="s">
        <v>289</v>
      </c>
      <c r="D5282" s="43" t="s">
        <v>1112</v>
      </c>
      <c r="E5282" s="43" t="s">
        <v>464</v>
      </c>
    </row>
    <row r="5283" spans="1:5" x14ac:dyDescent="0.25">
      <c r="A5283" s="41">
        <v>17971</v>
      </c>
      <c r="B5283" s="42" t="s">
        <v>5652</v>
      </c>
      <c r="C5283" s="43" t="s">
        <v>289</v>
      </c>
      <c r="D5283" s="43" t="s">
        <v>1112</v>
      </c>
      <c r="E5283" s="43" t="s">
        <v>464</v>
      </c>
    </row>
    <row r="5284" spans="1:5" x14ac:dyDescent="0.25">
      <c r="A5284" s="41">
        <v>17972</v>
      </c>
      <c r="B5284" s="42" t="s">
        <v>5653</v>
      </c>
      <c r="C5284" s="43" t="s">
        <v>289</v>
      </c>
      <c r="D5284" s="43" t="s">
        <v>1112</v>
      </c>
      <c r="E5284" s="43" t="s">
        <v>464</v>
      </c>
    </row>
    <row r="5285" spans="1:5" x14ac:dyDescent="0.25">
      <c r="A5285" s="41">
        <v>17973</v>
      </c>
      <c r="B5285" s="42" t="s">
        <v>5654</v>
      </c>
      <c r="C5285" s="43" t="s">
        <v>289</v>
      </c>
      <c r="D5285" s="43" t="s">
        <v>1112</v>
      </c>
      <c r="E5285" s="43" t="s">
        <v>464</v>
      </c>
    </row>
    <row r="5286" spans="1:5" x14ac:dyDescent="0.25">
      <c r="A5286" s="41">
        <v>17974</v>
      </c>
      <c r="B5286" s="42" t="s">
        <v>5655</v>
      </c>
      <c r="C5286" s="43" t="s">
        <v>289</v>
      </c>
      <c r="D5286" s="43" t="s">
        <v>1112</v>
      </c>
      <c r="E5286" s="43" t="s">
        <v>464</v>
      </c>
    </row>
    <row r="5287" spans="1:5" x14ac:dyDescent="0.25">
      <c r="A5287" s="41">
        <v>17975</v>
      </c>
      <c r="B5287" s="42" t="s">
        <v>5656</v>
      </c>
      <c r="C5287" s="43" t="s">
        <v>289</v>
      </c>
      <c r="D5287" s="43" t="s">
        <v>635</v>
      </c>
      <c r="E5287" s="43" t="s">
        <v>464</v>
      </c>
    </row>
    <row r="5288" spans="1:5" x14ac:dyDescent="0.25">
      <c r="A5288" s="41">
        <v>17977</v>
      </c>
      <c r="B5288" s="42" t="s">
        <v>5657</v>
      </c>
      <c r="C5288" s="43" t="s">
        <v>289</v>
      </c>
      <c r="D5288" s="43" t="s">
        <v>635</v>
      </c>
      <c r="E5288" s="43" t="s">
        <v>464</v>
      </c>
    </row>
    <row r="5289" spans="1:5" x14ac:dyDescent="0.25">
      <c r="A5289" s="41">
        <v>17979</v>
      </c>
      <c r="B5289" s="42" t="s">
        <v>5658</v>
      </c>
      <c r="C5289" s="43" t="s">
        <v>289</v>
      </c>
      <c r="D5289" s="43" t="s">
        <v>635</v>
      </c>
      <c r="E5289" s="43" t="s">
        <v>464</v>
      </c>
    </row>
    <row r="5290" spans="1:5" x14ac:dyDescent="0.25">
      <c r="A5290" s="41">
        <v>17980</v>
      </c>
      <c r="B5290" s="42" t="s">
        <v>5659</v>
      </c>
      <c r="C5290" s="43" t="s">
        <v>289</v>
      </c>
      <c r="D5290" s="43" t="s">
        <v>635</v>
      </c>
      <c r="E5290" s="43" t="s">
        <v>464</v>
      </c>
    </row>
    <row r="5291" spans="1:5" x14ac:dyDescent="0.25">
      <c r="A5291" s="41">
        <v>17981</v>
      </c>
      <c r="B5291" s="42" t="s">
        <v>5660</v>
      </c>
      <c r="C5291" s="43" t="s">
        <v>289</v>
      </c>
      <c r="D5291" s="43" t="s">
        <v>1112</v>
      </c>
      <c r="E5291" s="43" t="s">
        <v>464</v>
      </c>
    </row>
    <row r="5292" spans="1:5" x14ac:dyDescent="0.25">
      <c r="A5292" s="41">
        <v>17982</v>
      </c>
      <c r="B5292" s="42" t="s">
        <v>5661</v>
      </c>
      <c r="C5292" s="43" t="s">
        <v>289</v>
      </c>
      <c r="D5292" s="43" t="s">
        <v>316</v>
      </c>
      <c r="E5292" s="43" t="s">
        <v>454</v>
      </c>
    </row>
    <row r="5293" spans="1:5" x14ac:dyDescent="0.25">
      <c r="A5293" s="41">
        <v>17983</v>
      </c>
      <c r="B5293" s="42" t="s">
        <v>5662</v>
      </c>
      <c r="C5293" s="43" t="s">
        <v>289</v>
      </c>
      <c r="D5293" s="43" t="s">
        <v>316</v>
      </c>
      <c r="E5293" s="43" t="s">
        <v>454</v>
      </c>
    </row>
    <row r="5294" spans="1:5" x14ac:dyDescent="0.25">
      <c r="A5294" s="41">
        <v>17984</v>
      </c>
      <c r="B5294" s="42" t="s">
        <v>5663</v>
      </c>
      <c r="C5294" s="43" t="s">
        <v>289</v>
      </c>
      <c r="D5294" s="43" t="s">
        <v>316</v>
      </c>
      <c r="E5294" s="43" t="s">
        <v>336</v>
      </c>
    </row>
    <row r="5295" spans="1:5" x14ac:dyDescent="0.25">
      <c r="A5295" s="41">
        <v>17985</v>
      </c>
      <c r="B5295" s="42" t="s">
        <v>5664</v>
      </c>
      <c r="C5295" s="43" t="s">
        <v>289</v>
      </c>
      <c r="D5295" s="43" t="s">
        <v>316</v>
      </c>
      <c r="E5295" s="43" t="s">
        <v>336</v>
      </c>
    </row>
    <row r="5296" spans="1:5" x14ac:dyDescent="0.25">
      <c r="A5296" s="41">
        <v>17987</v>
      </c>
      <c r="B5296" s="42" t="s">
        <v>5665</v>
      </c>
      <c r="C5296" s="43" t="s">
        <v>289</v>
      </c>
      <c r="D5296" s="43" t="s">
        <v>316</v>
      </c>
      <c r="E5296" s="43" t="s">
        <v>336</v>
      </c>
    </row>
    <row r="5297" spans="1:5" x14ac:dyDescent="0.25">
      <c r="A5297" s="41">
        <v>17988</v>
      </c>
      <c r="B5297" s="42" t="s">
        <v>5666</v>
      </c>
      <c r="C5297" s="43" t="s">
        <v>289</v>
      </c>
      <c r="D5297" s="43" t="s">
        <v>316</v>
      </c>
      <c r="E5297" s="43" t="s">
        <v>454</v>
      </c>
    </row>
    <row r="5298" spans="1:5" x14ac:dyDescent="0.25">
      <c r="A5298" s="41">
        <v>17989</v>
      </c>
      <c r="B5298" s="42" t="s">
        <v>5667</v>
      </c>
      <c r="C5298" s="43" t="s">
        <v>289</v>
      </c>
      <c r="D5298" s="43" t="s">
        <v>3754</v>
      </c>
      <c r="E5298" s="43" t="s">
        <v>769</v>
      </c>
    </row>
    <row r="5299" spans="1:5" x14ac:dyDescent="0.25">
      <c r="A5299" s="41">
        <v>17991</v>
      </c>
      <c r="B5299" s="42" t="s">
        <v>5668</v>
      </c>
      <c r="C5299" s="43" t="s">
        <v>289</v>
      </c>
      <c r="D5299" s="43" t="s">
        <v>1112</v>
      </c>
      <c r="E5299" s="43" t="s">
        <v>230</v>
      </c>
    </row>
    <row r="5300" spans="1:5" x14ac:dyDescent="0.25">
      <c r="A5300" s="41">
        <v>17992</v>
      </c>
      <c r="B5300" s="42" t="s">
        <v>5669</v>
      </c>
      <c r="C5300" s="43" t="s">
        <v>289</v>
      </c>
      <c r="D5300" s="43" t="s">
        <v>1112</v>
      </c>
      <c r="E5300" s="43" t="s">
        <v>230</v>
      </c>
    </row>
    <row r="5301" spans="1:5" x14ac:dyDescent="0.25">
      <c r="A5301" s="41">
        <v>17993</v>
      </c>
      <c r="B5301" s="42" t="s">
        <v>5670</v>
      </c>
      <c r="C5301" s="43" t="s">
        <v>289</v>
      </c>
      <c r="D5301" s="43" t="s">
        <v>1112</v>
      </c>
      <c r="E5301" s="43" t="s">
        <v>230</v>
      </c>
    </row>
    <row r="5302" spans="1:5" x14ac:dyDescent="0.25">
      <c r="A5302" s="41">
        <v>17994</v>
      </c>
      <c r="B5302" s="42" t="s">
        <v>5671</v>
      </c>
      <c r="C5302" s="43" t="s">
        <v>289</v>
      </c>
      <c r="D5302" s="43" t="s">
        <v>1112</v>
      </c>
      <c r="E5302" s="43" t="s">
        <v>230</v>
      </c>
    </row>
    <row r="5303" spans="1:5" x14ac:dyDescent="0.25">
      <c r="A5303" s="41">
        <v>17995</v>
      </c>
      <c r="B5303" s="42" t="s">
        <v>5672</v>
      </c>
      <c r="C5303" s="43" t="s">
        <v>289</v>
      </c>
      <c r="D5303" s="43" t="s">
        <v>1112</v>
      </c>
      <c r="E5303" s="43" t="s">
        <v>230</v>
      </c>
    </row>
    <row r="5304" spans="1:5" x14ac:dyDescent="0.25">
      <c r="A5304" s="41">
        <v>17996</v>
      </c>
      <c r="B5304" s="42" t="s">
        <v>5673</v>
      </c>
      <c r="C5304" s="43" t="s">
        <v>289</v>
      </c>
      <c r="D5304" s="43" t="s">
        <v>1112</v>
      </c>
      <c r="E5304" s="43" t="s">
        <v>230</v>
      </c>
    </row>
    <row r="5305" spans="1:5" x14ac:dyDescent="0.25">
      <c r="A5305" s="41">
        <v>17997</v>
      </c>
      <c r="B5305" s="42" t="s">
        <v>5674</v>
      </c>
      <c r="C5305" s="43" t="s">
        <v>289</v>
      </c>
      <c r="D5305" s="43" t="s">
        <v>1112</v>
      </c>
      <c r="E5305" s="43" t="s">
        <v>230</v>
      </c>
    </row>
    <row r="5306" spans="1:5" x14ac:dyDescent="0.25">
      <c r="A5306" s="41">
        <v>17999</v>
      </c>
      <c r="B5306" s="42" t="s">
        <v>5675</v>
      </c>
      <c r="C5306" s="43" t="s">
        <v>289</v>
      </c>
      <c r="D5306" s="43" t="s">
        <v>1112</v>
      </c>
      <c r="E5306" s="43" t="s">
        <v>230</v>
      </c>
    </row>
    <row r="5307" spans="1:5" x14ac:dyDescent="0.25">
      <c r="A5307" s="41">
        <v>18000</v>
      </c>
      <c r="B5307" s="42" t="s">
        <v>5676</v>
      </c>
      <c r="C5307" s="43" t="s">
        <v>289</v>
      </c>
      <c r="D5307" s="43" t="s">
        <v>1112</v>
      </c>
      <c r="E5307" s="43" t="s">
        <v>230</v>
      </c>
    </row>
    <row r="5308" spans="1:5" x14ac:dyDescent="0.25">
      <c r="A5308" s="41">
        <v>18003</v>
      </c>
      <c r="B5308" s="42" t="s">
        <v>5677</v>
      </c>
      <c r="C5308" s="43" t="s">
        <v>289</v>
      </c>
      <c r="D5308" s="43" t="s">
        <v>1112</v>
      </c>
      <c r="E5308" s="43" t="s">
        <v>230</v>
      </c>
    </row>
    <row r="5309" spans="1:5" x14ac:dyDescent="0.25">
      <c r="A5309" s="41">
        <v>18005</v>
      </c>
      <c r="B5309" s="42" t="s">
        <v>5678</v>
      </c>
      <c r="C5309" s="43" t="s">
        <v>289</v>
      </c>
      <c r="D5309" s="43" t="s">
        <v>1112</v>
      </c>
      <c r="E5309" s="43" t="s">
        <v>230</v>
      </c>
    </row>
    <row r="5310" spans="1:5" x14ac:dyDescent="0.25">
      <c r="A5310" s="41">
        <v>18006</v>
      </c>
      <c r="B5310" s="42" t="s">
        <v>5679</v>
      </c>
      <c r="C5310" s="43" t="s">
        <v>289</v>
      </c>
      <c r="D5310" s="43" t="s">
        <v>1112</v>
      </c>
      <c r="E5310" s="43" t="s">
        <v>230</v>
      </c>
    </row>
    <row r="5311" spans="1:5" x14ac:dyDescent="0.25">
      <c r="A5311" s="41">
        <v>18025</v>
      </c>
      <c r="B5311" s="42" t="s">
        <v>5680</v>
      </c>
      <c r="C5311" s="43" t="s">
        <v>289</v>
      </c>
      <c r="D5311" s="43" t="s">
        <v>316</v>
      </c>
      <c r="E5311" s="43" t="s">
        <v>230</v>
      </c>
    </row>
    <row r="5312" spans="1:5" x14ac:dyDescent="0.25">
      <c r="A5312" s="41">
        <v>18031</v>
      </c>
      <c r="B5312" s="42" t="s">
        <v>5681</v>
      </c>
      <c r="C5312" s="43" t="s">
        <v>289</v>
      </c>
      <c r="D5312" s="43" t="s">
        <v>5682</v>
      </c>
      <c r="E5312" s="43" t="s">
        <v>769</v>
      </c>
    </row>
    <row r="5313" spans="1:5" x14ac:dyDescent="0.25">
      <c r="A5313" s="41">
        <v>18038</v>
      </c>
      <c r="B5313" s="42" t="s">
        <v>5683</v>
      </c>
      <c r="C5313" s="43" t="s">
        <v>289</v>
      </c>
      <c r="D5313" s="43" t="s">
        <v>996</v>
      </c>
      <c r="E5313" s="43" t="s">
        <v>230</v>
      </c>
    </row>
    <row r="5314" spans="1:5" x14ac:dyDescent="0.25">
      <c r="A5314" s="41">
        <v>18042</v>
      </c>
      <c r="B5314" s="42" t="s">
        <v>5684</v>
      </c>
      <c r="C5314" s="43" t="s">
        <v>289</v>
      </c>
      <c r="D5314" s="43" t="s">
        <v>1112</v>
      </c>
      <c r="E5314" s="43" t="s">
        <v>230</v>
      </c>
    </row>
    <row r="5315" spans="1:5" x14ac:dyDescent="0.25">
      <c r="A5315" s="41">
        <v>18046</v>
      </c>
      <c r="B5315" s="42" t="s">
        <v>5685</v>
      </c>
      <c r="C5315" s="43" t="s">
        <v>289</v>
      </c>
      <c r="D5315" s="43" t="s">
        <v>1112</v>
      </c>
      <c r="E5315" s="43" t="s">
        <v>230</v>
      </c>
    </row>
    <row r="5316" spans="1:5" x14ac:dyDescent="0.25">
      <c r="A5316" s="41">
        <v>18051</v>
      </c>
      <c r="B5316" s="42" t="s">
        <v>5686</v>
      </c>
      <c r="C5316" s="43" t="s">
        <v>289</v>
      </c>
      <c r="D5316" s="43" t="s">
        <v>1112</v>
      </c>
      <c r="E5316" s="43" t="s">
        <v>230</v>
      </c>
    </row>
    <row r="5317" spans="1:5" x14ac:dyDescent="0.25">
      <c r="A5317" s="41">
        <v>18060</v>
      </c>
      <c r="B5317" s="42" t="s">
        <v>5687</v>
      </c>
      <c r="C5317" s="43" t="s">
        <v>289</v>
      </c>
      <c r="D5317" s="43" t="s">
        <v>1112</v>
      </c>
      <c r="E5317" s="43" t="s">
        <v>464</v>
      </c>
    </row>
    <row r="5318" spans="1:5" x14ac:dyDescent="0.25">
      <c r="A5318" s="41">
        <v>18061</v>
      </c>
      <c r="B5318" s="42" t="s">
        <v>5688</v>
      </c>
      <c r="C5318" s="43" t="s">
        <v>289</v>
      </c>
      <c r="D5318" s="43" t="s">
        <v>4116</v>
      </c>
      <c r="E5318" s="43" t="s">
        <v>230</v>
      </c>
    </row>
    <row r="5319" spans="1:5" x14ac:dyDescent="0.25">
      <c r="A5319" s="41">
        <v>18065</v>
      </c>
      <c r="B5319" s="42" t="s">
        <v>5689</v>
      </c>
      <c r="C5319" s="43" t="s">
        <v>289</v>
      </c>
      <c r="D5319" s="43" t="s">
        <v>941</v>
      </c>
      <c r="E5319" s="43" t="s">
        <v>769</v>
      </c>
    </row>
    <row r="5320" spans="1:5" x14ac:dyDescent="0.25">
      <c r="A5320" s="41">
        <v>18067</v>
      </c>
      <c r="B5320" s="42" t="s">
        <v>5690</v>
      </c>
      <c r="C5320" s="43" t="s">
        <v>289</v>
      </c>
      <c r="D5320" s="43" t="s">
        <v>941</v>
      </c>
      <c r="E5320" s="43" t="s">
        <v>769</v>
      </c>
    </row>
    <row r="5321" spans="1:5" x14ac:dyDescent="0.25">
      <c r="A5321" s="41">
        <v>18068</v>
      </c>
      <c r="B5321" s="42" t="s">
        <v>5691</v>
      </c>
      <c r="C5321" s="43" t="s">
        <v>289</v>
      </c>
      <c r="D5321" s="43" t="s">
        <v>941</v>
      </c>
      <c r="E5321" s="43" t="s">
        <v>769</v>
      </c>
    </row>
    <row r="5322" spans="1:5" x14ac:dyDescent="0.25">
      <c r="A5322" s="41">
        <v>18069</v>
      </c>
      <c r="B5322" s="42" t="s">
        <v>5692</v>
      </c>
      <c r="C5322" s="43" t="s">
        <v>289</v>
      </c>
      <c r="D5322" s="43" t="s">
        <v>3754</v>
      </c>
      <c r="E5322" s="43" t="s">
        <v>769</v>
      </c>
    </row>
    <row r="5323" spans="1:5" x14ac:dyDescent="0.25">
      <c r="A5323" s="41">
        <v>18071</v>
      </c>
      <c r="B5323" s="42" t="s">
        <v>5693</v>
      </c>
      <c r="C5323" s="43" t="s">
        <v>289</v>
      </c>
      <c r="D5323" s="43" t="s">
        <v>996</v>
      </c>
      <c r="E5323" s="43" t="s">
        <v>454</v>
      </c>
    </row>
    <row r="5324" spans="1:5" x14ac:dyDescent="0.25">
      <c r="A5324" s="41">
        <v>18072</v>
      </c>
      <c r="B5324" s="42" t="s">
        <v>5694</v>
      </c>
      <c r="C5324" s="43" t="s">
        <v>289</v>
      </c>
      <c r="D5324" s="43" t="s">
        <v>316</v>
      </c>
      <c r="E5324" s="43" t="s">
        <v>454</v>
      </c>
    </row>
    <row r="5325" spans="1:5" x14ac:dyDescent="0.25">
      <c r="A5325" s="41">
        <v>18079</v>
      </c>
      <c r="B5325" s="42" t="s">
        <v>5695</v>
      </c>
      <c r="C5325" s="43" t="s">
        <v>289</v>
      </c>
      <c r="D5325" s="43" t="s">
        <v>1112</v>
      </c>
      <c r="E5325" s="43" t="s">
        <v>769</v>
      </c>
    </row>
    <row r="5326" spans="1:5" x14ac:dyDescent="0.25">
      <c r="A5326" s="41">
        <v>18080</v>
      </c>
      <c r="B5326" s="42" t="s">
        <v>5696</v>
      </c>
      <c r="C5326" s="43" t="s">
        <v>289</v>
      </c>
      <c r="D5326" s="43" t="s">
        <v>1112</v>
      </c>
      <c r="E5326" s="43" t="s">
        <v>769</v>
      </c>
    </row>
    <row r="5327" spans="1:5" x14ac:dyDescent="0.25">
      <c r="A5327" s="41">
        <v>18083</v>
      </c>
      <c r="B5327" s="42" t="s">
        <v>5697</v>
      </c>
      <c r="C5327" s="43" t="s">
        <v>289</v>
      </c>
      <c r="D5327" s="43" t="s">
        <v>1112</v>
      </c>
      <c r="E5327" s="43" t="s">
        <v>769</v>
      </c>
    </row>
    <row r="5328" spans="1:5" x14ac:dyDescent="0.25">
      <c r="A5328" s="41">
        <v>18084</v>
      </c>
      <c r="B5328" s="42" t="s">
        <v>5698</v>
      </c>
      <c r="C5328" s="43" t="s">
        <v>289</v>
      </c>
      <c r="D5328" s="43" t="s">
        <v>1112</v>
      </c>
      <c r="E5328" s="43" t="s">
        <v>769</v>
      </c>
    </row>
    <row r="5329" spans="1:5" x14ac:dyDescent="0.25">
      <c r="A5329" s="41">
        <v>18085</v>
      </c>
      <c r="B5329" s="42" t="s">
        <v>5699</v>
      </c>
      <c r="C5329" s="43" t="s">
        <v>289</v>
      </c>
      <c r="D5329" s="43" t="s">
        <v>1112</v>
      </c>
      <c r="E5329" s="43" t="s">
        <v>769</v>
      </c>
    </row>
    <row r="5330" spans="1:5" x14ac:dyDescent="0.25">
      <c r="A5330" s="41">
        <v>18087</v>
      </c>
      <c r="B5330" s="42" t="s">
        <v>5700</v>
      </c>
      <c r="C5330" s="43" t="s">
        <v>289</v>
      </c>
      <c r="D5330" s="43" t="s">
        <v>1112</v>
      </c>
      <c r="E5330" s="43" t="s">
        <v>769</v>
      </c>
    </row>
    <row r="5331" spans="1:5" x14ac:dyDescent="0.25">
      <c r="A5331" s="41">
        <v>18091</v>
      </c>
      <c r="B5331" s="42" t="s">
        <v>5701</v>
      </c>
      <c r="C5331" s="43" t="s">
        <v>289</v>
      </c>
      <c r="D5331" s="43" t="s">
        <v>3754</v>
      </c>
      <c r="E5331" s="43" t="s">
        <v>769</v>
      </c>
    </row>
    <row r="5332" spans="1:5" x14ac:dyDescent="0.25">
      <c r="A5332" s="41">
        <v>18092</v>
      </c>
      <c r="B5332" s="42" t="s">
        <v>5702</v>
      </c>
      <c r="C5332" s="43" t="s">
        <v>289</v>
      </c>
      <c r="D5332" s="43" t="s">
        <v>996</v>
      </c>
      <c r="E5332" s="43" t="s">
        <v>230</v>
      </c>
    </row>
    <row r="5333" spans="1:5" x14ac:dyDescent="0.25">
      <c r="A5333" s="41">
        <v>18094</v>
      </c>
      <c r="B5333" s="42" t="s">
        <v>5703</v>
      </c>
      <c r="C5333" s="43" t="s">
        <v>289</v>
      </c>
      <c r="D5333" s="43" t="s">
        <v>941</v>
      </c>
      <c r="E5333" s="43" t="s">
        <v>454</v>
      </c>
    </row>
    <row r="5334" spans="1:5" x14ac:dyDescent="0.25">
      <c r="A5334" s="41">
        <v>18095</v>
      </c>
      <c r="B5334" s="42" t="s">
        <v>5704</v>
      </c>
      <c r="C5334" s="43" t="s">
        <v>289</v>
      </c>
      <c r="D5334" s="43" t="s">
        <v>499</v>
      </c>
      <c r="E5334" s="43" t="s">
        <v>230</v>
      </c>
    </row>
    <row r="5335" spans="1:5" x14ac:dyDescent="0.25">
      <c r="A5335" s="41">
        <v>18101</v>
      </c>
      <c r="B5335" s="42" t="s">
        <v>5705</v>
      </c>
      <c r="C5335" s="43" t="s">
        <v>289</v>
      </c>
      <c r="D5335" s="43" t="s">
        <v>1100</v>
      </c>
      <c r="E5335" s="43" t="s">
        <v>230</v>
      </c>
    </row>
    <row r="5336" spans="1:5" x14ac:dyDescent="0.25">
      <c r="A5336" s="41">
        <v>18104</v>
      </c>
      <c r="B5336" s="42" t="s">
        <v>5706</v>
      </c>
      <c r="C5336" s="43" t="s">
        <v>289</v>
      </c>
      <c r="D5336" s="43" t="s">
        <v>333</v>
      </c>
      <c r="E5336" s="43" t="s">
        <v>230</v>
      </c>
    </row>
    <row r="5337" spans="1:5" x14ac:dyDescent="0.25">
      <c r="A5337" s="41">
        <v>18114</v>
      </c>
      <c r="B5337" s="42" t="s">
        <v>5707</v>
      </c>
      <c r="C5337" s="43" t="s">
        <v>289</v>
      </c>
      <c r="D5337" s="43" t="s">
        <v>694</v>
      </c>
      <c r="E5337" s="43" t="s">
        <v>230</v>
      </c>
    </row>
    <row r="5338" spans="1:5" x14ac:dyDescent="0.25">
      <c r="A5338" s="41">
        <v>18115</v>
      </c>
      <c r="B5338" s="42" t="s">
        <v>5708</v>
      </c>
      <c r="C5338" s="43" t="s">
        <v>289</v>
      </c>
      <c r="D5338" s="43" t="s">
        <v>694</v>
      </c>
      <c r="E5338" s="43" t="s">
        <v>230</v>
      </c>
    </row>
    <row r="5339" spans="1:5" x14ac:dyDescent="0.25">
      <c r="A5339" s="41">
        <v>18116</v>
      </c>
      <c r="B5339" s="42" t="s">
        <v>5709</v>
      </c>
      <c r="C5339" s="43" t="s">
        <v>289</v>
      </c>
      <c r="D5339" s="43" t="s">
        <v>316</v>
      </c>
      <c r="E5339" s="43" t="s">
        <v>454</v>
      </c>
    </row>
    <row r="5340" spans="1:5" x14ac:dyDescent="0.25">
      <c r="A5340" s="41">
        <v>18117</v>
      </c>
      <c r="B5340" s="42" t="s">
        <v>5710</v>
      </c>
      <c r="C5340" s="43" t="s">
        <v>289</v>
      </c>
      <c r="D5340" s="43" t="s">
        <v>290</v>
      </c>
      <c r="E5340" s="43" t="s">
        <v>230</v>
      </c>
    </row>
    <row r="5341" spans="1:5" x14ac:dyDescent="0.25">
      <c r="A5341" s="41">
        <v>18118</v>
      </c>
      <c r="B5341" s="42" t="s">
        <v>5711</v>
      </c>
      <c r="C5341" s="43" t="s">
        <v>289</v>
      </c>
      <c r="D5341" s="43" t="s">
        <v>316</v>
      </c>
      <c r="E5341" s="43" t="s">
        <v>230</v>
      </c>
    </row>
    <row r="5342" spans="1:5" x14ac:dyDescent="0.25">
      <c r="A5342" s="41">
        <v>18120</v>
      </c>
      <c r="B5342" s="42" t="s">
        <v>5712</v>
      </c>
      <c r="C5342" s="43" t="s">
        <v>289</v>
      </c>
      <c r="D5342" s="43" t="s">
        <v>1112</v>
      </c>
      <c r="E5342" s="43" t="s">
        <v>464</v>
      </c>
    </row>
    <row r="5343" spans="1:5" x14ac:dyDescent="0.25">
      <c r="A5343" s="41">
        <v>18121</v>
      </c>
      <c r="B5343" s="42" t="s">
        <v>5713</v>
      </c>
      <c r="C5343" s="43" t="s">
        <v>289</v>
      </c>
      <c r="D5343" s="43" t="s">
        <v>1112</v>
      </c>
      <c r="E5343" s="43" t="s">
        <v>464</v>
      </c>
    </row>
    <row r="5344" spans="1:5" x14ac:dyDescent="0.25">
      <c r="A5344" s="41">
        <v>18122</v>
      </c>
      <c r="B5344" s="42" t="s">
        <v>5714</v>
      </c>
      <c r="C5344" s="43" t="s">
        <v>289</v>
      </c>
      <c r="D5344" s="43" t="s">
        <v>1112</v>
      </c>
      <c r="E5344" s="43" t="s">
        <v>464</v>
      </c>
    </row>
    <row r="5345" spans="1:5" x14ac:dyDescent="0.25">
      <c r="A5345" s="41">
        <v>18123</v>
      </c>
      <c r="B5345" s="42" t="s">
        <v>5715</v>
      </c>
      <c r="C5345" s="43" t="s">
        <v>289</v>
      </c>
      <c r="D5345" s="43" t="s">
        <v>3733</v>
      </c>
      <c r="E5345" s="43" t="s">
        <v>454</v>
      </c>
    </row>
    <row r="5346" spans="1:5" x14ac:dyDescent="0.25">
      <c r="A5346" s="41">
        <v>18131</v>
      </c>
      <c r="B5346" s="42" t="s">
        <v>5716</v>
      </c>
      <c r="C5346" s="43" t="s">
        <v>289</v>
      </c>
      <c r="D5346" s="43" t="s">
        <v>316</v>
      </c>
      <c r="E5346" s="43" t="s">
        <v>230</v>
      </c>
    </row>
    <row r="5347" spans="1:5" x14ac:dyDescent="0.25">
      <c r="A5347" s="41">
        <v>18132</v>
      </c>
      <c r="B5347" s="42" t="s">
        <v>5717</v>
      </c>
      <c r="C5347" s="43" t="s">
        <v>289</v>
      </c>
      <c r="D5347" s="43" t="s">
        <v>499</v>
      </c>
      <c r="E5347" s="43" t="s">
        <v>373</v>
      </c>
    </row>
    <row r="5348" spans="1:5" x14ac:dyDescent="0.25">
      <c r="A5348" s="41">
        <v>18133</v>
      </c>
      <c r="B5348" s="42" t="s">
        <v>5718</v>
      </c>
      <c r="C5348" s="43" t="s">
        <v>289</v>
      </c>
      <c r="D5348" s="43" t="s">
        <v>996</v>
      </c>
      <c r="E5348" s="43" t="s">
        <v>531</v>
      </c>
    </row>
    <row r="5349" spans="1:5" x14ac:dyDescent="0.25">
      <c r="A5349" s="41">
        <v>18134</v>
      </c>
      <c r="B5349" s="42" t="s">
        <v>5719</v>
      </c>
      <c r="C5349" s="43" t="s">
        <v>289</v>
      </c>
      <c r="D5349" s="43" t="s">
        <v>996</v>
      </c>
      <c r="E5349" s="43" t="s">
        <v>531</v>
      </c>
    </row>
    <row r="5350" spans="1:5" x14ac:dyDescent="0.25">
      <c r="A5350" s="41">
        <v>18135</v>
      </c>
      <c r="B5350" s="42" t="s">
        <v>5720</v>
      </c>
      <c r="C5350" s="43" t="s">
        <v>289</v>
      </c>
      <c r="D5350" s="43" t="s">
        <v>996</v>
      </c>
      <c r="E5350" s="43" t="s">
        <v>531</v>
      </c>
    </row>
    <row r="5351" spans="1:5" x14ac:dyDescent="0.25">
      <c r="A5351" s="41">
        <v>18136</v>
      </c>
      <c r="B5351" s="42" t="s">
        <v>5721</v>
      </c>
      <c r="C5351" s="43" t="s">
        <v>289</v>
      </c>
      <c r="D5351" s="43" t="s">
        <v>996</v>
      </c>
      <c r="E5351" s="43" t="s">
        <v>531</v>
      </c>
    </row>
    <row r="5352" spans="1:5" x14ac:dyDescent="0.25">
      <c r="A5352" s="41">
        <v>18137</v>
      </c>
      <c r="B5352" s="42" t="s">
        <v>5722</v>
      </c>
      <c r="C5352" s="43" t="s">
        <v>289</v>
      </c>
      <c r="D5352" s="43" t="s">
        <v>996</v>
      </c>
      <c r="E5352" s="43" t="s">
        <v>769</v>
      </c>
    </row>
    <row r="5353" spans="1:5" x14ac:dyDescent="0.25">
      <c r="A5353" s="41">
        <v>18138</v>
      </c>
      <c r="B5353" s="42" t="s">
        <v>5723</v>
      </c>
      <c r="C5353" s="43" t="s">
        <v>289</v>
      </c>
      <c r="D5353" s="43" t="s">
        <v>996</v>
      </c>
      <c r="E5353" s="43" t="s">
        <v>766</v>
      </c>
    </row>
    <row r="5354" spans="1:5" x14ac:dyDescent="0.25">
      <c r="A5354" s="41">
        <v>18139</v>
      </c>
      <c r="B5354" s="42" t="s">
        <v>5724</v>
      </c>
      <c r="C5354" s="43" t="s">
        <v>289</v>
      </c>
      <c r="D5354" s="43" t="s">
        <v>996</v>
      </c>
      <c r="E5354" s="43" t="s">
        <v>531</v>
      </c>
    </row>
    <row r="5355" spans="1:5" x14ac:dyDescent="0.25">
      <c r="A5355" s="41">
        <v>18140</v>
      </c>
      <c r="B5355" s="42" t="s">
        <v>5725</v>
      </c>
      <c r="C5355" s="43" t="s">
        <v>289</v>
      </c>
      <c r="D5355" s="43" t="s">
        <v>996</v>
      </c>
      <c r="E5355" s="43" t="s">
        <v>230</v>
      </c>
    </row>
    <row r="5356" spans="1:5" x14ac:dyDescent="0.25">
      <c r="A5356" s="41">
        <v>18142</v>
      </c>
      <c r="B5356" s="42" t="s">
        <v>5726</v>
      </c>
      <c r="C5356" s="43" t="s">
        <v>289</v>
      </c>
      <c r="D5356" s="43" t="s">
        <v>327</v>
      </c>
      <c r="E5356" s="43" t="s">
        <v>230</v>
      </c>
    </row>
    <row r="5357" spans="1:5" x14ac:dyDescent="0.25">
      <c r="A5357" s="41">
        <v>18143</v>
      </c>
      <c r="B5357" s="42" t="s">
        <v>5727</v>
      </c>
      <c r="C5357" s="43" t="s">
        <v>289</v>
      </c>
      <c r="D5357" s="43" t="s">
        <v>327</v>
      </c>
      <c r="E5357" s="43" t="s">
        <v>230</v>
      </c>
    </row>
    <row r="5358" spans="1:5" x14ac:dyDescent="0.25">
      <c r="A5358" s="41">
        <v>18144</v>
      </c>
      <c r="B5358" s="42" t="s">
        <v>5728</v>
      </c>
      <c r="C5358" s="43" t="s">
        <v>289</v>
      </c>
      <c r="D5358" s="43" t="s">
        <v>327</v>
      </c>
      <c r="E5358" s="43" t="s">
        <v>230</v>
      </c>
    </row>
    <row r="5359" spans="1:5" x14ac:dyDescent="0.25">
      <c r="A5359" s="41">
        <v>18145</v>
      </c>
      <c r="B5359" s="42" t="s">
        <v>5729</v>
      </c>
      <c r="C5359" s="43" t="s">
        <v>289</v>
      </c>
      <c r="D5359" s="43" t="s">
        <v>327</v>
      </c>
      <c r="E5359" s="43" t="s">
        <v>230</v>
      </c>
    </row>
    <row r="5360" spans="1:5" x14ac:dyDescent="0.25">
      <c r="A5360" s="41">
        <v>18146</v>
      </c>
      <c r="B5360" s="42" t="s">
        <v>5730</v>
      </c>
      <c r="C5360" s="43" t="s">
        <v>289</v>
      </c>
      <c r="D5360" s="43" t="s">
        <v>327</v>
      </c>
      <c r="E5360" s="43" t="s">
        <v>230</v>
      </c>
    </row>
    <row r="5361" spans="1:5" x14ac:dyDescent="0.25">
      <c r="A5361" s="41">
        <v>18147</v>
      </c>
      <c r="B5361" s="42" t="s">
        <v>5731</v>
      </c>
      <c r="C5361" s="43" t="s">
        <v>289</v>
      </c>
      <c r="D5361" s="43" t="s">
        <v>327</v>
      </c>
      <c r="E5361" s="43" t="s">
        <v>230</v>
      </c>
    </row>
    <row r="5362" spans="1:5" x14ac:dyDescent="0.25">
      <c r="A5362" s="41">
        <v>18148</v>
      </c>
      <c r="B5362" s="42" t="s">
        <v>5732</v>
      </c>
      <c r="C5362" s="43" t="s">
        <v>289</v>
      </c>
      <c r="D5362" s="43" t="s">
        <v>327</v>
      </c>
      <c r="E5362" s="43" t="s">
        <v>230</v>
      </c>
    </row>
    <row r="5363" spans="1:5" x14ac:dyDescent="0.25">
      <c r="A5363" s="41">
        <v>18149</v>
      </c>
      <c r="B5363" s="42" t="s">
        <v>5733</v>
      </c>
      <c r="C5363" s="43" t="s">
        <v>289</v>
      </c>
      <c r="D5363" s="43" t="s">
        <v>499</v>
      </c>
      <c r="E5363" s="43" t="s">
        <v>472</v>
      </c>
    </row>
    <row r="5364" spans="1:5" x14ac:dyDescent="0.25">
      <c r="A5364" s="41">
        <v>18151</v>
      </c>
      <c r="B5364" s="42" t="s">
        <v>5734</v>
      </c>
      <c r="C5364" s="43" t="s">
        <v>289</v>
      </c>
      <c r="D5364" s="43" t="s">
        <v>996</v>
      </c>
      <c r="E5364" s="43" t="s">
        <v>230</v>
      </c>
    </row>
    <row r="5365" spans="1:5" x14ac:dyDescent="0.25">
      <c r="A5365" s="41">
        <v>18153</v>
      </c>
      <c r="B5365" s="42" t="s">
        <v>5735</v>
      </c>
      <c r="C5365" s="43" t="s">
        <v>289</v>
      </c>
      <c r="D5365" s="43" t="s">
        <v>996</v>
      </c>
      <c r="E5365" s="43" t="s">
        <v>230</v>
      </c>
    </row>
    <row r="5366" spans="1:5" x14ac:dyDescent="0.25">
      <c r="A5366" s="41">
        <v>18154</v>
      </c>
      <c r="B5366" s="42" t="s">
        <v>5736</v>
      </c>
      <c r="C5366" s="43" t="s">
        <v>289</v>
      </c>
      <c r="D5366" s="43" t="s">
        <v>996</v>
      </c>
      <c r="E5366" s="43" t="s">
        <v>464</v>
      </c>
    </row>
    <row r="5367" spans="1:5" x14ac:dyDescent="0.25">
      <c r="A5367" s="41">
        <v>18155</v>
      </c>
      <c r="B5367" s="42" t="s">
        <v>5737</v>
      </c>
      <c r="C5367" s="43" t="s">
        <v>289</v>
      </c>
      <c r="D5367" s="43" t="s">
        <v>1112</v>
      </c>
      <c r="E5367" s="43" t="s">
        <v>464</v>
      </c>
    </row>
    <row r="5368" spans="1:5" x14ac:dyDescent="0.25">
      <c r="A5368" s="41">
        <v>18156</v>
      </c>
      <c r="B5368" s="42" t="s">
        <v>5738</v>
      </c>
      <c r="C5368" s="43" t="s">
        <v>289</v>
      </c>
      <c r="D5368" s="43" t="s">
        <v>1112</v>
      </c>
      <c r="E5368" s="43" t="s">
        <v>464</v>
      </c>
    </row>
    <row r="5369" spans="1:5" x14ac:dyDescent="0.25">
      <c r="A5369" s="41">
        <v>18157</v>
      </c>
      <c r="B5369" s="42" t="s">
        <v>5739</v>
      </c>
      <c r="C5369" s="43" t="s">
        <v>289</v>
      </c>
      <c r="D5369" s="43" t="s">
        <v>1112</v>
      </c>
      <c r="E5369" s="43" t="s">
        <v>464</v>
      </c>
    </row>
    <row r="5370" spans="1:5" x14ac:dyDescent="0.25">
      <c r="A5370" s="41">
        <v>18159</v>
      </c>
      <c r="B5370" s="42" t="s">
        <v>5740</v>
      </c>
      <c r="C5370" s="43" t="s">
        <v>289</v>
      </c>
      <c r="D5370" s="43" t="s">
        <v>1112</v>
      </c>
      <c r="E5370" s="43" t="s">
        <v>464</v>
      </c>
    </row>
    <row r="5371" spans="1:5" x14ac:dyDescent="0.25">
      <c r="A5371" s="41">
        <v>18160</v>
      </c>
      <c r="B5371" s="42" t="s">
        <v>5741</v>
      </c>
      <c r="C5371" s="43" t="s">
        <v>289</v>
      </c>
      <c r="D5371" s="43" t="s">
        <v>1112</v>
      </c>
      <c r="E5371" s="43" t="s">
        <v>464</v>
      </c>
    </row>
    <row r="5372" spans="1:5" x14ac:dyDescent="0.25">
      <c r="A5372" s="41">
        <v>18161</v>
      </c>
      <c r="B5372" s="42" t="s">
        <v>5742</v>
      </c>
      <c r="C5372" s="43" t="s">
        <v>289</v>
      </c>
      <c r="D5372" s="43" t="s">
        <v>1112</v>
      </c>
      <c r="E5372" s="43" t="s">
        <v>464</v>
      </c>
    </row>
    <row r="5373" spans="1:5" x14ac:dyDescent="0.25">
      <c r="A5373" s="41">
        <v>18164</v>
      </c>
      <c r="B5373" s="42" t="s">
        <v>5743</v>
      </c>
      <c r="C5373" s="43" t="s">
        <v>289</v>
      </c>
      <c r="D5373" s="43" t="s">
        <v>1112</v>
      </c>
      <c r="E5373" s="43" t="s">
        <v>464</v>
      </c>
    </row>
    <row r="5374" spans="1:5" x14ac:dyDescent="0.25">
      <c r="A5374" s="41">
        <v>18165</v>
      </c>
      <c r="B5374" s="42" t="s">
        <v>5744</v>
      </c>
      <c r="C5374" s="43" t="s">
        <v>289</v>
      </c>
      <c r="D5374" s="43" t="s">
        <v>1112</v>
      </c>
      <c r="E5374" s="43" t="s">
        <v>464</v>
      </c>
    </row>
    <row r="5375" spans="1:5" x14ac:dyDescent="0.25">
      <c r="A5375" s="41">
        <v>18169</v>
      </c>
      <c r="B5375" s="42" t="s">
        <v>5745</v>
      </c>
      <c r="C5375" s="43" t="s">
        <v>289</v>
      </c>
      <c r="D5375" s="43" t="s">
        <v>1112</v>
      </c>
      <c r="E5375" s="43" t="s">
        <v>464</v>
      </c>
    </row>
    <row r="5376" spans="1:5" x14ac:dyDescent="0.25">
      <c r="A5376" s="41">
        <v>18171</v>
      </c>
      <c r="B5376" s="42" t="s">
        <v>5746</v>
      </c>
      <c r="C5376" s="43" t="s">
        <v>289</v>
      </c>
      <c r="D5376" s="43" t="s">
        <v>1112</v>
      </c>
      <c r="E5376" s="43" t="s">
        <v>464</v>
      </c>
    </row>
    <row r="5377" spans="1:5" x14ac:dyDescent="0.25">
      <c r="A5377" s="41">
        <v>18172</v>
      </c>
      <c r="B5377" s="42" t="s">
        <v>5747</v>
      </c>
      <c r="C5377" s="43" t="s">
        <v>289</v>
      </c>
      <c r="D5377" s="43" t="s">
        <v>1112</v>
      </c>
      <c r="E5377" s="43" t="s">
        <v>454</v>
      </c>
    </row>
    <row r="5378" spans="1:5" x14ac:dyDescent="0.25">
      <c r="A5378" s="41">
        <v>18173</v>
      </c>
      <c r="B5378" s="42" t="s">
        <v>5748</v>
      </c>
      <c r="C5378" s="43" t="s">
        <v>289</v>
      </c>
      <c r="D5378" s="43" t="s">
        <v>1112</v>
      </c>
      <c r="E5378" s="43" t="s">
        <v>454</v>
      </c>
    </row>
    <row r="5379" spans="1:5" x14ac:dyDescent="0.25">
      <c r="A5379" s="41">
        <v>18174</v>
      </c>
      <c r="B5379" s="42" t="s">
        <v>5749</v>
      </c>
      <c r="C5379" s="43" t="s">
        <v>289</v>
      </c>
      <c r="D5379" s="43" t="s">
        <v>1112</v>
      </c>
      <c r="E5379" s="43" t="s">
        <v>464</v>
      </c>
    </row>
    <row r="5380" spans="1:5" x14ac:dyDescent="0.25">
      <c r="A5380" s="41">
        <v>18175</v>
      </c>
      <c r="B5380" s="42" t="s">
        <v>5750</v>
      </c>
      <c r="C5380" s="43" t="s">
        <v>289</v>
      </c>
      <c r="D5380" s="43" t="s">
        <v>474</v>
      </c>
      <c r="E5380" s="43" t="s">
        <v>766</v>
      </c>
    </row>
    <row r="5381" spans="1:5" x14ac:dyDescent="0.25">
      <c r="A5381" s="41">
        <v>18176</v>
      </c>
      <c r="B5381" s="42" t="s">
        <v>5751</v>
      </c>
      <c r="C5381" s="43" t="s">
        <v>289</v>
      </c>
      <c r="D5381" s="43" t="s">
        <v>474</v>
      </c>
      <c r="E5381" s="43" t="s">
        <v>1120</v>
      </c>
    </row>
    <row r="5382" spans="1:5" x14ac:dyDescent="0.25">
      <c r="A5382" s="41">
        <v>18178</v>
      </c>
      <c r="B5382" s="42" t="s">
        <v>5752</v>
      </c>
      <c r="C5382" s="43" t="s">
        <v>289</v>
      </c>
      <c r="D5382" s="43" t="s">
        <v>410</v>
      </c>
      <c r="E5382" s="43" t="s">
        <v>230</v>
      </c>
    </row>
    <row r="5383" spans="1:5" x14ac:dyDescent="0.25">
      <c r="A5383" s="41">
        <v>18179</v>
      </c>
      <c r="B5383" s="42" t="s">
        <v>5753</v>
      </c>
      <c r="C5383" s="43" t="s">
        <v>289</v>
      </c>
      <c r="D5383" s="43" t="s">
        <v>410</v>
      </c>
      <c r="E5383" s="43" t="s">
        <v>230</v>
      </c>
    </row>
    <row r="5384" spans="1:5" x14ac:dyDescent="0.25">
      <c r="A5384" s="41">
        <v>18180</v>
      </c>
      <c r="B5384" s="42" t="s">
        <v>5754</v>
      </c>
      <c r="C5384" s="43" t="s">
        <v>289</v>
      </c>
      <c r="D5384" s="43" t="s">
        <v>410</v>
      </c>
      <c r="E5384" s="43" t="s">
        <v>230</v>
      </c>
    </row>
    <row r="5385" spans="1:5" x14ac:dyDescent="0.25">
      <c r="A5385" s="41">
        <v>18181</v>
      </c>
      <c r="B5385" s="42" t="s">
        <v>5755</v>
      </c>
      <c r="C5385" s="43" t="s">
        <v>289</v>
      </c>
      <c r="D5385" s="43" t="s">
        <v>410</v>
      </c>
      <c r="E5385" s="43" t="s">
        <v>230</v>
      </c>
    </row>
    <row r="5386" spans="1:5" x14ac:dyDescent="0.25">
      <c r="A5386" s="41">
        <v>18182</v>
      </c>
      <c r="B5386" s="42" t="s">
        <v>5756</v>
      </c>
      <c r="C5386" s="43" t="s">
        <v>289</v>
      </c>
      <c r="D5386" s="43" t="s">
        <v>410</v>
      </c>
      <c r="E5386" s="43" t="s">
        <v>230</v>
      </c>
    </row>
    <row r="5387" spans="1:5" x14ac:dyDescent="0.25">
      <c r="A5387" s="41">
        <v>18183</v>
      </c>
      <c r="B5387" s="42" t="s">
        <v>5757</v>
      </c>
      <c r="C5387" s="43" t="s">
        <v>289</v>
      </c>
      <c r="D5387" s="43" t="s">
        <v>410</v>
      </c>
      <c r="E5387" s="43" t="s">
        <v>230</v>
      </c>
    </row>
    <row r="5388" spans="1:5" x14ac:dyDescent="0.25">
      <c r="A5388" s="41">
        <v>18184</v>
      </c>
      <c r="B5388" s="42" t="s">
        <v>5758</v>
      </c>
      <c r="C5388" s="43" t="s">
        <v>289</v>
      </c>
      <c r="D5388" s="43" t="s">
        <v>410</v>
      </c>
      <c r="E5388" s="43" t="s">
        <v>230</v>
      </c>
    </row>
    <row r="5389" spans="1:5" x14ac:dyDescent="0.25">
      <c r="A5389" s="41">
        <v>18185</v>
      </c>
      <c r="B5389" s="42" t="s">
        <v>5759</v>
      </c>
      <c r="C5389" s="43" t="s">
        <v>289</v>
      </c>
      <c r="D5389" s="43" t="s">
        <v>410</v>
      </c>
      <c r="E5389" s="43" t="s">
        <v>230</v>
      </c>
    </row>
    <row r="5390" spans="1:5" x14ac:dyDescent="0.25">
      <c r="A5390" s="41">
        <v>18186</v>
      </c>
      <c r="B5390" s="42" t="s">
        <v>5760</v>
      </c>
      <c r="C5390" s="43" t="s">
        <v>289</v>
      </c>
      <c r="D5390" s="43" t="s">
        <v>410</v>
      </c>
      <c r="E5390" s="43" t="s">
        <v>230</v>
      </c>
    </row>
    <row r="5391" spans="1:5" x14ac:dyDescent="0.25">
      <c r="A5391" s="41">
        <v>18187</v>
      </c>
      <c r="B5391" s="42" t="s">
        <v>5761</v>
      </c>
      <c r="C5391" s="43" t="s">
        <v>289</v>
      </c>
      <c r="D5391" s="43" t="s">
        <v>410</v>
      </c>
      <c r="E5391" s="43" t="s">
        <v>230</v>
      </c>
    </row>
    <row r="5392" spans="1:5" x14ac:dyDescent="0.25">
      <c r="A5392" s="41">
        <v>18188</v>
      </c>
      <c r="B5392" s="42" t="s">
        <v>5762</v>
      </c>
      <c r="C5392" s="43" t="s">
        <v>289</v>
      </c>
      <c r="D5392" s="43" t="s">
        <v>410</v>
      </c>
      <c r="E5392" s="43" t="s">
        <v>230</v>
      </c>
    </row>
    <row r="5393" spans="1:5" x14ac:dyDescent="0.25">
      <c r="A5393" s="41">
        <v>18189</v>
      </c>
      <c r="B5393" s="42" t="s">
        <v>5763</v>
      </c>
      <c r="C5393" s="43" t="s">
        <v>289</v>
      </c>
      <c r="D5393" s="43" t="s">
        <v>410</v>
      </c>
      <c r="E5393" s="43" t="s">
        <v>230</v>
      </c>
    </row>
    <row r="5394" spans="1:5" x14ac:dyDescent="0.25">
      <c r="A5394" s="41">
        <v>18190</v>
      </c>
      <c r="B5394" s="42" t="s">
        <v>5757</v>
      </c>
      <c r="C5394" s="43" t="s">
        <v>289</v>
      </c>
      <c r="D5394" s="43" t="s">
        <v>410</v>
      </c>
      <c r="E5394" s="43" t="s">
        <v>230</v>
      </c>
    </row>
    <row r="5395" spans="1:5" x14ac:dyDescent="0.25">
      <c r="A5395" s="41">
        <v>18191</v>
      </c>
      <c r="B5395" s="42" t="s">
        <v>5764</v>
      </c>
      <c r="C5395" s="43" t="s">
        <v>289</v>
      </c>
      <c r="D5395" s="43" t="s">
        <v>410</v>
      </c>
      <c r="E5395" s="43" t="s">
        <v>230</v>
      </c>
    </row>
    <row r="5396" spans="1:5" x14ac:dyDescent="0.25">
      <c r="A5396" s="41">
        <v>18192</v>
      </c>
      <c r="B5396" s="42" t="s">
        <v>5765</v>
      </c>
      <c r="C5396" s="43" t="s">
        <v>289</v>
      </c>
      <c r="D5396" s="43" t="s">
        <v>410</v>
      </c>
      <c r="E5396" s="43" t="s">
        <v>230</v>
      </c>
    </row>
    <row r="5397" spans="1:5" x14ac:dyDescent="0.25">
      <c r="A5397" s="41">
        <v>18193</v>
      </c>
      <c r="B5397" s="42" t="s">
        <v>5766</v>
      </c>
      <c r="C5397" s="43" t="s">
        <v>289</v>
      </c>
      <c r="D5397" s="43" t="s">
        <v>410</v>
      </c>
      <c r="E5397" s="43" t="s">
        <v>230</v>
      </c>
    </row>
    <row r="5398" spans="1:5" x14ac:dyDescent="0.25">
      <c r="A5398" s="41">
        <v>18194</v>
      </c>
      <c r="B5398" s="42" t="s">
        <v>5767</v>
      </c>
      <c r="C5398" s="43" t="s">
        <v>289</v>
      </c>
      <c r="D5398" s="43" t="s">
        <v>314</v>
      </c>
      <c r="E5398" s="43" t="s">
        <v>230</v>
      </c>
    </row>
    <row r="5399" spans="1:5" x14ac:dyDescent="0.25">
      <c r="A5399" s="41">
        <v>18195</v>
      </c>
      <c r="B5399" s="42" t="s">
        <v>5768</v>
      </c>
      <c r="C5399" s="43" t="s">
        <v>289</v>
      </c>
      <c r="D5399" s="43" t="s">
        <v>996</v>
      </c>
      <c r="E5399" s="43" t="s">
        <v>769</v>
      </c>
    </row>
    <row r="5400" spans="1:5" x14ac:dyDescent="0.25">
      <c r="A5400" s="41">
        <v>18196</v>
      </c>
      <c r="B5400" s="42" t="s">
        <v>5769</v>
      </c>
      <c r="C5400" s="43" t="s">
        <v>289</v>
      </c>
      <c r="D5400" s="43" t="s">
        <v>996</v>
      </c>
      <c r="E5400" s="43" t="s">
        <v>769</v>
      </c>
    </row>
    <row r="5401" spans="1:5" x14ac:dyDescent="0.25">
      <c r="A5401" s="41">
        <v>18199</v>
      </c>
      <c r="B5401" s="42" t="s">
        <v>5770</v>
      </c>
      <c r="C5401" s="43" t="s">
        <v>289</v>
      </c>
      <c r="D5401" s="43" t="s">
        <v>1138</v>
      </c>
      <c r="E5401" s="43" t="s">
        <v>230</v>
      </c>
    </row>
    <row r="5402" spans="1:5" x14ac:dyDescent="0.25">
      <c r="A5402" s="41">
        <v>18201</v>
      </c>
      <c r="B5402" s="42" t="s">
        <v>5771</v>
      </c>
      <c r="C5402" s="43" t="s">
        <v>289</v>
      </c>
      <c r="D5402" s="43" t="s">
        <v>996</v>
      </c>
      <c r="E5402" s="43" t="s">
        <v>766</v>
      </c>
    </row>
    <row r="5403" spans="1:5" x14ac:dyDescent="0.25">
      <c r="A5403" s="41">
        <v>18202</v>
      </c>
      <c r="B5403" s="42" t="s">
        <v>5772</v>
      </c>
      <c r="C5403" s="43" t="s">
        <v>289</v>
      </c>
      <c r="D5403" s="43" t="s">
        <v>996</v>
      </c>
      <c r="E5403" s="43" t="s">
        <v>766</v>
      </c>
    </row>
    <row r="5404" spans="1:5" x14ac:dyDescent="0.25">
      <c r="A5404" s="41">
        <v>18203</v>
      </c>
      <c r="B5404" s="42" t="s">
        <v>5773</v>
      </c>
      <c r="C5404" s="43" t="s">
        <v>289</v>
      </c>
      <c r="D5404" s="43" t="s">
        <v>996</v>
      </c>
      <c r="E5404" s="43" t="s">
        <v>766</v>
      </c>
    </row>
    <row r="5405" spans="1:5" x14ac:dyDescent="0.25">
      <c r="A5405" s="41">
        <v>18204</v>
      </c>
      <c r="B5405" s="42" t="s">
        <v>5774</v>
      </c>
      <c r="C5405" s="43" t="s">
        <v>289</v>
      </c>
      <c r="D5405" s="43" t="s">
        <v>996</v>
      </c>
      <c r="E5405" s="43" t="s">
        <v>766</v>
      </c>
    </row>
    <row r="5406" spans="1:5" x14ac:dyDescent="0.25">
      <c r="A5406" s="41">
        <v>18211</v>
      </c>
      <c r="B5406" s="42" t="s">
        <v>5775</v>
      </c>
      <c r="C5406" s="43" t="s">
        <v>289</v>
      </c>
      <c r="D5406" s="43" t="s">
        <v>1112</v>
      </c>
      <c r="E5406" s="43" t="s">
        <v>464</v>
      </c>
    </row>
    <row r="5407" spans="1:5" x14ac:dyDescent="0.25">
      <c r="A5407" s="41">
        <v>18212</v>
      </c>
      <c r="B5407" s="42" t="s">
        <v>5776</v>
      </c>
      <c r="C5407" s="43" t="s">
        <v>289</v>
      </c>
      <c r="D5407" s="43" t="s">
        <v>1112</v>
      </c>
      <c r="E5407" s="43" t="s">
        <v>464</v>
      </c>
    </row>
    <row r="5408" spans="1:5" x14ac:dyDescent="0.25">
      <c r="A5408" s="41">
        <v>18213</v>
      </c>
      <c r="B5408" s="42" t="s">
        <v>5777</v>
      </c>
      <c r="C5408" s="43" t="s">
        <v>289</v>
      </c>
      <c r="D5408" s="43" t="s">
        <v>1112</v>
      </c>
      <c r="E5408" s="43" t="s">
        <v>464</v>
      </c>
    </row>
    <row r="5409" spans="1:5" x14ac:dyDescent="0.25">
      <c r="A5409" s="41">
        <v>18214</v>
      </c>
      <c r="B5409" s="42" t="s">
        <v>5778</v>
      </c>
      <c r="C5409" s="43" t="s">
        <v>289</v>
      </c>
      <c r="D5409" s="43" t="s">
        <v>1112</v>
      </c>
      <c r="E5409" s="43" t="s">
        <v>464</v>
      </c>
    </row>
    <row r="5410" spans="1:5" x14ac:dyDescent="0.25">
      <c r="A5410" s="41">
        <v>18215</v>
      </c>
      <c r="B5410" s="42" t="s">
        <v>5779</v>
      </c>
      <c r="C5410" s="43" t="s">
        <v>289</v>
      </c>
      <c r="D5410" s="43" t="s">
        <v>1112</v>
      </c>
      <c r="E5410" s="43" t="s">
        <v>464</v>
      </c>
    </row>
    <row r="5411" spans="1:5" x14ac:dyDescent="0.25">
      <c r="A5411" s="41">
        <v>18216</v>
      </c>
      <c r="B5411" s="42" t="s">
        <v>5780</v>
      </c>
      <c r="C5411" s="43" t="s">
        <v>289</v>
      </c>
      <c r="D5411" s="43" t="s">
        <v>327</v>
      </c>
      <c r="E5411" s="43" t="s">
        <v>230</v>
      </c>
    </row>
    <row r="5412" spans="1:5" x14ac:dyDescent="0.25">
      <c r="A5412" s="41">
        <v>18217</v>
      </c>
      <c r="B5412" s="42" t="s">
        <v>5781</v>
      </c>
      <c r="C5412" s="43" t="s">
        <v>289</v>
      </c>
      <c r="D5412" s="43" t="s">
        <v>327</v>
      </c>
      <c r="E5412" s="43" t="s">
        <v>230</v>
      </c>
    </row>
    <row r="5413" spans="1:5" x14ac:dyDescent="0.25">
      <c r="A5413" s="41">
        <v>18219</v>
      </c>
      <c r="B5413" s="42" t="s">
        <v>5782</v>
      </c>
      <c r="C5413" s="43" t="s">
        <v>289</v>
      </c>
      <c r="D5413" s="43" t="s">
        <v>694</v>
      </c>
      <c r="E5413" s="43" t="s">
        <v>230</v>
      </c>
    </row>
    <row r="5414" spans="1:5" x14ac:dyDescent="0.25">
      <c r="A5414" s="41">
        <v>18220</v>
      </c>
      <c r="B5414" s="42" t="s">
        <v>5783</v>
      </c>
      <c r="C5414" s="43" t="s">
        <v>289</v>
      </c>
      <c r="D5414" s="43" t="s">
        <v>435</v>
      </c>
      <c r="E5414" s="43" t="s">
        <v>230</v>
      </c>
    </row>
    <row r="5415" spans="1:5" x14ac:dyDescent="0.25">
      <c r="A5415" s="41">
        <v>18221</v>
      </c>
      <c r="B5415" s="42" t="s">
        <v>5784</v>
      </c>
      <c r="C5415" s="43" t="s">
        <v>289</v>
      </c>
      <c r="D5415" s="43" t="s">
        <v>499</v>
      </c>
      <c r="E5415" s="43" t="s">
        <v>472</v>
      </c>
    </row>
    <row r="5416" spans="1:5" x14ac:dyDescent="0.25">
      <c r="A5416" s="41">
        <v>18222</v>
      </c>
      <c r="B5416" s="42" t="s">
        <v>5785</v>
      </c>
      <c r="C5416" s="43" t="s">
        <v>289</v>
      </c>
      <c r="D5416" s="43" t="s">
        <v>1112</v>
      </c>
      <c r="E5416" s="43" t="s">
        <v>230</v>
      </c>
    </row>
    <row r="5417" spans="1:5" x14ac:dyDescent="0.25">
      <c r="A5417" s="41">
        <v>18223</v>
      </c>
      <c r="B5417" s="42" t="s">
        <v>5786</v>
      </c>
      <c r="C5417" s="43" t="s">
        <v>289</v>
      </c>
      <c r="D5417" s="43" t="s">
        <v>1112</v>
      </c>
      <c r="E5417" s="43" t="s">
        <v>230</v>
      </c>
    </row>
    <row r="5418" spans="1:5" x14ac:dyDescent="0.25">
      <c r="A5418" s="41">
        <v>18224</v>
      </c>
      <c r="B5418" s="42" t="s">
        <v>5787</v>
      </c>
      <c r="C5418" s="43" t="s">
        <v>289</v>
      </c>
      <c r="D5418" s="43" t="s">
        <v>1112</v>
      </c>
      <c r="E5418" s="43" t="s">
        <v>230</v>
      </c>
    </row>
    <row r="5419" spans="1:5" x14ac:dyDescent="0.25">
      <c r="A5419" s="41">
        <v>18225</v>
      </c>
      <c r="B5419" s="42" t="s">
        <v>5788</v>
      </c>
      <c r="C5419" s="43" t="s">
        <v>289</v>
      </c>
      <c r="D5419" s="43" t="s">
        <v>1112</v>
      </c>
      <c r="E5419" s="43" t="s">
        <v>230</v>
      </c>
    </row>
    <row r="5420" spans="1:5" x14ac:dyDescent="0.25">
      <c r="A5420" s="41">
        <v>18226</v>
      </c>
      <c r="B5420" s="42" t="s">
        <v>5789</v>
      </c>
      <c r="C5420" s="43" t="s">
        <v>289</v>
      </c>
      <c r="D5420" s="43" t="s">
        <v>941</v>
      </c>
      <c r="E5420" s="43" t="s">
        <v>230</v>
      </c>
    </row>
    <row r="5421" spans="1:5" x14ac:dyDescent="0.25">
      <c r="A5421" s="41">
        <v>18232</v>
      </c>
      <c r="B5421" s="42" t="s">
        <v>5790</v>
      </c>
      <c r="C5421" s="43" t="s">
        <v>289</v>
      </c>
      <c r="D5421" s="43" t="s">
        <v>433</v>
      </c>
      <c r="E5421" s="43" t="s">
        <v>336</v>
      </c>
    </row>
    <row r="5422" spans="1:5" x14ac:dyDescent="0.25">
      <c r="A5422" s="41">
        <v>18233</v>
      </c>
      <c r="B5422" s="42" t="s">
        <v>5791</v>
      </c>
      <c r="C5422" s="43" t="s">
        <v>289</v>
      </c>
      <c r="D5422" s="43" t="s">
        <v>433</v>
      </c>
      <c r="E5422" s="43" t="s">
        <v>336</v>
      </c>
    </row>
    <row r="5423" spans="1:5" x14ac:dyDescent="0.25">
      <c r="A5423" s="41">
        <v>18234</v>
      </c>
      <c r="B5423" s="42" t="s">
        <v>5792</v>
      </c>
      <c r="C5423" s="43" t="s">
        <v>289</v>
      </c>
      <c r="D5423" s="43" t="s">
        <v>4116</v>
      </c>
      <c r="E5423" s="43" t="s">
        <v>230</v>
      </c>
    </row>
    <row r="5424" spans="1:5" x14ac:dyDescent="0.25">
      <c r="A5424" s="41">
        <v>18235</v>
      </c>
      <c r="B5424" s="42" t="s">
        <v>5793</v>
      </c>
      <c r="C5424" s="43" t="s">
        <v>289</v>
      </c>
      <c r="D5424" s="43" t="s">
        <v>4116</v>
      </c>
      <c r="E5424" s="43" t="s">
        <v>230</v>
      </c>
    </row>
    <row r="5425" spans="1:5" x14ac:dyDescent="0.25">
      <c r="A5425" s="41">
        <v>18236</v>
      </c>
      <c r="B5425" s="42" t="s">
        <v>5794</v>
      </c>
      <c r="C5425" s="43" t="s">
        <v>289</v>
      </c>
      <c r="D5425" s="43" t="s">
        <v>1913</v>
      </c>
      <c r="E5425" s="43" t="s">
        <v>230</v>
      </c>
    </row>
    <row r="5426" spans="1:5" x14ac:dyDescent="0.25">
      <c r="A5426" s="41">
        <v>18237</v>
      </c>
      <c r="B5426" s="42" t="s">
        <v>5795</v>
      </c>
      <c r="C5426" s="43" t="s">
        <v>289</v>
      </c>
      <c r="D5426" s="43" t="s">
        <v>1913</v>
      </c>
      <c r="E5426" s="43" t="s">
        <v>230</v>
      </c>
    </row>
    <row r="5427" spans="1:5" x14ac:dyDescent="0.25">
      <c r="A5427" s="41">
        <v>18238</v>
      </c>
      <c r="B5427" s="42" t="s">
        <v>5796</v>
      </c>
      <c r="C5427" s="43" t="s">
        <v>289</v>
      </c>
      <c r="D5427" s="43" t="s">
        <v>1913</v>
      </c>
      <c r="E5427" s="43" t="s">
        <v>230</v>
      </c>
    </row>
    <row r="5428" spans="1:5" x14ac:dyDescent="0.25">
      <c r="A5428" s="41">
        <v>18239</v>
      </c>
      <c r="B5428" s="42" t="s">
        <v>5797</v>
      </c>
      <c r="C5428" s="43" t="s">
        <v>289</v>
      </c>
      <c r="D5428" s="43" t="s">
        <v>1913</v>
      </c>
      <c r="E5428" s="43" t="s">
        <v>230</v>
      </c>
    </row>
    <row r="5429" spans="1:5" x14ac:dyDescent="0.25">
      <c r="A5429" s="41">
        <v>18240</v>
      </c>
      <c r="B5429" s="42" t="s">
        <v>5798</v>
      </c>
      <c r="C5429" s="43" t="s">
        <v>289</v>
      </c>
      <c r="D5429" s="43" t="s">
        <v>1913</v>
      </c>
      <c r="E5429" s="43" t="s">
        <v>230</v>
      </c>
    </row>
    <row r="5430" spans="1:5" x14ac:dyDescent="0.25">
      <c r="A5430" s="41">
        <v>18241</v>
      </c>
      <c r="B5430" s="42" t="s">
        <v>5799</v>
      </c>
      <c r="C5430" s="43" t="s">
        <v>289</v>
      </c>
      <c r="D5430" s="43" t="s">
        <v>1913</v>
      </c>
      <c r="E5430" s="43" t="s">
        <v>230</v>
      </c>
    </row>
    <row r="5431" spans="1:5" x14ac:dyDescent="0.25">
      <c r="A5431" s="41">
        <v>18242</v>
      </c>
      <c r="B5431" s="42" t="s">
        <v>5800</v>
      </c>
      <c r="C5431" s="43" t="s">
        <v>289</v>
      </c>
      <c r="D5431" s="43" t="s">
        <v>1913</v>
      </c>
      <c r="E5431" s="43" t="s">
        <v>230</v>
      </c>
    </row>
    <row r="5432" spans="1:5" x14ac:dyDescent="0.25">
      <c r="A5432" s="41">
        <v>18243</v>
      </c>
      <c r="B5432" s="42" t="s">
        <v>5801</v>
      </c>
      <c r="C5432" s="43" t="s">
        <v>289</v>
      </c>
      <c r="D5432" s="43" t="s">
        <v>1913</v>
      </c>
      <c r="E5432" s="43" t="s">
        <v>230</v>
      </c>
    </row>
    <row r="5433" spans="1:5" x14ac:dyDescent="0.25">
      <c r="A5433" s="41">
        <v>18244</v>
      </c>
      <c r="B5433" s="42" t="s">
        <v>5802</v>
      </c>
      <c r="C5433" s="43" t="s">
        <v>289</v>
      </c>
      <c r="D5433" s="43" t="s">
        <v>1913</v>
      </c>
      <c r="E5433" s="43" t="s">
        <v>230</v>
      </c>
    </row>
    <row r="5434" spans="1:5" x14ac:dyDescent="0.25">
      <c r="A5434" s="41">
        <v>18245</v>
      </c>
      <c r="B5434" s="42" t="s">
        <v>5803</v>
      </c>
      <c r="C5434" s="43" t="s">
        <v>289</v>
      </c>
      <c r="D5434" s="43" t="s">
        <v>1913</v>
      </c>
      <c r="E5434" s="43" t="s">
        <v>230</v>
      </c>
    </row>
    <row r="5435" spans="1:5" x14ac:dyDescent="0.25">
      <c r="A5435" s="41">
        <v>18246</v>
      </c>
      <c r="B5435" s="42" t="s">
        <v>5804</v>
      </c>
      <c r="C5435" s="43" t="s">
        <v>289</v>
      </c>
      <c r="D5435" s="43" t="s">
        <v>1913</v>
      </c>
      <c r="E5435" s="43" t="s">
        <v>230</v>
      </c>
    </row>
    <row r="5436" spans="1:5" x14ac:dyDescent="0.25">
      <c r="A5436" s="41">
        <v>18247</v>
      </c>
      <c r="B5436" s="42" t="s">
        <v>5805</v>
      </c>
      <c r="C5436" s="43" t="s">
        <v>289</v>
      </c>
      <c r="D5436" s="43" t="s">
        <v>1913</v>
      </c>
      <c r="E5436" s="43" t="s">
        <v>230</v>
      </c>
    </row>
    <row r="5437" spans="1:5" x14ac:dyDescent="0.25">
      <c r="A5437" s="41">
        <v>18248</v>
      </c>
      <c r="B5437" s="42" t="s">
        <v>5806</v>
      </c>
      <c r="C5437" s="43" t="s">
        <v>289</v>
      </c>
      <c r="D5437" s="43" t="s">
        <v>1913</v>
      </c>
      <c r="E5437" s="43" t="s">
        <v>230</v>
      </c>
    </row>
    <row r="5438" spans="1:5" x14ac:dyDescent="0.25">
      <c r="A5438" s="41">
        <v>18249</v>
      </c>
      <c r="B5438" s="42" t="s">
        <v>5807</v>
      </c>
      <c r="C5438" s="43" t="s">
        <v>289</v>
      </c>
      <c r="D5438" s="43" t="s">
        <v>1913</v>
      </c>
      <c r="E5438" s="43" t="s">
        <v>230</v>
      </c>
    </row>
    <row r="5439" spans="1:5" x14ac:dyDescent="0.25">
      <c r="A5439" s="41">
        <v>18250</v>
      </c>
      <c r="B5439" s="42" t="s">
        <v>5808</v>
      </c>
      <c r="C5439" s="43" t="s">
        <v>289</v>
      </c>
      <c r="D5439" s="43" t="s">
        <v>1913</v>
      </c>
      <c r="E5439" s="43" t="s">
        <v>230</v>
      </c>
    </row>
    <row r="5440" spans="1:5" x14ac:dyDescent="0.25">
      <c r="A5440" s="41">
        <v>18251</v>
      </c>
      <c r="B5440" s="42" t="s">
        <v>5809</v>
      </c>
      <c r="C5440" s="43" t="s">
        <v>289</v>
      </c>
      <c r="D5440" s="43" t="s">
        <v>1913</v>
      </c>
      <c r="E5440" s="43" t="s">
        <v>230</v>
      </c>
    </row>
    <row r="5441" spans="1:5" x14ac:dyDescent="0.25">
      <c r="A5441" s="41">
        <v>18252</v>
      </c>
      <c r="B5441" s="42" t="s">
        <v>5810</v>
      </c>
      <c r="C5441" s="43" t="s">
        <v>289</v>
      </c>
      <c r="D5441" s="43" t="s">
        <v>1913</v>
      </c>
      <c r="E5441" s="43" t="s">
        <v>230</v>
      </c>
    </row>
    <row r="5442" spans="1:5" x14ac:dyDescent="0.25">
      <c r="A5442" s="41">
        <v>18253</v>
      </c>
      <c r="B5442" s="42" t="s">
        <v>5811</v>
      </c>
      <c r="C5442" s="43" t="s">
        <v>289</v>
      </c>
      <c r="D5442" s="43" t="s">
        <v>1913</v>
      </c>
      <c r="E5442" s="43" t="s">
        <v>230</v>
      </c>
    </row>
    <row r="5443" spans="1:5" x14ac:dyDescent="0.25">
      <c r="A5443" s="41">
        <v>18254</v>
      </c>
      <c r="B5443" s="42" t="s">
        <v>5812</v>
      </c>
      <c r="C5443" s="43" t="s">
        <v>289</v>
      </c>
      <c r="D5443" s="43" t="s">
        <v>1913</v>
      </c>
      <c r="E5443" s="43" t="s">
        <v>230</v>
      </c>
    </row>
    <row r="5444" spans="1:5" x14ac:dyDescent="0.25">
      <c r="A5444" s="41">
        <v>18255</v>
      </c>
      <c r="B5444" s="42" t="s">
        <v>5813</v>
      </c>
      <c r="C5444" s="43" t="s">
        <v>289</v>
      </c>
      <c r="D5444" s="43" t="s">
        <v>1913</v>
      </c>
      <c r="E5444" s="43" t="s">
        <v>230</v>
      </c>
    </row>
    <row r="5445" spans="1:5" x14ac:dyDescent="0.25">
      <c r="A5445" s="41">
        <v>18256</v>
      </c>
      <c r="B5445" s="42" t="s">
        <v>5814</v>
      </c>
      <c r="C5445" s="43" t="s">
        <v>289</v>
      </c>
      <c r="D5445" s="43" t="s">
        <v>1913</v>
      </c>
      <c r="E5445" s="43" t="s">
        <v>230</v>
      </c>
    </row>
    <row r="5446" spans="1:5" x14ac:dyDescent="0.25">
      <c r="A5446" s="41">
        <v>18257</v>
      </c>
      <c r="B5446" s="42" t="s">
        <v>5815</v>
      </c>
      <c r="C5446" s="43" t="s">
        <v>289</v>
      </c>
      <c r="D5446" s="43" t="s">
        <v>1913</v>
      </c>
      <c r="E5446" s="43" t="s">
        <v>230</v>
      </c>
    </row>
    <row r="5447" spans="1:5" x14ac:dyDescent="0.25">
      <c r="A5447" s="41">
        <v>18258</v>
      </c>
      <c r="B5447" s="42" t="s">
        <v>5816</v>
      </c>
      <c r="C5447" s="43" t="s">
        <v>289</v>
      </c>
      <c r="D5447" s="43" t="s">
        <v>1913</v>
      </c>
      <c r="E5447" s="43" t="s">
        <v>230</v>
      </c>
    </row>
    <row r="5448" spans="1:5" x14ac:dyDescent="0.25">
      <c r="A5448" s="41">
        <v>18259</v>
      </c>
      <c r="B5448" s="42" t="s">
        <v>5817</v>
      </c>
      <c r="C5448" s="43" t="s">
        <v>289</v>
      </c>
      <c r="D5448" s="43" t="s">
        <v>1913</v>
      </c>
      <c r="E5448" s="43" t="s">
        <v>230</v>
      </c>
    </row>
    <row r="5449" spans="1:5" x14ac:dyDescent="0.25">
      <c r="A5449" s="41">
        <v>18260</v>
      </c>
      <c r="B5449" s="42" t="s">
        <v>5818</v>
      </c>
      <c r="C5449" s="43" t="s">
        <v>289</v>
      </c>
      <c r="D5449" s="43" t="s">
        <v>1913</v>
      </c>
      <c r="E5449" s="43" t="s">
        <v>230</v>
      </c>
    </row>
    <row r="5450" spans="1:5" x14ac:dyDescent="0.25">
      <c r="A5450" s="41">
        <v>18261</v>
      </c>
      <c r="B5450" s="42" t="s">
        <v>5819</v>
      </c>
      <c r="C5450" s="43" t="s">
        <v>289</v>
      </c>
      <c r="D5450" s="43" t="s">
        <v>1913</v>
      </c>
      <c r="E5450" s="43" t="s">
        <v>230</v>
      </c>
    </row>
    <row r="5451" spans="1:5" x14ac:dyDescent="0.25">
      <c r="A5451" s="41">
        <v>18262</v>
      </c>
      <c r="B5451" s="42" t="s">
        <v>5820</v>
      </c>
      <c r="C5451" s="43" t="s">
        <v>289</v>
      </c>
      <c r="D5451" s="43" t="s">
        <v>1913</v>
      </c>
      <c r="E5451" s="43" t="s">
        <v>230</v>
      </c>
    </row>
    <row r="5452" spans="1:5" x14ac:dyDescent="0.25">
      <c r="A5452" s="41">
        <v>18263</v>
      </c>
      <c r="B5452" s="42" t="s">
        <v>5821</v>
      </c>
      <c r="C5452" s="43" t="s">
        <v>289</v>
      </c>
      <c r="D5452" s="43" t="s">
        <v>1913</v>
      </c>
      <c r="E5452" s="43" t="s">
        <v>230</v>
      </c>
    </row>
    <row r="5453" spans="1:5" x14ac:dyDescent="0.25">
      <c r="A5453" s="41">
        <v>18264</v>
      </c>
      <c r="B5453" s="42" t="s">
        <v>5822</v>
      </c>
      <c r="C5453" s="43" t="s">
        <v>289</v>
      </c>
      <c r="D5453" s="43" t="s">
        <v>1913</v>
      </c>
      <c r="E5453" s="43" t="s">
        <v>230</v>
      </c>
    </row>
    <row r="5454" spans="1:5" x14ac:dyDescent="0.25">
      <c r="A5454" s="41">
        <v>18265</v>
      </c>
      <c r="B5454" s="42" t="s">
        <v>5823</v>
      </c>
      <c r="C5454" s="43" t="s">
        <v>289</v>
      </c>
      <c r="D5454" s="43" t="s">
        <v>1913</v>
      </c>
      <c r="E5454" s="43" t="s">
        <v>230</v>
      </c>
    </row>
    <row r="5455" spans="1:5" x14ac:dyDescent="0.25">
      <c r="A5455" s="41">
        <v>18271</v>
      </c>
      <c r="B5455" s="42" t="s">
        <v>5824</v>
      </c>
      <c r="C5455" s="43" t="s">
        <v>289</v>
      </c>
      <c r="D5455" s="43" t="s">
        <v>694</v>
      </c>
      <c r="E5455" s="43" t="s">
        <v>764</v>
      </c>
    </row>
    <row r="5456" spans="1:5" x14ac:dyDescent="0.25">
      <c r="A5456" s="41">
        <v>18273</v>
      </c>
      <c r="B5456" s="42" t="s">
        <v>5825</v>
      </c>
      <c r="C5456" s="43" t="s">
        <v>289</v>
      </c>
      <c r="D5456" s="43" t="s">
        <v>694</v>
      </c>
      <c r="E5456" s="43" t="s">
        <v>764</v>
      </c>
    </row>
    <row r="5457" spans="1:5" x14ac:dyDescent="0.25">
      <c r="A5457" s="41">
        <v>18281</v>
      </c>
      <c r="B5457" s="42" t="s">
        <v>5826</v>
      </c>
      <c r="C5457" s="43" t="s">
        <v>289</v>
      </c>
      <c r="D5457" s="43" t="s">
        <v>635</v>
      </c>
      <c r="E5457" s="43" t="s">
        <v>464</v>
      </c>
    </row>
    <row r="5458" spans="1:5" x14ac:dyDescent="0.25">
      <c r="A5458" s="41">
        <v>18282</v>
      </c>
      <c r="B5458" s="42" t="s">
        <v>5827</v>
      </c>
      <c r="C5458" s="43" t="s">
        <v>289</v>
      </c>
      <c r="D5458" s="43" t="s">
        <v>635</v>
      </c>
      <c r="E5458" s="43" t="s">
        <v>464</v>
      </c>
    </row>
    <row r="5459" spans="1:5" x14ac:dyDescent="0.25">
      <c r="A5459" s="41">
        <v>18283</v>
      </c>
      <c r="B5459" s="42" t="s">
        <v>5828</v>
      </c>
      <c r="C5459" s="43" t="s">
        <v>289</v>
      </c>
      <c r="D5459" s="43" t="s">
        <v>635</v>
      </c>
      <c r="E5459" s="43" t="s">
        <v>464</v>
      </c>
    </row>
    <row r="5460" spans="1:5" x14ac:dyDescent="0.25">
      <c r="A5460" s="41">
        <v>18284</v>
      </c>
      <c r="B5460" s="42" t="s">
        <v>5829</v>
      </c>
      <c r="C5460" s="43" t="s">
        <v>289</v>
      </c>
      <c r="D5460" s="43" t="s">
        <v>633</v>
      </c>
      <c r="E5460" s="43" t="s">
        <v>464</v>
      </c>
    </row>
    <row r="5461" spans="1:5" x14ac:dyDescent="0.25">
      <c r="A5461" s="41">
        <v>18288</v>
      </c>
      <c r="B5461" s="42" t="s">
        <v>5830</v>
      </c>
      <c r="C5461" s="43" t="s">
        <v>289</v>
      </c>
      <c r="D5461" s="43" t="s">
        <v>499</v>
      </c>
      <c r="E5461" s="43" t="s">
        <v>472</v>
      </c>
    </row>
    <row r="5462" spans="1:5" x14ac:dyDescent="0.25">
      <c r="A5462" s="41">
        <v>18289</v>
      </c>
      <c r="B5462" s="42" t="s">
        <v>5831</v>
      </c>
      <c r="C5462" s="43" t="s">
        <v>289</v>
      </c>
      <c r="D5462" s="43" t="s">
        <v>333</v>
      </c>
      <c r="E5462" s="43" t="s">
        <v>454</v>
      </c>
    </row>
    <row r="5463" spans="1:5" x14ac:dyDescent="0.25">
      <c r="A5463" s="41">
        <v>18291</v>
      </c>
      <c r="B5463" s="42" t="s">
        <v>5832</v>
      </c>
      <c r="C5463" s="43" t="s">
        <v>289</v>
      </c>
      <c r="D5463" s="43" t="s">
        <v>5833</v>
      </c>
      <c r="E5463" s="43" t="s">
        <v>230</v>
      </c>
    </row>
    <row r="5464" spans="1:5" x14ac:dyDescent="0.25">
      <c r="A5464" s="41">
        <v>18292</v>
      </c>
      <c r="B5464" s="42" t="s">
        <v>5834</v>
      </c>
      <c r="C5464" s="43" t="s">
        <v>289</v>
      </c>
      <c r="D5464" s="43" t="s">
        <v>5833</v>
      </c>
      <c r="E5464" s="43" t="s">
        <v>230</v>
      </c>
    </row>
    <row r="5465" spans="1:5" x14ac:dyDescent="0.25">
      <c r="A5465" s="41">
        <v>18293</v>
      </c>
      <c r="B5465" s="42" t="s">
        <v>5835</v>
      </c>
      <c r="C5465" s="43" t="s">
        <v>289</v>
      </c>
      <c r="D5465" s="43" t="s">
        <v>5833</v>
      </c>
      <c r="E5465" s="43" t="s">
        <v>230</v>
      </c>
    </row>
    <row r="5466" spans="1:5" x14ac:dyDescent="0.25">
      <c r="A5466" s="41">
        <v>18294</v>
      </c>
      <c r="B5466" s="42" t="s">
        <v>5836</v>
      </c>
      <c r="C5466" s="43" t="s">
        <v>289</v>
      </c>
      <c r="D5466" s="43" t="s">
        <v>5833</v>
      </c>
      <c r="E5466" s="43" t="s">
        <v>230</v>
      </c>
    </row>
    <row r="5467" spans="1:5" x14ac:dyDescent="0.25">
      <c r="A5467" s="41">
        <v>18296</v>
      </c>
      <c r="B5467" s="42" t="s">
        <v>5837</v>
      </c>
      <c r="C5467" s="43" t="s">
        <v>289</v>
      </c>
      <c r="D5467" s="43" t="s">
        <v>5838</v>
      </c>
      <c r="E5467" s="43" t="s">
        <v>769</v>
      </c>
    </row>
    <row r="5468" spans="1:5" x14ac:dyDescent="0.25">
      <c r="A5468" s="41">
        <v>18297</v>
      </c>
      <c r="B5468" s="42" t="s">
        <v>5839</v>
      </c>
      <c r="C5468" s="43" t="s">
        <v>289</v>
      </c>
      <c r="D5468" s="43" t="s">
        <v>2080</v>
      </c>
      <c r="E5468" s="43" t="s">
        <v>230</v>
      </c>
    </row>
    <row r="5469" spans="1:5" x14ac:dyDescent="0.25">
      <c r="A5469" s="41">
        <v>18298</v>
      </c>
      <c r="B5469" s="42" t="s">
        <v>5840</v>
      </c>
      <c r="C5469" s="43" t="s">
        <v>289</v>
      </c>
      <c r="D5469" s="43" t="s">
        <v>466</v>
      </c>
      <c r="E5469" s="43" t="s">
        <v>230</v>
      </c>
    </row>
    <row r="5470" spans="1:5" x14ac:dyDescent="0.25">
      <c r="A5470" s="41">
        <v>18299</v>
      </c>
      <c r="B5470" s="42" t="s">
        <v>5841</v>
      </c>
      <c r="C5470" s="43" t="s">
        <v>289</v>
      </c>
      <c r="D5470" s="43" t="s">
        <v>1112</v>
      </c>
      <c r="E5470" s="43" t="s">
        <v>464</v>
      </c>
    </row>
    <row r="5471" spans="1:5" x14ac:dyDescent="0.25">
      <c r="A5471" s="41">
        <v>18301</v>
      </c>
      <c r="B5471" s="42" t="s">
        <v>5842</v>
      </c>
      <c r="C5471" s="43" t="s">
        <v>289</v>
      </c>
      <c r="D5471" s="43" t="s">
        <v>1073</v>
      </c>
      <c r="E5471" s="43" t="s">
        <v>5843</v>
      </c>
    </row>
    <row r="5472" spans="1:5" x14ac:dyDescent="0.25">
      <c r="A5472" s="41">
        <v>18302</v>
      </c>
      <c r="B5472" s="42" t="s">
        <v>5844</v>
      </c>
      <c r="C5472" s="43" t="s">
        <v>289</v>
      </c>
      <c r="D5472" s="43" t="s">
        <v>1112</v>
      </c>
      <c r="E5472" s="43" t="s">
        <v>230</v>
      </c>
    </row>
    <row r="5473" spans="1:5" x14ac:dyDescent="0.25">
      <c r="A5473" s="41">
        <v>18303</v>
      </c>
      <c r="B5473" s="42" t="s">
        <v>5845</v>
      </c>
      <c r="C5473" s="43" t="s">
        <v>289</v>
      </c>
      <c r="D5473" s="43" t="s">
        <v>1112</v>
      </c>
      <c r="E5473" s="43" t="s">
        <v>230</v>
      </c>
    </row>
    <row r="5474" spans="1:5" x14ac:dyDescent="0.25">
      <c r="A5474" s="41">
        <v>18304</v>
      </c>
      <c r="B5474" s="42" t="s">
        <v>5846</v>
      </c>
      <c r="C5474" s="43" t="s">
        <v>289</v>
      </c>
      <c r="D5474" s="43" t="s">
        <v>1112</v>
      </c>
      <c r="E5474" s="43" t="s">
        <v>230</v>
      </c>
    </row>
    <row r="5475" spans="1:5" x14ac:dyDescent="0.25">
      <c r="A5475" s="41">
        <v>18311</v>
      </c>
      <c r="B5475" s="42" t="s">
        <v>5847</v>
      </c>
      <c r="C5475" s="43" t="s">
        <v>289</v>
      </c>
      <c r="D5475" s="43" t="s">
        <v>1112</v>
      </c>
      <c r="E5475" s="43" t="s">
        <v>464</v>
      </c>
    </row>
    <row r="5476" spans="1:5" x14ac:dyDescent="0.25">
      <c r="A5476" s="41">
        <v>18312</v>
      </c>
      <c r="B5476" s="42" t="s">
        <v>5848</v>
      </c>
      <c r="C5476" s="43" t="s">
        <v>289</v>
      </c>
      <c r="D5476" s="43" t="s">
        <v>1112</v>
      </c>
      <c r="E5476" s="43" t="s">
        <v>454</v>
      </c>
    </row>
    <row r="5477" spans="1:5" x14ac:dyDescent="0.25">
      <c r="A5477" s="41">
        <v>18313</v>
      </c>
      <c r="B5477" s="42" t="s">
        <v>5849</v>
      </c>
      <c r="C5477" s="43" t="s">
        <v>289</v>
      </c>
      <c r="D5477" s="43" t="s">
        <v>1112</v>
      </c>
      <c r="E5477" s="43" t="s">
        <v>454</v>
      </c>
    </row>
    <row r="5478" spans="1:5" x14ac:dyDescent="0.25">
      <c r="A5478" s="41">
        <v>18315</v>
      </c>
      <c r="B5478" s="42" t="s">
        <v>5850</v>
      </c>
      <c r="C5478" s="43" t="s">
        <v>289</v>
      </c>
      <c r="D5478" s="43" t="s">
        <v>1112</v>
      </c>
      <c r="E5478" s="43" t="s">
        <v>454</v>
      </c>
    </row>
    <row r="5479" spans="1:5" x14ac:dyDescent="0.25">
      <c r="A5479" s="41">
        <v>18316</v>
      </c>
      <c r="B5479" s="42" t="s">
        <v>5851</v>
      </c>
      <c r="C5479" s="43" t="s">
        <v>289</v>
      </c>
      <c r="D5479" s="43" t="s">
        <v>1913</v>
      </c>
      <c r="E5479" s="43" t="s">
        <v>230</v>
      </c>
    </row>
    <row r="5480" spans="1:5" x14ac:dyDescent="0.25">
      <c r="A5480" s="41">
        <v>18317</v>
      </c>
      <c r="B5480" s="42" t="s">
        <v>5852</v>
      </c>
      <c r="C5480" s="43" t="s">
        <v>289</v>
      </c>
      <c r="D5480" s="43" t="s">
        <v>1112</v>
      </c>
      <c r="E5480" s="43" t="s">
        <v>464</v>
      </c>
    </row>
    <row r="5481" spans="1:5" x14ac:dyDescent="0.25">
      <c r="A5481" s="41">
        <v>18318</v>
      </c>
      <c r="B5481" s="42" t="s">
        <v>5853</v>
      </c>
      <c r="C5481" s="43" t="s">
        <v>289</v>
      </c>
      <c r="D5481" s="43" t="s">
        <v>1112</v>
      </c>
      <c r="E5481" s="43" t="s">
        <v>464</v>
      </c>
    </row>
    <row r="5482" spans="1:5" x14ac:dyDescent="0.25">
      <c r="A5482" s="41">
        <v>18319</v>
      </c>
      <c r="B5482" s="42" t="s">
        <v>5854</v>
      </c>
      <c r="C5482" s="43" t="s">
        <v>289</v>
      </c>
      <c r="D5482" s="43" t="s">
        <v>1112</v>
      </c>
      <c r="E5482" s="43" t="s">
        <v>464</v>
      </c>
    </row>
    <row r="5483" spans="1:5" x14ac:dyDescent="0.25">
      <c r="A5483" s="41">
        <v>18321</v>
      </c>
      <c r="B5483" s="42" t="s">
        <v>5855</v>
      </c>
      <c r="C5483" s="43" t="s">
        <v>289</v>
      </c>
      <c r="D5483" s="43" t="s">
        <v>1112</v>
      </c>
      <c r="E5483" s="43" t="s">
        <v>464</v>
      </c>
    </row>
    <row r="5484" spans="1:5" x14ac:dyDescent="0.25">
      <c r="A5484" s="41">
        <v>18322</v>
      </c>
      <c r="B5484" s="42" t="s">
        <v>5856</v>
      </c>
      <c r="C5484" s="43" t="s">
        <v>289</v>
      </c>
      <c r="D5484" s="43" t="s">
        <v>1112</v>
      </c>
      <c r="E5484" s="43" t="s">
        <v>464</v>
      </c>
    </row>
    <row r="5485" spans="1:5" x14ac:dyDescent="0.25">
      <c r="A5485" s="41">
        <v>18324</v>
      </c>
      <c r="B5485" s="42" t="s">
        <v>5857</v>
      </c>
      <c r="C5485" s="43" t="s">
        <v>289</v>
      </c>
      <c r="D5485" s="43" t="s">
        <v>1112</v>
      </c>
      <c r="E5485" s="43" t="s">
        <v>464</v>
      </c>
    </row>
    <row r="5486" spans="1:5" x14ac:dyDescent="0.25">
      <c r="A5486" s="41">
        <v>18326</v>
      </c>
      <c r="B5486" s="42" t="s">
        <v>5858</v>
      </c>
      <c r="C5486" s="43" t="s">
        <v>289</v>
      </c>
      <c r="D5486" s="43" t="s">
        <v>1112</v>
      </c>
      <c r="E5486" s="43" t="s">
        <v>464</v>
      </c>
    </row>
    <row r="5487" spans="1:5" x14ac:dyDescent="0.25">
      <c r="A5487" s="41">
        <v>18327</v>
      </c>
      <c r="B5487" s="42" t="s">
        <v>5859</v>
      </c>
      <c r="C5487" s="43" t="s">
        <v>289</v>
      </c>
      <c r="D5487" s="43" t="s">
        <v>1112</v>
      </c>
      <c r="E5487" s="43" t="s">
        <v>464</v>
      </c>
    </row>
    <row r="5488" spans="1:5" x14ac:dyDescent="0.25">
      <c r="A5488" s="41">
        <v>18328</v>
      </c>
      <c r="B5488" s="42" t="s">
        <v>5860</v>
      </c>
      <c r="C5488" s="43" t="s">
        <v>289</v>
      </c>
      <c r="D5488" s="43" t="s">
        <v>1112</v>
      </c>
      <c r="E5488" s="43" t="s">
        <v>464</v>
      </c>
    </row>
    <row r="5489" spans="1:5" x14ac:dyDescent="0.25">
      <c r="A5489" s="41">
        <v>18329</v>
      </c>
      <c r="B5489" s="42" t="s">
        <v>5856</v>
      </c>
      <c r="C5489" s="43" t="s">
        <v>289</v>
      </c>
      <c r="D5489" s="43" t="s">
        <v>1112</v>
      </c>
      <c r="E5489" s="43" t="s">
        <v>464</v>
      </c>
    </row>
    <row r="5490" spans="1:5" x14ac:dyDescent="0.25">
      <c r="A5490" s="41">
        <v>18330</v>
      </c>
      <c r="B5490" s="42" t="s">
        <v>5861</v>
      </c>
      <c r="C5490" s="43" t="s">
        <v>289</v>
      </c>
      <c r="D5490" s="43" t="s">
        <v>474</v>
      </c>
      <c r="E5490" s="43" t="s">
        <v>230</v>
      </c>
    </row>
    <row r="5491" spans="1:5" x14ac:dyDescent="0.25">
      <c r="A5491" s="41">
        <v>18331</v>
      </c>
      <c r="B5491" s="42" t="s">
        <v>5862</v>
      </c>
      <c r="C5491" s="43" t="s">
        <v>289</v>
      </c>
      <c r="D5491" s="43" t="s">
        <v>474</v>
      </c>
      <c r="E5491" s="43" t="s">
        <v>230</v>
      </c>
    </row>
    <row r="5492" spans="1:5" x14ac:dyDescent="0.25">
      <c r="A5492" s="41">
        <v>18341</v>
      </c>
      <c r="B5492" s="42" t="s">
        <v>5863</v>
      </c>
      <c r="C5492" s="43" t="s">
        <v>289</v>
      </c>
      <c r="D5492" s="43" t="s">
        <v>1092</v>
      </c>
      <c r="E5492" s="43" t="s">
        <v>1093</v>
      </c>
    </row>
    <row r="5493" spans="1:5" x14ac:dyDescent="0.25">
      <c r="A5493" s="41">
        <v>18351</v>
      </c>
      <c r="B5493" s="42" t="s">
        <v>5864</v>
      </c>
      <c r="C5493" s="43" t="s">
        <v>289</v>
      </c>
      <c r="D5493" s="43" t="s">
        <v>316</v>
      </c>
      <c r="E5493" s="43" t="s">
        <v>230</v>
      </c>
    </row>
    <row r="5494" spans="1:5" x14ac:dyDescent="0.25">
      <c r="A5494" s="41">
        <v>18353</v>
      </c>
      <c r="B5494" s="42" t="s">
        <v>5865</v>
      </c>
      <c r="C5494" s="43" t="s">
        <v>289</v>
      </c>
      <c r="D5494" s="43" t="s">
        <v>1112</v>
      </c>
      <c r="E5494" s="43" t="s">
        <v>464</v>
      </c>
    </row>
    <row r="5495" spans="1:5" x14ac:dyDescent="0.25">
      <c r="A5495" s="41">
        <v>18355</v>
      </c>
      <c r="B5495" s="42" t="s">
        <v>5866</v>
      </c>
      <c r="C5495" s="43" t="s">
        <v>289</v>
      </c>
      <c r="D5495" s="43" t="s">
        <v>1112</v>
      </c>
      <c r="E5495" s="43" t="s">
        <v>464</v>
      </c>
    </row>
    <row r="5496" spans="1:5" x14ac:dyDescent="0.25">
      <c r="A5496" s="41">
        <v>18356</v>
      </c>
      <c r="B5496" s="42" t="s">
        <v>5867</v>
      </c>
      <c r="C5496" s="43" t="s">
        <v>289</v>
      </c>
      <c r="D5496" s="43" t="s">
        <v>433</v>
      </c>
      <c r="E5496" s="43" t="s">
        <v>336</v>
      </c>
    </row>
    <row r="5497" spans="1:5" x14ac:dyDescent="0.25">
      <c r="A5497" s="41">
        <v>18357</v>
      </c>
      <c r="B5497" s="42" t="s">
        <v>5868</v>
      </c>
      <c r="C5497" s="43" t="s">
        <v>289</v>
      </c>
      <c r="D5497" s="43" t="s">
        <v>433</v>
      </c>
      <c r="E5497" s="43" t="s">
        <v>454</v>
      </c>
    </row>
    <row r="5498" spans="1:5" x14ac:dyDescent="0.25">
      <c r="A5498" s="41">
        <v>18358</v>
      </c>
      <c r="B5498" s="42" t="s">
        <v>5869</v>
      </c>
      <c r="C5498" s="43" t="s">
        <v>289</v>
      </c>
      <c r="D5498" s="43" t="s">
        <v>316</v>
      </c>
      <c r="E5498" s="43" t="s">
        <v>454</v>
      </c>
    </row>
    <row r="5499" spans="1:5" x14ac:dyDescent="0.25">
      <c r="A5499" s="41">
        <v>18359</v>
      </c>
      <c r="B5499" s="42" t="s">
        <v>5870</v>
      </c>
      <c r="C5499" s="43" t="s">
        <v>289</v>
      </c>
      <c r="D5499" s="43" t="s">
        <v>433</v>
      </c>
      <c r="E5499" s="43" t="s">
        <v>454</v>
      </c>
    </row>
    <row r="5500" spans="1:5" x14ac:dyDescent="0.25">
      <c r="A5500" s="41">
        <v>18360</v>
      </c>
      <c r="B5500" s="42" t="s">
        <v>5871</v>
      </c>
      <c r="C5500" s="43" t="s">
        <v>289</v>
      </c>
      <c r="D5500" s="43" t="s">
        <v>433</v>
      </c>
      <c r="E5500" s="43" t="s">
        <v>454</v>
      </c>
    </row>
    <row r="5501" spans="1:5" x14ac:dyDescent="0.25">
      <c r="A5501" s="41">
        <v>18361</v>
      </c>
      <c r="B5501" s="42" t="s">
        <v>5872</v>
      </c>
      <c r="C5501" s="43" t="s">
        <v>289</v>
      </c>
      <c r="D5501" s="43" t="s">
        <v>433</v>
      </c>
      <c r="E5501" s="43" t="s">
        <v>454</v>
      </c>
    </row>
    <row r="5502" spans="1:5" x14ac:dyDescent="0.25">
      <c r="A5502" s="41">
        <v>18365</v>
      </c>
      <c r="B5502" s="42" t="s">
        <v>5873</v>
      </c>
      <c r="C5502" s="43" t="s">
        <v>289</v>
      </c>
      <c r="D5502" s="43" t="s">
        <v>316</v>
      </c>
      <c r="E5502" s="43" t="s">
        <v>454</v>
      </c>
    </row>
    <row r="5503" spans="1:5" x14ac:dyDescent="0.25">
      <c r="A5503" s="41">
        <v>18366</v>
      </c>
      <c r="B5503" s="42" t="s">
        <v>5874</v>
      </c>
      <c r="C5503" s="43" t="s">
        <v>289</v>
      </c>
      <c r="D5503" s="43" t="s">
        <v>453</v>
      </c>
      <c r="E5503" s="43" t="s">
        <v>454</v>
      </c>
    </row>
    <row r="5504" spans="1:5" x14ac:dyDescent="0.25">
      <c r="A5504" s="41">
        <v>18367</v>
      </c>
      <c r="B5504" s="42" t="s">
        <v>5875</v>
      </c>
      <c r="C5504" s="43" t="s">
        <v>289</v>
      </c>
      <c r="D5504" s="43" t="s">
        <v>316</v>
      </c>
      <c r="E5504" s="43" t="s">
        <v>454</v>
      </c>
    </row>
    <row r="5505" spans="1:5" x14ac:dyDescent="0.25">
      <c r="A5505" s="41">
        <v>18368</v>
      </c>
      <c r="B5505" s="42" t="s">
        <v>5876</v>
      </c>
      <c r="C5505" s="43" t="s">
        <v>289</v>
      </c>
      <c r="D5505" s="43" t="s">
        <v>1138</v>
      </c>
      <c r="E5505" s="43" t="s">
        <v>454</v>
      </c>
    </row>
    <row r="5506" spans="1:5" x14ac:dyDescent="0.25">
      <c r="A5506" s="41">
        <v>18369</v>
      </c>
      <c r="B5506" s="42" t="s">
        <v>5877</v>
      </c>
      <c r="C5506" s="43" t="s">
        <v>289</v>
      </c>
      <c r="D5506" s="43" t="s">
        <v>1138</v>
      </c>
      <c r="E5506" s="43" t="s">
        <v>454</v>
      </c>
    </row>
    <row r="5507" spans="1:5" x14ac:dyDescent="0.25">
      <c r="A5507" s="41">
        <v>18370</v>
      </c>
      <c r="B5507" s="42" t="s">
        <v>5878</v>
      </c>
      <c r="C5507" s="43" t="s">
        <v>289</v>
      </c>
      <c r="D5507" s="43" t="s">
        <v>1138</v>
      </c>
      <c r="E5507" s="43" t="s">
        <v>454</v>
      </c>
    </row>
    <row r="5508" spans="1:5" x14ac:dyDescent="0.25">
      <c r="A5508" s="41">
        <v>18371</v>
      </c>
      <c r="B5508" s="42" t="s">
        <v>5873</v>
      </c>
      <c r="C5508" s="43" t="s">
        <v>289</v>
      </c>
      <c r="D5508" s="43" t="s">
        <v>316</v>
      </c>
      <c r="E5508" s="43" t="s">
        <v>454</v>
      </c>
    </row>
    <row r="5509" spans="1:5" x14ac:dyDescent="0.25">
      <c r="A5509" s="41">
        <v>18372</v>
      </c>
      <c r="B5509" s="42" t="s">
        <v>5874</v>
      </c>
      <c r="C5509" s="43" t="s">
        <v>289</v>
      </c>
      <c r="D5509" s="43" t="s">
        <v>433</v>
      </c>
      <c r="E5509" s="43" t="s">
        <v>454</v>
      </c>
    </row>
    <row r="5510" spans="1:5" x14ac:dyDescent="0.25">
      <c r="A5510" s="41">
        <v>18373</v>
      </c>
      <c r="B5510" s="42" t="s">
        <v>5879</v>
      </c>
      <c r="C5510" s="43" t="s">
        <v>289</v>
      </c>
      <c r="D5510" s="43" t="s">
        <v>316</v>
      </c>
      <c r="E5510" s="43" t="s">
        <v>454</v>
      </c>
    </row>
    <row r="5511" spans="1:5" x14ac:dyDescent="0.25">
      <c r="A5511" s="41">
        <v>18374</v>
      </c>
      <c r="B5511" s="42" t="s">
        <v>5880</v>
      </c>
      <c r="C5511" s="43" t="s">
        <v>289</v>
      </c>
      <c r="D5511" s="43" t="s">
        <v>316</v>
      </c>
      <c r="E5511" s="43" t="s">
        <v>454</v>
      </c>
    </row>
    <row r="5512" spans="1:5" x14ac:dyDescent="0.25">
      <c r="A5512" s="41">
        <v>18375</v>
      </c>
      <c r="B5512" s="42" t="s">
        <v>5881</v>
      </c>
      <c r="C5512" s="43" t="s">
        <v>289</v>
      </c>
      <c r="D5512" s="43" t="s">
        <v>1112</v>
      </c>
      <c r="E5512" s="43" t="s">
        <v>464</v>
      </c>
    </row>
    <row r="5513" spans="1:5" x14ac:dyDescent="0.25">
      <c r="A5513" s="41">
        <v>18376</v>
      </c>
      <c r="B5513" s="42" t="s">
        <v>5882</v>
      </c>
      <c r="C5513" s="43" t="s">
        <v>289</v>
      </c>
      <c r="D5513" s="43" t="s">
        <v>474</v>
      </c>
      <c r="E5513" s="43" t="s">
        <v>230</v>
      </c>
    </row>
    <row r="5514" spans="1:5" x14ac:dyDescent="0.25">
      <c r="A5514" s="41">
        <v>18377</v>
      </c>
      <c r="B5514" s="42" t="s">
        <v>5883</v>
      </c>
      <c r="C5514" s="43" t="s">
        <v>289</v>
      </c>
      <c r="D5514" s="43" t="s">
        <v>474</v>
      </c>
      <c r="E5514" s="43" t="s">
        <v>230</v>
      </c>
    </row>
    <row r="5515" spans="1:5" x14ac:dyDescent="0.25">
      <c r="A5515" s="41">
        <v>18379</v>
      </c>
      <c r="B5515" s="42" t="s">
        <v>5884</v>
      </c>
      <c r="C5515" s="43" t="s">
        <v>289</v>
      </c>
      <c r="D5515" s="43" t="s">
        <v>474</v>
      </c>
      <c r="E5515" s="43" t="s">
        <v>230</v>
      </c>
    </row>
    <row r="5516" spans="1:5" x14ac:dyDescent="0.25">
      <c r="A5516" s="41">
        <v>18380</v>
      </c>
      <c r="B5516" s="42" t="s">
        <v>5885</v>
      </c>
      <c r="C5516" s="43" t="s">
        <v>289</v>
      </c>
      <c r="D5516" s="43" t="s">
        <v>474</v>
      </c>
      <c r="E5516" s="43" t="s">
        <v>230</v>
      </c>
    </row>
    <row r="5517" spans="1:5" x14ac:dyDescent="0.25">
      <c r="A5517" s="41">
        <v>18381</v>
      </c>
      <c r="B5517" s="42" t="s">
        <v>5886</v>
      </c>
      <c r="C5517" s="43" t="s">
        <v>289</v>
      </c>
      <c r="D5517" s="43" t="s">
        <v>5833</v>
      </c>
      <c r="E5517" s="43" t="s">
        <v>373</v>
      </c>
    </row>
    <row r="5518" spans="1:5" x14ac:dyDescent="0.25">
      <c r="A5518" s="41">
        <v>18382</v>
      </c>
      <c r="B5518" s="42" t="s">
        <v>5887</v>
      </c>
      <c r="C5518" s="43" t="s">
        <v>289</v>
      </c>
      <c r="D5518" s="43" t="s">
        <v>333</v>
      </c>
      <c r="E5518" s="43" t="s">
        <v>230</v>
      </c>
    </row>
    <row r="5519" spans="1:5" x14ac:dyDescent="0.25">
      <c r="A5519" s="41">
        <v>18383</v>
      </c>
      <c r="B5519" s="42" t="s">
        <v>5888</v>
      </c>
      <c r="C5519" s="43" t="s">
        <v>289</v>
      </c>
      <c r="D5519" s="43" t="s">
        <v>4329</v>
      </c>
      <c r="E5519" s="43" t="s">
        <v>769</v>
      </c>
    </row>
    <row r="5520" spans="1:5" x14ac:dyDescent="0.25">
      <c r="A5520" s="41">
        <v>18391</v>
      </c>
      <c r="B5520" s="42" t="s">
        <v>5889</v>
      </c>
      <c r="C5520" s="43" t="s">
        <v>289</v>
      </c>
      <c r="D5520" s="43" t="s">
        <v>1138</v>
      </c>
      <c r="E5520" s="43" t="s">
        <v>464</v>
      </c>
    </row>
    <row r="5521" spans="1:5" x14ac:dyDescent="0.25">
      <c r="A5521" s="41">
        <v>18392</v>
      </c>
      <c r="B5521" s="42" t="s">
        <v>3943</v>
      </c>
      <c r="C5521" s="43" t="s">
        <v>289</v>
      </c>
      <c r="D5521" s="43" t="s">
        <v>1138</v>
      </c>
      <c r="E5521" s="43" t="s">
        <v>464</v>
      </c>
    </row>
    <row r="5522" spans="1:5" x14ac:dyDescent="0.25">
      <c r="A5522" s="41">
        <v>18393</v>
      </c>
      <c r="B5522" s="42" t="s">
        <v>5890</v>
      </c>
      <c r="C5522" s="43" t="s">
        <v>289</v>
      </c>
      <c r="D5522" s="43" t="s">
        <v>1138</v>
      </c>
      <c r="E5522" s="43" t="s">
        <v>464</v>
      </c>
    </row>
    <row r="5523" spans="1:5" x14ac:dyDescent="0.25">
      <c r="A5523" s="41">
        <v>18395</v>
      </c>
      <c r="B5523" s="42" t="s">
        <v>5891</v>
      </c>
      <c r="C5523" s="43" t="s">
        <v>289</v>
      </c>
      <c r="D5523" s="43" t="s">
        <v>333</v>
      </c>
      <c r="E5523" s="43" t="s">
        <v>5892</v>
      </c>
    </row>
    <row r="5524" spans="1:5" x14ac:dyDescent="0.25">
      <c r="A5524" s="41">
        <v>18401</v>
      </c>
      <c r="B5524" s="42" t="s">
        <v>5893</v>
      </c>
      <c r="C5524" s="43" t="s">
        <v>289</v>
      </c>
      <c r="D5524" s="43" t="s">
        <v>314</v>
      </c>
      <c r="E5524" s="43" t="s">
        <v>230</v>
      </c>
    </row>
    <row r="5525" spans="1:5" x14ac:dyDescent="0.25">
      <c r="A5525" s="41">
        <v>18403</v>
      </c>
      <c r="B5525" s="42" t="s">
        <v>5894</v>
      </c>
      <c r="C5525" s="43" t="s">
        <v>289</v>
      </c>
      <c r="D5525" s="43" t="s">
        <v>474</v>
      </c>
      <c r="E5525" s="43" t="s">
        <v>230</v>
      </c>
    </row>
    <row r="5526" spans="1:5" x14ac:dyDescent="0.25">
      <c r="A5526" s="41">
        <v>18404</v>
      </c>
      <c r="B5526" s="42" t="s">
        <v>5895</v>
      </c>
      <c r="C5526" s="43" t="s">
        <v>289</v>
      </c>
      <c r="D5526" s="43" t="s">
        <v>3754</v>
      </c>
      <c r="E5526" s="43" t="s">
        <v>769</v>
      </c>
    </row>
    <row r="5527" spans="1:5" x14ac:dyDescent="0.25">
      <c r="A5527" s="41">
        <v>18412</v>
      </c>
      <c r="B5527" s="42" t="s">
        <v>5896</v>
      </c>
      <c r="C5527" s="43" t="s">
        <v>289</v>
      </c>
      <c r="D5527" s="43" t="s">
        <v>1112</v>
      </c>
      <c r="E5527" s="43" t="s">
        <v>464</v>
      </c>
    </row>
    <row r="5528" spans="1:5" x14ac:dyDescent="0.25">
      <c r="A5528" s="41">
        <v>18417</v>
      </c>
      <c r="B5528" s="42" t="s">
        <v>5897</v>
      </c>
      <c r="C5528" s="43" t="s">
        <v>289</v>
      </c>
      <c r="D5528" s="43" t="s">
        <v>1112</v>
      </c>
      <c r="E5528" s="43" t="s">
        <v>464</v>
      </c>
    </row>
    <row r="5529" spans="1:5" x14ac:dyDescent="0.25">
      <c r="A5529" s="41">
        <v>18418</v>
      </c>
      <c r="B5529" s="42" t="s">
        <v>5898</v>
      </c>
      <c r="C5529" s="43" t="s">
        <v>289</v>
      </c>
      <c r="D5529" s="43" t="s">
        <v>1112</v>
      </c>
      <c r="E5529" s="43" t="s">
        <v>464</v>
      </c>
    </row>
    <row r="5530" spans="1:5" x14ac:dyDescent="0.25">
      <c r="A5530" s="41">
        <v>18419</v>
      </c>
      <c r="B5530" s="42" t="s">
        <v>5899</v>
      </c>
      <c r="C5530" s="43" t="s">
        <v>289</v>
      </c>
      <c r="D5530" s="43" t="s">
        <v>1112</v>
      </c>
      <c r="E5530" s="43" t="s">
        <v>464</v>
      </c>
    </row>
    <row r="5531" spans="1:5" x14ac:dyDescent="0.25">
      <c r="A5531" s="41">
        <v>18420</v>
      </c>
      <c r="B5531" s="42" t="s">
        <v>5900</v>
      </c>
      <c r="C5531" s="43" t="s">
        <v>289</v>
      </c>
      <c r="D5531" s="43" t="s">
        <v>1112</v>
      </c>
      <c r="E5531" s="43" t="s">
        <v>464</v>
      </c>
    </row>
    <row r="5532" spans="1:5" x14ac:dyDescent="0.25">
      <c r="A5532" s="41">
        <v>18421</v>
      </c>
      <c r="B5532" s="42" t="s">
        <v>5901</v>
      </c>
      <c r="C5532" s="43" t="s">
        <v>289</v>
      </c>
      <c r="D5532" s="43" t="s">
        <v>1112</v>
      </c>
      <c r="E5532" s="43" t="s">
        <v>464</v>
      </c>
    </row>
    <row r="5533" spans="1:5" x14ac:dyDescent="0.25">
      <c r="A5533" s="41">
        <v>18422</v>
      </c>
      <c r="B5533" s="42" t="s">
        <v>5902</v>
      </c>
      <c r="C5533" s="43" t="s">
        <v>289</v>
      </c>
      <c r="D5533" s="43" t="s">
        <v>1112</v>
      </c>
      <c r="E5533" s="43" t="s">
        <v>464</v>
      </c>
    </row>
    <row r="5534" spans="1:5" x14ac:dyDescent="0.25">
      <c r="A5534" s="41">
        <v>18423</v>
      </c>
      <c r="B5534" s="42" t="s">
        <v>5903</v>
      </c>
      <c r="C5534" s="43" t="s">
        <v>289</v>
      </c>
      <c r="D5534" s="43" t="s">
        <v>1112</v>
      </c>
      <c r="E5534" s="43" t="s">
        <v>464</v>
      </c>
    </row>
    <row r="5535" spans="1:5" x14ac:dyDescent="0.25">
      <c r="A5535" s="41">
        <v>18424</v>
      </c>
      <c r="B5535" s="42" t="s">
        <v>5904</v>
      </c>
      <c r="C5535" s="43" t="s">
        <v>289</v>
      </c>
      <c r="D5535" s="43" t="s">
        <v>1112</v>
      </c>
      <c r="E5535" s="43" t="s">
        <v>464</v>
      </c>
    </row>
    <row r="5536" spans="1:5" x14ac:dyDescent="0.25">
      <c r="A5536" s="41">
        <v>18425</v>
      </c>
      <c r="B5536" s="42" t="s">
        <v>5905</v>
      </c>
      <c r="C5536" s="43" t="s">
        <v>289</v>
      </c>
      <c r="D5536" s="43" t="s">
        <v>474</v>
      </c>
      <c r="E5536" s="43" t="s">
        <v>230</v>
      </c>
    </row>
    <row r="5537" spans="1:5" x14ac:dyDescent="0.25">
      <c r="A5537" s="41">
        <v>18433</v>
      </c>
      <c r="B5537" s="42" t="s">
        <v>5906</v>
      </c>
      <c r="C5537" s="43" t="s">
        <v>289</v>
      </c>
      <c r="D5537" s="43" t="s">
        <v>433</v>
      </c>
      <c r="E5537" s="43" t="s">
        <v>454</v>
      </c>
    </row>
    <row r="5538" spans="1:5" x14ac:dyDescent="0.25">
      <c r="A5538" s="41">
        <v>18434</v>
      </c>
      <c r="B5538" s="42" t="s">
        <v>5907</v>
      </c>
      <c r="C5538" s="43" t="s">
        <v>289</v>
      </c>
      <c r="D5538" s="43" t="s">
        <v>433</v>
      </c>
      <c r="E5538" s="43" t="s">
        <v>454</v>
      </c>
    </row>
    <row r="5539" spans="1:5" x14ac:dyDescent="0.25">
      <c r="A5539" s="41">
        <v>18435</v>
      </c>
      <c r="B5539" s="42" t="s">
        <v>5908</v>
      </c>
      <c r="C5539" s="43" t="s">
        <v>289</v>
      </c>
      <c r="D5539" s="43" t="s">
        <v>433</v>
      </c>
      <c r="E5539" s="43" t="s">
        <v>454</v>
      </c>
    </row>
    <row r="5540" spans="1:5" x14ac:dyDescent="0.25">
      <c r="A5540" s="41">
        <v>18436</v>
      </c>
      <c r="B5540" s="42" t="s">
        <v>5909</v>
      </c>
      <c r="C5540" s="43" t="s">
        <v>289</v>
      </c>
      <c r="D5540" s="43" t="s">
        <v>1138</v>
      </c>
      <c r="E5540" s="43" t="s">
        <v>454</v>
      </c>
    </row>
    <row r="5541" spans="1:5" x14ac:dyDescent="0.25">
      <c r="A5541" s="41">
        <v>18438</v>
      </c>
      <c r="B5541" s="42" t="s">
        <v>5910</v>
      </c>
      <c r="C5541" s="43" t="s">
        <v>289</v>
      </c>
      <c r="D5541" s="43" t="s">
        <v>474</v>
      </c>
      <c r="E5541" s="43" t="s">
        <v>230</v>
      </c>
    </row>
    <row r="5542" spans="1:5" x14ac:dyDescent="0.25">
      <c r="A5542" s="41">
        <v>18440</v>
      </c>
      <c r="B5542" s="42" t="s">
        <v>5911</v>
      </c>
      <c r="C5542" s="43" t="s">
        <v>289</v>
      </c>
      <c r="D5542" s="43" t="s">
        <v>474</v>
      </c>
      <c r="E5542" s="43" t="s">
        <v>230</v>
      </c>
    </row>
    <row r="5543" spans="1:5" x14ac:dyDescent="0.25">
      <c r="A5543" s="41">
        <v>18442</v>
      </c>
      <c r="B5543" s="42" t="s">
        <v>5912</v>
      </c>
      <c r="C5543" s="43" t="s">
        <v>289</v>
      </c>
      <c r="D5543" s="43" t="s">
        <v>474</v>
      </c>
      <c r="E5543" s="43" t="s">
        <v>336</v>
      </c>
    </row>
    <row r="5544" spans="1:5" x14ac:dyDescent="0.25">
      <c r="A5544" s="41">
        <v>18443</v>
      </c>
      <c r="B5544" s="42" t="s">
        <v>5913</v>
      </c>
      <c r="C5544" s="43" t="s">
        <v>289</v>
      </c>
      <c r="D5544" s="43" t="s">
        <v>474</v>
      </c>
      <c r="E5544" s="43" t="s">
        <v>472</v>
      </c>
    </row>
    <row r="5545" spans="1:5" x14ac:dyDescent="0.25">
      <c r="A5545" s="41">
        <v>18451</v>
      </c>
      <c r="B5545" s="42" t="s">
        <v>5914</v>
      </c>
      <c r="C5545" s="43" t="s">
        <v>289</v>
      </c>
      <c r="D5545" s="43" t="s">
        <v>474</v>
      </c>
      <c r="E5545" s="43" t="s">
        <v>230</v>
      </c>
    </row>
    <row r="5546" spans="1:5" x14ac:dyDescent="0.25">
      <c r="A5546" s="41">
        <v>18454</v>
      </c>
      <c r="B5546" s="42" t="s">
        <v>5915</v>
      </c>
      <c r="C5546" s="43" t="s">
        <v>289</v>
      </c>
      <c r="D5546" s="43" t="s">
        <v>474</v>
      </c>
      <c r="E5546" s="43" t="s">
        <v>230</v>
      </c>
    </row>
    <row r="5547" spans="1:5" x14ac:dyDescent="0.25">
      <c r="A5547" s="41">
        <v>18456</v>
      </c>
      <c r="B5547" s="42" t="s">
        <v>5916</v>
      </c>
      <c r="C5547" s="43" t="s">
        <v>289</v>
      </c>
      <c r="D5547" s="43" t="s">
        <v>474</v>
      </c>
      <c r="E5547" s="43" t="s">
        <v>230</v>
      </c>
    </row>
    <row r="5548" spans="1:5" x14ac:dyDescent="0.25">
      <c r="A5548" s="41">
        <v>18457</v>
      </c>
      <c r="B5548" s="42" t="s">
        <v>5917</v>
      </c>
      <c r="C5548" s="43" t="s">
        <v>289</v>
      </c>
      <c r="D5548" s="43" t="s">
        <v>474</v>
      </c>
      <c r="E5548" s="43" t="s">
        <v>230</v>
      </c>
    </row>
    <row r="5549" spans="1:5" x14ac:dyDescent="0.25">
      <c r="A5549" s="41">
        <v>18460</v>
      </c>
      <c r="B5549" s="42" t="s">
        <v>5918</v>
      </c>
      <c r="C5549" s="43" t="s">
        <v>289</v>
      </c>
      <c r="D5549" s="43" t="s">
        <v>474</v>
      </c>
      <c r="E5549" s="43" t="s">
        <v>230</v>
      </c>
    </row>
    <row r="5550" spans="1:5" x14ac:dyDescent="0.25">
      <c r="A5550" s="41">
        <v>18461</v>
      </c>
      <c r="B5550" s="42" t="s">
        <v>5919</v>
      </c>
      <c r="C5550" s="43" t="s">
        <v>289</v>
      </c>
      <c r="D5550" s="43" t="s">
        <v>474</v>
      </c>
      <c r="E5550" s="43" t="s">
        <v>230</v>
      </c>
    </row>
    <row r="5551" spans="1:5" x14ac:dyDescent="0.25">
      <c r="A5551" s="41">
        <v>18462</v>
      </c>
      <c r="B5551" s="42" t="s">
        <v>5920</v>
      </c>
      <c r="C5551" s="43" t="s">
        <v>289</v>
      </c>
      <c r="D5551" s="43" t="s">
        <v>474</v>
      </c>
      <c r="E5551" s="43" t="s">
        <v>170</v>
      </c>
    </row>
    <row r="5552" spans="1:5" x14ac:dyDescent="0.25">
      <c r="A5552" s="41">
        <v>18463</v>
      </c>
      <c r="B5552" s="42" t="s">
        <v>5921</v>
      </c>
      <c r="C5552" s="43" t="s">
        <v>289</v>
      </c>
      <c r="D5552" s="43" t="s">
        <v>474</v>
      </c>
      <c r="E5552" s="43" t="s">
        <v>230</v>
      </c>
    </row>
    <row r="5553" spans="1:5" x14ac:dyDescent="0.25">
      <c r="A5553" s="41">
        <v>18465</v>
      </c>
      <c r="B5553" s="42" t="s">
        <v>5922</v>
      </c>
      <c r="C5553" s="43" t="s">
        <v>289</v>
      </c>
      <c r="D5553" s="43" t="s">
        <v>474</v>
      </c>
      <c r="E5553" s="43" t="s">
        <v>230</v>
      </c>
    </row>
    <row r="5554" spans="1:5" x14ac:dyDescent="0.25">
      <c r="A5554" s="41">
        <v>18466</v>
      </c>
      <c r="B5554" s="42" t="s">
        <v>5923</v>
      </c>
      <c r="C5554" s="43" t="s">
        <v>289</v>
      </c>
      <c r="D5554" s="43" t="s">
        <v>474</v>
      </c>
      <c r="E5554" s="43" t="s">
        <v>230</v>
      </c>
    </row>
    <row r="5555" spans="1:5" x14ac:dyDescent="0.25">
      <c r="A5555" s="41">
        <v>18467</v>
      </c>
      <c r="B5555" s="42" t="s">
        <v>5924</v>
      </c>
      <c r="C5555" s="43" t="s">
        <v>289</v>
      </c>
      <c r="D5555" s="43" t="s">
        <v>474</v>
      </c>
      <c r="E5555" s="43" t="s">
        <v>230</v>
      </c>
    </row>
    <row r="5556" spans="1:5" x14ac:dyDescent="0.25">
      <c r="A5556" s="41">
        <v>18468</v>
      </c>
      <c r="B5556" s="42" t="s">
        <v>5925</v>
      </c>
      <c r="C5556" s="43" t="s">
        <v>289</v>
      </c>
      <c r="D5556" s="43" t="s">
        <v>327</v>
      </c>
      <c r="E5556" s="43" t="s">
        <v>230</v>
      </c>
    </row>
    <row r="5557" spans="1:5" x14ac:dyDescent="0.25">
      <c r="A5557" s="41">
        <v>18469</v>
      </c>
      <c r="B5557" s="42" t="s">
        <v>5926</v>
      </c>
      <c r="C5557" s="43" t="s">
        <v>289</v>
      </c>
      <c r="D5557" s="43" t="s">
        <v>316</v>
      </c>
      <c r="E5557" s="43" t="s">
        <v>230</v>
      </c>
    </row>
    <row r="5558" spans="1:5" x14ac:dyDescent="0.25">
      <c r="A5558" s="41">
        <v>18470</v>
      </c>
      <c r="B5558" s="42" t="s">
        <v>5927</v>
      </c>
      <c r="C5558" s="43" t="s">
        <v>289</v>
      </c>
      <c r="D5558" s="43" t="s">
        <v>3754</v>
      </c>
      <c r="E5558" s="43" t="s">
        <v>769</v>
      </c>
    </row>
    <row r="5559" spans="1:5" x14ac:dyDescent="0.25">
      <c r="A5559" s="41">
        <v>18471</v>
      </c>
      <c r="B5559" s="42" t="s">
        <v>5928</v>
      </c>
      <c r="C5559" s="43" t="s">
        <v>289</v>
      </c>
      <c r="D5559" s="43" t="s">
        <v>3668</v>
      </c>
      <c r="E5559" s="43" t="s">
        <v>464</v>
      </c>
    </row>
    <row r="5560" spans="1:5" x14ac:dyDescent="0.25">
      <c r="A5560" s="41">
        <v>18472</v>
      </c>
      <c r="B5560" s="42" t="s">
        <v>5929</v>
      </c>
      <c r="C5560" s="43" t="s">
        <v>289</v>
      </c>
      <c r="D5560" s="43" t="s">
        <v>327</v>
      </c>
      <c r="E5560" s="43" t="s">
        <v>230</v>
      </c>
    </row>
    <row r="5561" spans="1:5" x14ac:dyDescent="0.25">
      <c r="A5561" s="41">
        <v>18473</v>
      </c>
      <c r="B5561" s="42" t="s">
        <v>5930</v>
      </c>
      <c r="C5561" s="43" t="s">
        <v>289</v>
      </c>
      <c r="D5561" s="43" t="s">
        <v>327</v>
      </c>
      <c r="E5561" s="43" t="s">
        <v>230</v>
      </c>
    </row>
    <row r="5562" spans="1:5" x14ac:dyDescent="0.25">
      <c r="A5562" s="41">
        <v>18481</v>
      </c>
      <c r="B5562" s="42" t="s">
        <v>5931</v>
      </c>
      <c r="C5562" s="43" t="s">
        <v>289</v>
      </c>
      <c r="D5562" s="43" t="s">
        <v>2499</v>
      </c>
      <c r="E5562" s="43" t="s">
        <v>230</v>
      </c>
    </row>
    <row r="5563" spans="1:5" x14ac:dyDescent="0.25">
      <c r="A5563" s="41">
        <v>18482</v>
      </c>
      <c r="B5563" s="42" t="s">
        <v>5932</v>
      </c>
      <c r="C5563" s="43" t="s">
        <v>289</v>
      </c>
      <c r="D5563" s="43" t="s">
        <v>2499</v>
      </c>
      <c r="E5563" s="43" t="s">
        <v>230</v>
      </c>
    </row>
    <row r="5564" spans="1:5" x14ac:dyDescent="0.25">
      <c r="A5564" s="41">
        <v>18483</v>
      </c>
      <c r="B5564" s="42" t="s">
        <v>5933</v>
      </c>
      <c r="C5564" s="43" t="s">
        <v>289</v>
      </c>
      <c r="D5564" s="43" t="s">
        <v>316</v>
      </c>
      <c r="E5564" s="43" t="s">
        <v>454</v>
      </c>
    </row>
    <row r="5565" spans="1:5" x14ac:dyDescent="0.25">
      <c r="A5565" s="41">
        <v>18484</v>
      </c>
      <c r="B5565" s="42" t="s">
        <v>5934</v>
      </c>
      <c r="C5565" s="43" t="s">
        <v>289</v>
      </c>
      <c r="D5565" s="43" t="s">
        <v>694</v>
      </c>
      <c r="E5565" s="43" t="s">
        <v>230</v>
      </c>
    </row>
    <row r="5566" spans="1:5" x14ac:dyDescent="0.25">
      <c r="A5566" s="41">
        <v>18486</v>
      </c>
      <c r="B5566" s="42" t="s">
        <v>5935</v>
      </c>
      <c r="C5566" s="43" t="s">
        <v>289</v>
      </c>
      <c r="D5566" s="43" t="s">
        <v>433</v>
      </c>
      <c r="E5566" s="43" t="s">
        <v>454</v>
      </c>
    </row>
    <row r="5567" spans="1:5" x14ac:dyDescent="0.25">
      <c r="A5567" s="41">
        <v>18488</v>
      </c>
      <c r="B5567" s="42" t="s">
        <v>5936</v>
      </c>
      <c r="C5567" s="43" t="s">
        <v>289</v>
      </c>
      <c r="D5567" s="43" t="s">
        <v>1112</v>
      </c>
      <c r="E5567" s="43" t="s">
        <v>464</v>
      </c>
    </row>
    <row r="5568" spans="1:5" x14ac:dyDescent="0.25">
      <c r="A5568" s="41">
        <v>18489</v>
      </c>
      <c r="B5568" s="42" t="s">
        <v>5937</v>
      </c>
      <c r="C5568" s="43" t="s">
        <v>289</v>
      </c>
      <c r="D5568" s="43" t="s">
        <v>316</v>
      </c>
      <c r="E5568" s="43" t="s">
        <v>230</v>
      </c>
    </row>
    <row r="5569" spans="1:5" x14ac:dyDescent="0.25">
      <c r="A5569" s="41">
        <v>18490</v>
      </c>
      <c r="B5569" s="42" t="s">
        <v>5938</v>
      </c>
      <c r="C5569" s="43" t="s">
        <v>289</v>
      </c>
      <c r="D5569" s="43" t="s">
        <v>3754</v>
      </c>
      <c r="E5569" s="43" t="s">
        <v>769</v>
      </c>
    </row>
    <row r="5570" spans="1:5" x14ac:dyDescent="0.25">
      <c r="A5570" s="41">
        <v>18491</v>
      </c>
      <c r="B5570" s="42" t="s">
        <v>5939</v>
      </c>
      <c r="C5570" s="43" t="s">
        <v>289</v>
      </c>
      <c r="D5570" s="43" t="s">
        <v>941</v>
      </c>
      <c r="E5570" s="43" t="s">
        <v>464</v>
      </c>
    </row>
    <row r="5571" spans="1:5" x14ac:dyDescent="0.25">
      <c r="A5571" s="41">
        <v>18492</v>
      </c>
      <c r="B5571" s="42" t="s">
        <v>5940</v>
      </c>
      <c r="C5571" s="43" t="s">
        <v>289</v>
      </c>
      <c r="D5571" s="43" t="s">
        <v>941</v>
      </c>
      <c r="E5571" s="43" t="s">
        <v>464</v>
      </c>
    </row>
    <row r="5572" spans="1:5" x14ac:dyDescent="0.25">
      <c r="A5572" s="41">
        <v>18493</v>
      </c>
      <c r="B5572" s="42" t="s">
        <v>5941</v>
      </c>
      <c r="C5572" s="43" t="s">
        <v>289</v>
      </c>
      <c r="D5572" s="43" t="s">
        <v>941</v>
      </c>
      <c r="E5572" s="43" t="s">
        <v>464</v>
      </c>
    </row>
    <row r="5573" spans="1:5" x14ac:dyDescent="0.25">
      <c r="A5573" s="41">
        <v>18494</v>
      </c>
      <c r="B5573" s="42" t="s">
        <v>5942</v>
      </c>
      <c r="C5573" s="43" t="s">
        <v>289</v>
      </c>
      <c r="D5573" s="43" t="s">
        <v>941</v>
      </c>
      <c r="E5573" s="43" t="s">
        <v>464</v>
      </c>
    </row>
    <row r="5574" spans="1:5" x14ac:dyDescent="0.25">
      <c r="A5574" s="41">
        <v>18495</v>
      </c>
      <c r="B5574" s="42" t="s">
        <v>5943</v>
      </c>
      <c r="C5574" s="43" t="s">
        <v>289</v>
      </c>
      <c r="D5574" s="43" t="s">
        <v>941</v>
      </c>
      <c r="E5574" s="43" t="s">
        <v>769</v>
      </c>
    </row>
    <row r="5575" spans="1:5" x14ac:dyDescent="0.25">
      <c r="A5575" s="41">
        <v>18496</v>
      </c>
      <c r="B5575" s="42" t="s">
        <v>5944</v>
      </c>
      <c r="C5575" s="43" t="s">
        <v>289</v>
      </c>
      <c r="D5575" s="43" t="s">
        <v>1138</v>
      </c>
      <c r="E5575" s="43" t="s">
        <v>230</v>
      </c>
    </row>
    <row r="5576" spans="1:5" x14ac:dyDescent="0.25">
      <c r="A5576" s="41">
        <v>18497</v>
      </c>
      <c r="B5576" s="42" t="s">
        <v>5945</v>
      </c>
      <c r="C5576" s="43" t="s">
        <v>289</v>
      </c>
      <c r="D5576" s="43" t="s">
        <v>3754</v>
      </c>
      <c r="E5576" s="43" t="s">
        <v>769</v>
      </c>
    </row>
    <row r="5577" spans="1:5" x14ac:dyDescent="0.25">
      <c r="A5577" s="41">
        <v>18498</v>
      </c>
      <c r="B5577" s="42" t="s">
        <v>5946</v>
      </c>
      <c r="C5577" s="43" t="s">
        <v>289</v>
      </c>
      <c r="D5577" s="43" t="s">
        <v>1112</v>
      </c>
      <c r="E5577" s="43" t="s">
        <v>230</v>
      </c>
    </row>
    <row r="5578" spans="1:5" x14ac:dyDescent="0.25">
      <c r="A5578" s="41">
        <v>18499</v>
      </c>
      <c r="B5578" s="42" t="s">
        <v>5947</v>
      </c>
      <c r="C5578" s="43" t="s">
        <v>289</v>
      </c>
      <c r="D5578" s="43" t="s">
        <v>1112</v>
      </c>
      <c r="E5578" s="43" t="s">
        <v>230</v>
      </c>
    </row>
    <row r="5579" spans="1:5" x14ac:dyDescent="0.25">
      <c r="A5579" s="41">
        <v>18500</v>
      </c>
      <c r="B5579" s="42" t="s">
        <v>5948</v>
      </c>
      <c r="C5579" s="43" t="s">
        <v>289</v>
      </c>
      <c r="D5579" s="43" t="s">
        <v>1112</v>
      </c>
      <c r="E5579" s="43" t="s">
        <v>230</v>
      </c>
    </row>
    <row r="5580" spans="1:5" x14ac:dyDescent="0.25">
      <c r="A5580" s="41">
        <v>18501</v>
      </c>
      <c r="B5580" s="42" t="s">
        <v>5949</v>
      </c>
      <c r="C5580" s="43" t="s">
        <v>289</v>
      </c>
      <c r="D5580" s="43" t="s">
        <v>1112</v>
      </c>
      <c r="E5580" s="43" t="s">
        <v>454</v>
      </c>
    </row>
    <row r="5581" spans="1:5" x14ac:dyDescent="0.25">
      <c r="A5581" s="41">
        <v>18502</v>
      </c>
      <c r="B5581" s="42" t="s">
        <v>5950</v>
      </c>
      <c r="C5581" s="43" t="s">
        <v>289</v>
      </c>
      <c r="D5581" s="43" t="s">
        <v>996</v>
      </c>
      <c r="E5581" s="43" t="s">
        <v>454</v>
      </c>
    </row>
    <row r="5582" spans="1:5" x14ac:dyDescent="0.25">
      <c r="A5582" s="41">
        <v>18505</v>
      </c>
      <c r="B5582" s="42" t="s">
        <v>5951</v>
      </c>
      <c r="C5582" s="43" t="s">
        <v>289</v>
      </c>
      <c r="D5582" s="43" t="s">
        <v>316</v>
      </c>
      <c r="E5582" s="43" t="s">
        <v>230</v>
      </c>
    </row>
    <row r="5583" spans="1:5" x14ac:dyDescent="0.25">
      <c r="A5583" s="41">
        <v>18506</v>
      </c>
      <c r="B5583" s="42" t="s">
        <v>5952</v>
      </c>
      <c r="C5583" s="43" t="s">
        <v>289</v>
      </c>
      <c r="D5583" s="43" t="s">
        <v>316</v>
      </c>
      <c r="E5583" s="43" t="s">
        <v>454</v>
      </c>
    </row>
    <row r="5584" spans="1:5" x14ac:dyDescent="0.25">
      <c r="A5584" s="41">
        <v>18507</v>
      </c>
      <c r="B5584" s="42" t="s">
        <v>5953</v>
      </c>
      <c r="C5584" s="43" t="s">
        <v>289</v>
      </c>
      <c r="D5584" s="43" t="s">
        <v>1112</v>
      </c>
      <c r="E5584" s="43" t="s">
        <v>464</v>
      </c>
    </row>
    <row r="5585" spans="1:5" x14ac:dyDescent="0.25">
      <c r="A5585" s="41">
        <v>18508</v>
      </c>
      <c r="B5585" s="42" t="s">
        <v>5954</v>
      </c>
      <c r="C5585" s="43" t="s">
        <v>289</v>
      </c>
      <c r="D5585" s="43" t="s">
        <v>1377</v>
      </c>
      <c r="E5585" s="43" t="s">
        <v>454</v>
      </c>
    </row>
    <row r="5586" spans="1:5" x14ac:dyDescent="0.25">
      <c r="A5586" s="41">
        <v>18509</v>
      </c>
      <c r="B5586" s="42" t="s">
        <v>5955</v>
      </c>
      <c r="C5586" s="43" t="s">
        <v>289</v>
      </c>
      <c r="D5586" s="43" t="s">
        <v>1377</v>
      </c>
      <c r="E5586" s="43" t="s">
        <v>454</v>
      </c>
    </row>
    <row r="5587" spans="1:5" x14ac:dyDescent="0.25">
      <c r="A5587" s="41">
        <v>18510</v>
      </c>
      <c r="B5587" s="42" t="s">
        <v>5956</v>
      </c>
      <c r="C5587" s="43" t="s">
        <v>289</v>
      </c>
      <c r="D5587" s="43" t="s">
        <v>1377</v>
      </c>
      <c r="E5587" s="43" t="s">
        <v>454</v>
      </c>
    </row>
    <row r="5588" spans="1:5" x14ac:dyDescent="0.25">
      <c r="A5588" s="41">
        <v>18511</v>
      </c>
      <c r="B5588" s="42" t="s">
        <v>5957</v>
      </c>
      <c r="C5588" s="43" t="s">
        <v>289</v>
      </c>
      <c r="D5588" s="43" t="s">
        <v>1377</v>
      </c>
      <c r="E5588" s="43" t="s">
        <v>454</v>
      </c>
    </row>
    <row r="5589" spans="1:5" x14ac:dyDescent="0.25">
      <c r="A5589" s="41">
        <v>18512</v>
      </c>
      <c r="B5589" s="42" t="s">
        <v>5958</v>
      </c>
      <c r="C5589" s="43" t="s">
        <v>289</v>
      </c>
      <c r="D5589" s="43" t="s">
        <v>941</v>
      </c>
      <c r="E5589" s="43" t="s">
        <v>454</v>
      </c>
    </row>
    <row r="5590" spans="1:5" x14ac:dyDescent="0.25">
      <c r="A5590" s="41">
        <v>18513</v>
      </c>
      <c r="B5590" s="42" t="s">
        <v>5959</v>
      </c>
      <c r="C5590" s="43" t="s">
        <v>289</v>
      </c>
      <c r="D5590" s="43" t="s">
        <v>941</v>
      </c>
      <c r="E5590" s="43" t="s">
        <v>454</v>
      </c>
    </row>
    <row r="5591" spans="1:5" x14ac:dyDescent="0.25">
      <c r="A5591" s="41">
        <v>18514</v>
      </c>
      <c r="B5591" s="42" t="s">
        <v>5960</v>
      </c>
      <c r="C5591" s="43" t="s">
        <v>289</v>
      </c>
      <c r="D5591" s="43" t="s">
        <v>1326</v>
      </c>
      <c r="E5591" s="43" t="s">
        <v>454</v>
      </c>
    </row>
    <row r="5592" spans="1:5" x14ac:dyDescent="0.25">
      <c r="A5592" s="41">
        <v>18515</v>
      </c>
      <c r="B5592" s="42" t="s">
        <v>5961</v>
      </c>
      <c r="C5592" s="43" t="s">
        <v>289</v>
      </c>
      <c r="D5592" s="43" t="s">
        <v>1326</v>
      </c>
      <c r="E5592" s="43" t="s">
        <v>454</v>
      </c>
    </row>
    <row r="5593" spans="1:5" x14ac:dyDescent="0.25">
      <c r="A5593" s="41">
        <v>18516</v>
      </c>
      <c r="B5593" s="42" t="s">
        <v>5962</v>
      </c>
      <c r="C5593" s="43" t="s">
        <v>289</v>
      </c>
      <c r="D5593" s="43" t="s">
        <v>996</v>
      </c>
      <c r="E5593" s="43" t="s">
        <v>454</v>
      </c>
    </row>
    <row r="5594" spans="1:5" x14ac:dyDescent="0.25">
      <c r="A5594" s="41">
        <v>18517</v>
      </c>
      <c r="B5594" s="42" t="s">
        <v>5963</v>
      </c>
      <c r="C5594" s="43" t="s">
        <v>289</v>
      </c>
      <c r="D5594" s="43" t="s">
        <v>1377</v>
      </c>
      <c r="E5594" s="43" t="s">
        <v>454</v>
      </c>
    </row>
    <row r="5595" spans="1:5" x14ac:dyDescent="0.25">
      <c r="A5595" s="41">
        <v>18518</v>
      </c>
      <c r="B5595" s="42" t="s">
        <v>5964</v>
      </c>
      <c r="C5595" s="43" t="s">
        <v>289</v>
      </c>
      <c r="D5595" s="43" t="s">
        <v>941</v>
      </c>
      <c r="E5595" s="43" t="s">
        <v>454</v>
      </c>
    </row>
    <row r="5596" spans="1:5" x14ac:dyDescent="0.25">
      <c r="A5596" s="41">
        <v>18519</v>
      </c>
      <c r="B5596" s="42" t="s">
        <v>5965</v>
      </c>
      <c r="C5596" s="43" t="s">
        <v>289</v>
      </c>
      <c r="D5596" s="43" t="s">
        <v>941</v>
      </c>
      <c r="E5596" s="43" t="s">
        <v>454</v>
      </c>
    </row>
    <row r="5597" spans="1:5" x14ac:dyDescent="0.25">
      <c r="A5597" s="41">
        <v>18520</v>
      </c>
      <c r="B5597" s="42" t="s">
        <v>5966</v>
      </c>
      <c r="C5597" s="43" t="s">
        <v>289</v>
      </c>
      <c r="D5597" s="43" t="s">
        <v>1377</v>
      </c>
      <c r="E5597" s="43" t="s">
        <v>454</v>
      </c>
    </row>
    <row r="5598" spans="1:5" x14ac:dyDescent="0.25">
      <c r="A5598" s="41">
        <v>18521</v>
      </c>
      <c r="B5598" s="42" t="s">
        <v>5967</v>
      </c>
      <c r="C5598" s="43" t="s">
        <v>289</v>
      </c>
      <c r="D5598" s="43" t="s">
        <v>1377</v>
      </c>
      <c r="E5598" s="43" t="s">
        <v>454</v>
      </c>
    </row>
    <row r="5599" spans="1:5" x14ac:dyDescent="0.25">
      <c r="A5599" s="41">
        <v>18525</v>
      </c>
      <c r="B5599" s="42" t="s">
        <v>5968</v>
      </c>
      <c r="C5599" s="43" t="s">
        <v>289</v>
      </c>
      <c r="D5599" s="43" t="s">
        <v>433</v>
      </c>
      <c r="E5599" s="43" t="s">
        <v>454</v>
      </c>
    </row>
    <row r="5600" spans="1:5" x14ac:dyDescent="0.25">
      <c r="A5600" s="41">
        <v>18526</v>
      </c>
      <c r="B5600" s="42" t="s">
        <v>5969</v>
      </c>
      <c r="C5600" s="43" t="s">
        <v>289</v>
      </c>
      <c r="D5600" s="43" t="s">
        <v>1913</v>
      </c>
      <c r="E5600" s="43" t="s">
        <v>454</v>
      </c>
    </row>
    <row r="5601" spans="1:5" x14ac:dyDescent="0.25">
      <c r="A5601" s="41">
        <v>18528</v>
      </c>
      <c r="B5601" s="42" t="s">
        <v>5970</v>
      </c>
      <c r="C5601" s="43" t="s">
        <v>289</v>
      </c>
      <c r="D5601" s="43" t="s">
        <v>1112</v>
      </c>
      <c r="E5601" s="43" t="s">
        <v>769</v>
      </c>
    </row>
    <row r="5602" spans="1:5" x14ac:dyDescent="0.25">
      <c r="A5602" s="41">
        <v>18529</v>
      </c>
      <c r="B5602" s="42" t="s">
        <v>5971</v>
      </c>
      <c r="C5602" s="43" t="s">
        <v>289</v>
      </c>
      <c r="D5602" s="43" t="s">
        <v>314</v>
      </c>
      <c r="E5602" s="43" t="s">
        <v>230</v>
      </c>
    </row>
    <row r="5603" spans="1:5" x14ac:dyDescent="0.25">
      <c r="A5603" s="41">
        <v>18532</v>
      </c>
      <c r="B5603" s="42" t="s">
        <v>5972</v>
      </c>
      <c r="C5603" s="43" t="s">
        <v>289</v>
      </c>
      <c r="D5603" s="43" t="s">
        <v>433</v>
      </c>
      <c r="E5603" s="43" t="s">
        <v>454</v>
      </c>
    </row>
    <row r="5604" spans="1:5" x14ac:dyDescent="0.25">
      <c r="A5604" s="41">
        <v>18534</v>
      </c>
      <c r="B5604" s="42" t="s">
        <v>5973</v>
      </c>
      <c r="C5604" s="43" t="s">
        <v>289</v>
      </c>
      <c r="D5604" s="43" t="s">
        <v>433</v>
      </c>
      <c r="E5604" s="43" t="s">
        <v>230</v>
      </c>
    </row>
    <row r="5605" spans="1:5" x14ac:dyDescent="0.25">
      <c r="A5605" s="41">
        <v>18535</v>
      </c>
      <c r="B5605" s="42" t="s">
        <v>5974</v>
      </c>
      <c r="C5605" s="43" t="s">
        <v>289</v>
      </c>
      <c r="D5605" s="43" t="s">
        <v>433</v>
      </c>
      <c r="E5605" s="43" t="s">
        <v>230</v>
      </c>
    </row>
    <row r="5606" spans="1:5" x14ac:dyDescent="0.25">
      <c r="A5606" s="41">
        <v>18536</v>
      </c>
      <c r="B5606" s="42" t="s">
        <v>5975</v>
      </c>
      <c r="C5606" s="43" t="s">
        <v>289</v>
      </c>
      <c r="D5606" s="43" t="s">
        <v>433</v>
      </c>
      <c r="E5606" s="43" t="s">
        <v>230</v>
      </c>
    </row>
    <row r="5607" spans="1:5" x14ac:dyDescent="0.25">
      <c r="A5607" s="41">
        <v>18537</v>
      </c>
      <c r="B5607" s="42" t="s">
        <v>5976</v>
      </c>
      <c r="C5607" s="43" t="s">
        <v>289</v>
      </c>
      <c r="D5607" s="43" t="s">
        <v>1112</v>
      </c>
      <c r="E5607" s="43" t="s">
        <v>464</v>
      </c>
    </row>
    <row r="5608" spans="1:5" x14ac:dyDescent="0.25">
      <c r="A5608" s="41">
        <v>18539</v>
      </c>
      <c r="B5608" s="42" t="s">
        <v>5977</v>
      </c>
      <c r="C5608" s="43" t="s">
        <v>289</v>
      </c>
      <c r="D5608" s="43" t="s">
        <v>1112</v>
      </c>
      <c r="E5608" s="43" t="s">
        <v>464</v>
      </c>
    </row>
    <row r="5609" spans="1:5" x14ac:dyDescent="0.25">
      <c r="A5609" s="41">
        <v>18540</v>
      </c>
      <c r="B5609" s="42" t="s">
        <v>5978</v>
      </c>
      <c r="C5609" s="43" t="s">
        <v>289</v>
      </c>
      <c r="D5609" s="43" t="s">
        <v>941</v>
      </c>
      <c r="E5609" s="43" t="s">
        <v>454</v>
      </c>
    </row>
    <row r="5610" spans="1:5" x14ac:dyDescent="0.25">
      <c r="A5610" s="41">
        <v>18541</v>
      </c>
      <c r="B5610" s="42" t="s">
        <v>5979</v>
      </c>
      <c r="C5610" s="43" t="s">
        <v>289</v>
      </c>
      <c r="D5610" s="43" t="s">
        <v>941</v>
      </c>
      <c r="E5610" s="43" t="s">
        <v>454</v>
      </c>
    </row>
    <row r="5611" spans="1:5" x14ac:dyDescent="0.25">
      <c r="A5611" s="41">
        <v>18542</v>
      </c>
      <c r="B5611" s="42" t="s">
        <v>5980</v>
      </c>
      <c r="C5611" s="43" t="s">
        <v>289</v>
      </c>
      <c r="D5611" s="43" t="s">
        <v>941</v>
      </c>
      <c r="E5611" s="43" t="s">
        <v>454</v>
      </c>
    </row>
    <row r="5612" spans="1:5" x14ac:dyDescent="0.25">
      <c r="A5612" s="41">
        <v>18543</v>
      </c>
      <c r="B5612" s="42" t="s">
        <v>5978</v>
      </c>
      <c r="C5612" s="43" t="s">
        <v>289</v>
      </c>
      <c r="D5612" s="43" t="s">
        <v>941</v>
      </c>
      <c r="E5612" s="43" t="s">
        <v>454</v>
      </c>
    </row>
    <row r="5613" spans="1:5" x14ac:dyDescent="0.25">
      <c r="A5613" s="41">
        <v>18545</v>
      </c>
      <c r="B5613" s="42" t="s">
        <v>5981</v>
      </c>
      <c r="C5613" s="43" t="s">
        <v>289</v>
      </c>
      <c r="D5613" s="43" t="s">
        <v>941</v>
      </c>
      <c r="E5613" s="43" t="s">
        <v>454</v>
      </c>
    </row>
    <row r="5614" spans="1:5" x14ac:dyDescent="0.25">
      <c r="A5614" s="41">
        <v>18546</v>
      </c>
      <c r="B5614" s="42" t="s">
        <v>5982</v>
      </c>
      <c r="C5614" s="43" t="s">
        <v>289</v>
      </c>
      <c r="D5614" s="43" t="s">
        <v>941</v>
      </c>
      <c r="E5614" s="43" t="s">
        <v>454</v>
      </c>
    </row>
    <row r="5615" spans="1:5" x14ac:dyDescent="0.25">
      <c r="A5615" s="41">
        <v>18547</v>
      </c>
      <c r="B5615" s="42" t="s">
        <v>5983</v>
      </c>
      <c r="C5615" s="43" t="s">
        <v>289</v>
      </c>
      <c r="D5615" s="43" t="s">
        <v>941</v>
      </c>
      <c r="E5615" s="43" t="s">
        <v>454</v>
      </c>
    </row>
    <row r="5616" spans="1:5" x14ac:dyDescent="0.25">
      <c r="A5616" s="41">
        <v>18548</v>
      </c>
      <c r="B5616" s="42" t="s">
        <v>5984</v>
      </c>
      <c r="C5616" s="43" t="s">
        <v>289</v>
      </c>
      <c r="D5616" s="43" t="s">
        <v>327</v>
      </c>
      <c r="E5616" s="43" t="s">
        <v>230</v>
      </c>
    </row>
    <row r="5617" spans="1:5" x14ac:dyDescent="0.25">
      <c r="A5617" s="41">
        <v>18549</v>
      </c>
      <c r="B5617" s="42" t="s">
        <v>5985</v>
      </c>
      <c r="C5617" s="43" t="s">
        <v>289</v>
      </c>
      <c r="D5617" s="43" t="s">
        <v>635</v>
      </c>
      <c r="E5617" s="43" t="s">
        <v>464</v>
      </c>
    </row>
    <row r="5618" spans="1:5" x14ac:dyDescent="0.25">
      <c r="A5618" s="41">
        <v>18552</v>
      </c>
      <c r="B5618" s="42" t="s">
        <v>5986</v>
      </c>
      <c r="C5618" s="43" t="s">
        <v>289</v>
      </c>
      <c r="D5618" s="43" t="s">
        <v>635</v>
      </c>
      <c r="E5618" s="43" t="s">
        <v>464</v>
      </c>
    </row>
    <row r="5619" spans="1:5" x14ac:dyDescent="0.25">
      <c r="A5619" s="41">
        <v>18553</v>
      </c>
      <c r="B5619" s="42" t="s">
        <v>5987</v>
      </c>
      <c r="C5619" s="43" t="s">
        <v>289</v>
      </c>
      <c r="D5619" s="43" t="s">
        <v>635</v>
      </c>
      <c r="E5619" s="43" t="s">
        <v>464</v>
      </c>
    </row>
    <row r="5620" spans="1:5" x14ac:dyDescent="0.25">
      <c r="A5620" s="41">
        <v>18554</v>
      </c>
      <c r="B5620" s="42" t="s">
        <v>5988</v>
      </c>
      <c r="C5620" s="43" t="s">
        <v>289</v>
      </c>
      <c r="D5620" s="43" t="s">
        <v>635</v>
      </c>
      <c r="E5620" s="43" t="s">
        <v>464</v>
      </c>
    </row>
    <row r="5621" spans="1:5" x14ac:dyDescent="0.25">
      <c r="A5621" s="41">
        <v>18555</v>
      </c>
      <c r="B5621" s="42" t="s">
        <v>5989</v>
      </c>
      <c r="C5621" s="43" t="s">
        <v>289</v>
      </c>
      <c r="D5621" s="43" t="s">
        <v>635</v>
      </c>
      <c r="E5621" s="43" t="s">
        <v>464</v>
      </c>
    </row>
    <row r="5622" spans="1:5" x14ac:dyDescent="0.25">
      <c r="A5622" s="41">
        <v>18556</v>
      </c>
      <c r="B5622" s="42" t="s">
        <v>5990</v>
      </c>
      <c r="C5622" s="43" t="s">
        <v>289</v>
      </c>
      <c r="D5622" s="43" t="s">
        <v>635</v>
      </c>
      <c r="E5622" s="43" t="s">
        <v>464</v>
      </c>
    </row>
    <row r="5623" spans="1:5" x14ac:dyDescent="0.25">
      <c r="A5623" s="41">
        <v>18557</v>
      </c>
      <c r="B5623" s="42" t="s">
        <v>5991</v>
      </c>
      <c r="C5623" s="43" t="s">
        <v>289</v>
      </c>
      <c r="D5623" s="43" t="s">
        <v>5570</v>
      </c>
      <c r="E5623" s="43" t="s">
        <v>769</v>
      </c>
    </row>
    <row r="5624" spans="1:5" x14ac:dyDescent="0.25">
      <c r="A5624" s="41">
        <v>18558</v>
      </c>
      <c r="B5624" s="42" t="s">
        <v>5992</v>
      </c>
      <c r="C5624" s="43" t="s">
        <v>289</v>
      </c>
      <c r="D5624" s="43" t="s">
        <v>433</v>
      </c>
      <c r="E5624" s="43" t="s">
        <v>230</v>
      </c>
    </row>
    <row r="5625" spans="1:5" x14ac:dyDescent="0.25">
      <c r="A5625" s="41">
        <v>18559</v>
      </c>
      <c r="B5625" s="42" t="s">
        <v>5993</v>
      </c>
      <c r="C5625" s="43" t="s">
        <v>289</v>
      </c>
      <c r="D5625" s="43" t="s">
        <v>1138</v>
      </c>
      <c r="E5625" s="43" t="s">
        <v>454</v>
      </c>
    </row>
    <row r="5626" spans="1:5" x14ac:dyDescent="0.25">
      <c r="A5626" s="41">
        <v>18560</v>
      </c>
      <c r="B5626" s="42" t="s">
        <v>5994</v>
      </c>
      <c r="C5626" s="43" t="s">
        <v>289</v>
      </c>
      <c r="D5626" s="43" t="s">
        <v>316</v>
      </c>
      <c r="E5626" s="43" t="s">
        <v>230</v>
      </c>
    </row>
    <row r="5627" spans="1:5" x14ac:dyDescent="0.25">
      <c r="A5627" s="41">
        <v>18561</v>
      </c>
      <c r="B5627" s="42" t="s">
        <v>5995</v>
      </c>
      <c r="C5627" s="43" t="s">
        <v>289</v>
      </c>
      <c r="D5627" s="43" t="s">
        <v>316</v>
      </c>
      <c r="E5627" s="43" t="s">
        <v>454</v>
      </c>
    </row>
    <row r="5628" spans="1:5" x14ac:dyDescent="0.25">
      <c r="A5628" s="41">
        <v>18562</v>
      </c>
      <c r="B5628" s="42" t="s">
        <v>5996</v>
      </c>
      <c r="C5628" s="43" t="s">
        <v>289</v>
      </c>
      <c r="D5628" s="43" t="s">
        <v>5997</v>
      </c>
      <c r="E5628" s="43" t="s">
        <v>769</v>
      </c>
    </row>
    <row r="5629" spans="1:5" x14ac:dyDescent="0.25">
      <c r="A5629" s="41">
        <v>18563</v>
      </c>
      <c r="B5629" s="42" t="s">
        <v>5998</v>
      </c>
      <c r="C5629" s="43" t="s">
        <v>289</v>
      </c>
      <c r="D5629" s="43" t="s">
        <v>941</v>
      </c>
      <c r="E5629" s="43" t="s">
        <v>454</v>
      </c>
    </row>
    <row r="5630" spans="1:5" x14ac:dyDescent="0.25">
      <c r="A5630" s="41">
        <v>18564</v>
      </c>
      <c r="B5630" s="42" t="s">
        <v>5999</v>
      </c>
      <c r="C5630" s="43" t="s">
        <v>289</v>
      </c>
      <c r="D5630" s="43" t="s">
        <v>941</v>
      </c>
      <c r="E5630" s="43" t="s">
        <v>454</v>
      </c>
    </row>
    <row r="5631" spans="1:5" x14ac:dyDescent="0.25">
      <c r="A5631" s="41">
        <v>18565</v>
      </c>
      <c r="B5631" s="42" t="s">
        <v>6000</v>
      </c>
      <c r="C5631" s="43" t="s">
        <v>289</v>
      </c>
      <c r="D5631" s="43" t="s">
        <v>1112</v>
      </c>
      <c r="E5631" s="43" t="s">
        <v>464</v>
      </c>
    </row>
    <row r="5632" spans="1:5" x14ac:dyDescent="0.25">
      <c r="A5632" s="41">
        <v>18566</v>
      </c>
      <c r="B5632" s="42" t="s">
        <v>6001</v>
      </c>
      <c r="C5632" s="43" t="s">
        <v>289</v>
      </c>
      <c r="D5632" s="43" t="s">
        <v>1112</v>
      </c>
      <c r="E5632" s="43" t="s">
        <v>464</v>
      </c>
    </row>
    <row r="5633" spans="1:5" x14ac:dyDescent="0.25">
      <c r="A5633" s="41">
        <v>18568</v>
      </c>
      <c r="B5633" s="42" t="s">
        <v>6002</v>
      </c>
      <c r="C5633" s="43" t="s">
        <v>289</v>
      </c>
      <c r="D5633" s="43" t="s">
        <v>1112</v>
      </c>
      <c r="E5633" s="43" t="s">
        <v>464</v>
      </c>
    </row>
    <row r="5634" spans="1:5" x14ac:dyDescent="0.25">
      <c r="A5634" s="41">
        <v>18569</v>
      </c>
      <c r="B5634" s="42" t="s">
        <v>6003</v>
      </c>
      <c r="C5634" s="43" t="s">
        <v>289</v>
      </c>
      <c r="D5634" s="43" t="s">
        <v>1112</v>
      </c>
      <c r="E5634" s="43" t="s">
        <v>464</v>
      </c>
    </row>
    <row r="5635" spans="1:5" x14ac:dyDescent="0.25">
      <c r="A5635" s="41">
        <v>18570</v>
      </c>
      <c r="B5635" s="42" t="s">
        <v>6004</v>
      </c>
      <c r="C5635" s="43" t="s">
        <v>289</v>
      </c>
      <c r="D5635" s="43" t="s">
        <v>316</v>
      </c>
      <c r="E5635" s="43" t="s">
        <v>230</v>
      </c>
    </row>
    <row r="5636" spans="1:5" x14ac:dyDescent="0.25">
      <c r="A5636" s="41">
        <v>18571</v>
      </c>
      <c r="B5636" s="42" t="s">
        <v>6005</v>
      </c>
      <c r="C5636" s="43" t="s">
        <v>289</v>
      </c>
      <c r="D5636" s="43" t="s">
        <v>316</v>
      </c>
      <c r="E5636" s="43" t="s">
        <v>230</v>
      </c>
    </row>
    <row r="5637" spans="1:5" x14ac:dyDescent="0.25">
      <c r="A5637" s="41">
        <v>18573</v>
      </c>
      <c r="B5637" s="42" t="s">
        <v>6006</v>
      </c>
      <c r="C5637" s="43" t="s">
        <v>289</v>
      </c>
      <c r="D5637" s="43" t="s">
        <v>316</v>
      </c>
      <c r="E5637" s="43" t="s">
        <v>230</v>
      </c>
    </row>
    <row r="5638" spans="1:5" x14ac:dyDescent="0.25">
      <c r="A5638" s="41">
        <v>18575</v>
      </c>
      <c r="B5638" s="42" t="s">
        <v>6007</v>
      </c>
      <c r="C5638" s="43" t="s">
        <v>289</v>
      </c>
      <c r="D5638" s="43" t="s">
        <v>316</v>
      </c>
      <c r="E5638" s="43" t="s">
        <v>230</v>
      </c>
    </row>
    <row r="5639" spans="1:5" x14ac:dyDescent="0.25">
      <c r="A5639" s="41">
        <v>18576</v>
      </c>
      <c r="B5639" s="42" t="s">
        <v>6008</v>
      </c>
      <c r="C5639" s="43" t="s">
        <v>289</v>
      </c>
      <c r="D5639" s="43" t="s">
        <v>316</v>
      </c>
      <c r="E5639" s="43" t="s">
        <v>230</v>
      </c>
    </row>
    <row r="5640" spans="1:5" x14ac:dyDescent="0.25">
      <c r="A5640" s="41">
        <v>18577</v>
      </c>
      <c r="B5640" s="42" t="s">
        <v>6009</v>
      </c>
      <c r="C5640" s="43" t="s">
        <v>289</v>
      </c>
      <c r="D5640" s="43" t="s">
        <v>316</v>
      </c>
      <c r="E5640" s="43" t="s">
        <v>230</v>
      </c>
    </row>
    <row r="5641" spans="1:5" x14ac:dyDescent="0.25">
      <c r="A5641" s="41">
        <v>18580</v>
      </c>
      <c r="B5641" s="42" t="s">
        <v>6010</v>
      </c>
      <c r="C5641" s="43" t="s">
        <v>289</v>
      </c>
      <c r="D5641" s="43" t="s">
        <v>327</v>
      </c>
      <c r="E5641" s="43" t="s">
        <v>454</v>
      </c>
    </row>
    <row r="5642" spans="1:5" x14ac:dyDescent="0.25">
      <c r="A5642" s="41">
        <v>18581</v>
      </c>
      <c r="B5642" s="42" t="s">
        <v>6011</v>
      </c>
      <c r="C5642" s="43" t="s">
        <v>289</v>
      </c>
      <c r="D5642" s="43" t="s">
        <v>453</v>
      </c>
      <c r="E5642" s="43" t="s">
        <v>454</v>
      </c>
    </row>
    <row r="5643" spans="1:5" x14ac:dyDescent="0.25">
      <c r="A5643" s="41">
        <v>18583</v>
      </c>
      <c r="B5643" s="42" t="s">
        <v>6012</v>
      </c>
      <c r="C5643" s="43" t="s">
        <v>289</v>
      </c>
      <c r="D5643" s="43" t="s">
        <v>1112</v>
      </c>
      <c r="E5643" s="43" t="s">
        <v>464</v>
      </c>
    </row>
    <row r="5644" spans="1:5" x14ac:dyDescent="0.25">
      <c r="A5644" s="41">
        <v>18584</v>
      </c>
      <c r="B5644" s="42" t="s">
        <v>6013</v>
      </c>
      <c r="C5644" s="43" t="s">
        <v>289</v>
      </c>
      <c r="D5644" s="43" t="s">
        <v>1112</v>
      </c>
      <c r="E5644" s="43" t="s">
        <v>464</v>
      </c>
    </row>
    <row r="5645" spans="1:5" x14ac:dyDescent="0.25">
      <c r="A5645" s="41">
        <v>18585</v>
      </c>
      <c r="B5645" s="42" t="s">
        <v>6014</v>
      </c>
      <c r="C5645" s="43" t="s">
        <v>289</v>
      </c>
      <c r="D5645" s="43" t="s">
        <v>1112</v>
      </c>
      <c r="E5645" s="43" t="s">
        <v>464</v>
      </c>
    </row>
    <row r="5646" spans="1:5" x14ac:dyDescent="0.25">
      <c r="A5646" s="41">
        <v>18586</v>
      </c>
      <c r="B5646" s="42" t="s">
        <v>6015</v>
      </c>
      <c r="C5646" s="43" t="s">
        <v>289</v>
      </c>
      <c r="D5646" s="43" t="s">
        <v>1112</v>
      </c>
      <c r="E5646" s="43" t="s">
        <v>464</v>
      </c>
    </row>
    <row r="5647" spans="1:5" x14ac:dyDescent="0.25">
      <c r="A5647" s="41">
        <v>18587</v>
      </c>
      <c r="B5647" s="42" t="s">
        <v>6016</v>
      </c>
      <c r="C5647" s="43" t="s">
        <v>289</v>
      </c>
      <c r="D5647" s="43" t="s">
        <v>3668</v>
      </c>
      <c r="E5647" s="43" t="s">
        <v>230</v>
      </c>
    </row>
    <row r="5648" spans="1:5" x14ac:dyDescent="0.25">
      <c r="A5648" s="41">
        <v>18588</v>
      </c>
      <c r="B5648" s="42" t="s">
        <v>6017</v>
      </c>
      <c r="C5648" s="43" t="s">
        <v>289</v>
      </c>
      <c r="D5648" s="43" t="s">
        <v>3668</v>
      </c>
      <c r="E5648" s="43" t="s">
        <v>230</v>
      </c>
    </row>
    <row r="5649" spans="1:5" x14ac:dyDescent="0.25">
      <c r="A5649" s="41">
        <v>18589</v>
      </c>
      <c r="B5649" s="42" t="s">
        <v>6018</v>
      </c>
      <c r="C5649" s="43" t="s">
        <v>289</v>
      </c>
      <c r="D5649" s="43" t="s">
        <v>316</v>
      </c>
      <c r="E5649" s="43" t="s">
        <v>230</v>
      </c>
    </row>
    <row r="5650" spans="1:5" x14ac:dyDescent="0.25">
      <c r="A5650" s="41">
        <v>18590</v>
      </c>
      <c r="B5650" s="42" t="s">
        <v>6019</v>
      </c>
      <c r="C5650" s="43" t="s">
        <v>289</v>
      </c>
      <c r="D5650" s="43" t="s">
        <v>996</v>
      </c>
      <c r="E5650" s="43" t="s">
        <v>230</v>
      </c>
    </row>
    <row r="5651" spans="1:5" x14ac:dyDescent="0.25">
      <c r="A5651" s="41">
        <v>18591</v>
      </c>
      <c r="B5651" s="42" t="s">
        <v>6020</v>
      </c>
      <c r="C5651" s="43" t="s">
        <v>289</v>
      </c>
      <c r="D5651" s="43" t="s">
        <v>1112</v>
      </c>
      <c r="E5651" s="43" t="s">
        <v>230</v>
      </c>
    </row>
    <row r="5652" spans="1:5" x14ac:dyDescent="0.25">
      <c r="A5652" s="41">
        <v>18593</v>
      </c>
      <c r="B5652" s="42" t="s">
        <v>6021</v>
      </c>
      <c r="C5652" s="43" t="s">
        <v>289</v>
      </c>
      <c r="D5652" s="43" t="s">
        <v>1112</v>
      </c>
      <c r="E5652" s="43" t="s">
        <v>230</v>
      </c>
    </row>
    <row r="5653" spans="1:5" x14ac:dyDescent="0.25">
      <c r="A5653" s="41">
        <v>18594</v>
      </c>
      <c r="B5653" s="42" t="s">
        <v>6022</v>
      </c>
      <c r="C5653" s="43" t="s">
        <v>289</v>
      </c>
      <c r="D5653" s="43" t="s">
        <v>1112</v>
      </c>
      <c r="E5653" s="43" t="s">
        <v>230</v>
      </c>
    </row>
    <row r="5654" spans="1:5" x14ac:dyDescent="0.25">
      <c r="A5654" s="41">
        <v>18595</v>
      </c>
      <c r="B5654" s="42" t="s">
        <v>6023</v>
      </c>
      <c r="C5654" s="43" t="s">
        <v>289</v>
      </c>
      <c r="D5654" s="43" t="s">
        <v>1112</v>
      </c>
      <c r="E5654" s="43" t="s">
        <v>230</v>
      </c>
    </row>
    <row r="5655" spans="1:5" x14ac:dyDescent="0.25">
      <c r="A5655" s="41">
        <v>18596</v>
      </c>
      <c r="B5655" s="42" t="s">
        <v>6024</v>
      </c>
      <c r="C5655" s="43" t="s">
        <v>289</v>
      </c>
      <c r="D5655" s="43" t="s">
        <v>1112</v>
      </c>
      <c r="E5655" s="43" t="s">
        <v>230</v>
      </c>
    </row>
    <row r="5656" spans="1:5" x14ac:dyDescent="0.25">
      <c r="A5656" s="41">
        <v>18597</v>
      </c>
      <c r="B5656" s="42" t="s">
        <v>6025</v>
      </c>
      <c r="C5656" s="43" t="s">
        <v>289</v>
      </c>
      <c r="D5656" s="43" t="s">
        <v>1112</v>
      </c>
      <c r="E5656" s="43" t="s">
        <v>230</v>
      </c>
    </row>
    <row r="5657" spans="1:5" x14ac:dyDescent="0.25">
      <c r="A5657" s="41">
        <v>18598</v>
      </c>
      <c r="B5657" s="42" t="s">
        <v>6026</v>
      </c>
      <c r="C5657" s="43" t="s">
        <v>289</v>
      </c>
      <c r="D5657" s="43" t="s">
        <v>1138</v>
      </c>
      <c r="E5657" s="43" t="s">
        <v>230</v>
      </c>
    </row>
    <row r="5658" spans="1:5" x14ac:dyDescent="0.25">
      <c r="A5658" s="41">
        <v>18599</v>
      </c>
      <c r="B5658" s="42" t="s">
        <v>6027</v>
      </c>
      <c r="C5658" s="43" t="s">
        <v>289</v>
      </c>
      <c r="D5658" s="43" t="s">
        <v>694</v>
      </c>
      <c r="E5658" s="43" t="s">
        <v>764</v>
      </c>
    </row>
    <row r="5659" spans="1:5" x14ac:dyDescent="0.25">
      <c r="A5659" s="41">
        <v>18600</v>
      </c>
      <c r="B5659" s="42" t="s">
        <v>6028</v>
      </c>
      <c r="C5659" s="43" t="s">
        <v>289</v>
      </c>
      <c r="D5659" s="43" t="s">
        <v>694</v>
      </c>
      <c r="E5659" s="43" t="s">
        <v>170</v>
      </c>
    </row>
    <row r="5660" spans="1:5" x14ac:dyDescent="0.25">
      <c r="A5660" s="41">
        <v>18601</v>
      </c>
      <c r="B5660" s="42" t="s">
        <v>6029</v>
      </c>
      <c r="C5660" s="43" t="s">
        <v>289</v>
      </c>
      <c r="D5660" s="43" t="s">
        <v>996</v>
      </c>
      <c r="E5660" s="43" t="s">
        <v>230</v>
      </c>
    </row>
    <row r="5661" spans="1:5" x14ac:dyDescent="0.25">
      <c r="A5661" s="41">
        <v>18602</v>
      </c>
      <c r="B5661" s="42" t="s">
        <v>6030</v>
      </c>
      <c r="C5661" s="43" t="s">
        <v>289</v>
      </c>
      <c r="D5661" s="43" t="s">
        <v>316</v>
      </c>
      <c r="E5661" s="43" t="s">
        <v>230</v>
      </c>
    </row>
    <row r="5662" spans="1:5" x14ac:dyDescent="0.25">
      <c r="A5662" s="41">
        <v>18603</v>
      </c>
      <c r="B5662" s="42" t="s">
        <v>6031</v>
      </c>
      <c r="C5662" s="43" t="s">
        <v>289</v>
      </c>
      <c r="D5662" s="43" t="s">
        <v>316</v>
      </c>
      <c r="E5662" s="43" t="s">
        <v>230</v>
      </c>
    </row>
    <row r="5663" spans="1:5" x14ac:dyDescent="0.25">
      <c r="A5663" s="41">
        <v>18604</v>
      </c>
      <c r="B5663" s="42" t="s">
        <v>6032</v>
      </c>
      <c r="C5663" s="43" t="s">
        <v>289</v>
      </c>
      <c r="D5663" s="43" t="s">
        <v>316</v>
      </c>
      <c r="E5663" s="43" t="s">
        <v>230</v>
      </c>
    </row>
    <row r="5664" spans="1:5" x14ac:dyDescent="0.25">
      <c r="A5664" s="41">
        <v>18606</v>
      </c>
      <c r="B5664" s="42" t="s">
        <v>6033</v>
      </c>
      <c r="C5664" s="43" t="s">
        <v>289</v>
      </c>
      <c r="D5664" s="43" t="s">
        <v>316</v>
      </c>
      <c r="E5664" s="43" t="s">
        <v>230</v>
      </c>
    </row>
    <row r="5665" spans="1:5" x14ac:dyDescent="0.25">
      <c r="A5665" s="41">
        <v>18607</v>
      </c>
      <c r="B5665" s="42" t="s">
        <v>6034</v>
      </c>
      <c r="C5665" s="43" t="s">
        <v>289</v>
      </c>
      <c r="D5665" s="43" t="s">
        <v>6035</v>
      </c>
      <c r="E5665" s="43" t="s">
        <v>454</v>
      </c>
    </row>
    <row r="5666" spans="1:5" x14ac:dyDescent="0.25">
      <c r="A5666" s="41">
        <v>18608</v>
      </c>
      <c r="B5666" s="42" t="s">
        <v>6036</v>
      </c>
      <c r="C5666" s="43" t="s">
        <v>289</v>
      </c>
      <c r="D5666" s="43" t="s">
        <v>333</v>
      </c>
      <c r="E5666" s="43" t="s">
        <v>230</v>
      </c>
    </row>
    <row r="5667" spans="1:5" x14ac:dyDescent="0.25">
      <c r="A5667" s="41">
        <v>18609</v>
      </c>
      <c r="B5667" s="42" t="s">
        <v>6037</v>
      </c>
      <c r="C5667" s="43" t="s">
        <v>289</v>
      </c>
      <c r="D5667" s="43" t="s">
        <v>316</v>
      </c>
      <c r="E5667" s="43" t="s">
        <v>230</v>
      </c>
    </row>
    <row r="5668" spans="1:5" x14ac:dyDescent="0.25">
      <c r="A5668" s="41">
        <v>18610</v>
      </c>
      <c r="B5668" s="42" t="s">
        <v>6038</v>
      </c>
      <c r="C5668" s="43" t="s">
        <v>289</v>
      </c>
      <c r="D5668" s="43" t="s">
        <v>316</v>
      </c>
      <c r="E5668" s="43" t="s">
        <v>230</v>
      </c>
    </row>
    <row r="5669" spans="1:5" x14ac:dyDescent="0.25">
      <c r="A5669" s="41">
        <v>18611</v>
      </c>
      <c r="B5669" s="42" t="s">
        <v>6039</v>
      </c>
      <c r="C5669" s="43" t="s">
        <v>289</v>
      </c>
      <c r="D5669" s="43" t="s">
        <v>316</v>
      </c>
      <c r="E5669" s="43" t="s">
        <v>230</v>
      </c>
    </row>
    <row r="5670" spans="1:5" x14ac:dyDescent="0.25">
      <c r="A5670" s="41">
        <v>18612</v>
      </c>
      <c r="B5670" s="42" t="s">
        <v>6040</v>
      </c>
      <c r="C5670" s="43" t="s">
        <v>289</v>
      </c>
      <c r="D5670" s="43" t="s">
        <v>316</v>
      </c>
      <c r="E5670" s="43" t="s">
        <v>230</v>
      </c>
    </row>
    <row r="5671" spans="1:5" x14ac:dyDescent="0.25">
      <c r="A5671" s="41">
        <v>18613</v>
      </c>
      <c r="B5671" s="42" t="s">
        <v>6041</v>
      </c>
      <c r="C5671" s="43" t="s">
        <v>289</v>
      </c>
      <c r="D5671" s="43" t="s">
        <v>316</v>
      </c>
      <c r="E5671" s="43" t="s">
        <v>230</v>
      </c>
    </row>
    <row r="5672" spans="1:5" x14ac:dyDescent="0.25">
      <c r="A5672" s="41">
        <v>18614</v>
      </c>
      <c r="B5672" s="42" t="s">
        <v>6042</v>
      </c>
      <c r="C5672" s="43" t="s">
        <v>289</v>
      </c>
      <c r="D5672" s="43" t="s">
        <v>316</v>
      </c>
      <c r="E5672" s="43" t="s">
        <v>230</v>
      </c>
    </row>
    <row r="5673" spans="1:5" x14ac:dyDescent="0.25">
      <c r="A5673" s="41">
        <v>18615</v>
      </c>
      <c r="B5673" s="42" t="s">
        <v>6043</v>
      </c>
      <c r="C5673" s="43" t="s">
        <v>289</v>
      </c>
      <c r="D5673" s="43" t="s">
        <v>316</v>
      </c>
      <c r="E5673" s="43" t="s">
        <v>230</v>
      </c>
    </row>
    <row r="5674" spans="1:5" x14ac:dyDescent="0.25">
      <c r="A5674" s="41">
        <v>18616</v>
      </c>
      <c r="B5674" s="42" t="s">
        <v>6044</v>
      </c>
      <c r="C5674" s="43" t="s">
        <v>289</v>
      </c>
      <c r="D5674" s="43" t="s">
        <v>316</v>
      </c>
      <c r="E5674" s="43" t="s">
        <v>230</v>
      </c>
    </row>
    <row r="5675" spans="1:5" x14ac:dyDescent="0.25">
      <c r="A5675" s="41">
        <v>18617</v>
      </c>
      <c r="B5675" s="42" t="s">
        <v>6045</v>
      </c>
      <c r="C5675" s="43" t="s">
        <v>289</v>
      </c>
      <c r="D5675" s="43" t="s">
        <v>316</v>
      </c>
      <c r="E5675" s="43" t="s">
        <v>464</v>
      </c>
    </row>
    <row r="5676" spans="1:5" x14ac:dyDescent="0.25">
      <c r="A5676" s="41">
        <v>18619</v>
      </c>
      <c r="B5676" s="42" t="s">
        <v>6046</v>
      </c>
      <c r="C5676" s="43" t="s">
        <v>289</v>
      </c>
      <c r="D5676" s="43" t="s">
        <v>316</v>
      </c>
      <c r="E5676" s="43" t="s">
        <v>464</v>
      </c>
    </row>
    <row r="5677" spans="1:5" x14ac:dyDescent="0.25">
      <c r="A5677" s="41">
        <v>18620</v>
      </c>
      <c r="B5677" s="42" t="s">
        <v>6047</v>
      </c>
      <c r="C5677" s="43" t="s">
        <v>289</v>
      </c>
      <c r="D5677" s="43" t="s">
        <v>1112</v>
      </c>
      <c r="E5677" s="43" t="s">
        <v>464</v>
      </c>
    </row>
    <row r="5678" spans="1:5" x14ac:dyDescent="0.25">
      <c r="A5678" s="41">
        <v>18621</v>
      </c>
      <c r="B5678" s="42" t="s">
        <v>6048</v>
      </c>
      <c r="C5678" s="43" t="s">
        <v>289</v>
      </c>
      <c r="D5678" s="43" t="s">
        <v>694</v>
      </c>
      <c r="E5678" s="43" t="s">
        <v>764</v>
      </c>
    </row>
    <row r="5679" spans="1:5" x14ac:dyDescent="0.25">
      <c r="A5679" s="41">
        <v>18622</v>
      </c>
      <c r="B5679" s="42" t="s">
        <v>6049</v>
      </c>
      <c r="C5679" s="43" t="s">
        <v>289</v>
      </c>
      <c r="D5679" s="43" t="s">
        <v>1913</v>
      </c>
      <c r="E5679" s="43" t="s">
        <v>769</v>
      </c>
    </row>
    <row r="5680" spans="1:5" x14ac:dyDescent="0.25">
      <c r="A5680" s="41">
        <v>18623</v>
      </c>
      <c r="B5680" s="42" t="s">
        <v>6050</v>
      </c>
      <c r="C5680" s="43" t="s">
        <v>289</v>
      </c>
      <c r="D5680" s="43" t="s">
        <v>6051</v>
      </c>
      <c r="E5680" s="43" t="s">
        <v>769</v>
      </c>
    </row>
    <row r="5681" spans="1:5" x14ac:dyDescent="0.25">
      <c r="A5681" s="41">
        <v>18631</v>
      </c>
      <c r="B5681" s="42" t="s">
        <v>6052</v>
      </c>
      <c r="C5681" s="43" t="s">
        <v>289</v>
      </c>
      <c r="D5681" s="43" t="s">
        <v>996</v>
      </c>
      <c r="E5681" s="43" t="s">
        <v>230</v>
      </c>
    </row>
    <row r="5682" spans="1:5" x14ac:dyDescent="0.25">
      <c r="A5682" s="41">
        <v>18632</v>
      </c>
      <c r="B5682" s="42" t="s">
        <v>6053</v>
      </c>
      <c r="C5682" s="43" t="s">
        <v>289</v>
      </c>
      <c r="D5682" s="43" t="s">
        <v>466</v>
      </c>
      <c r="E5682" s="43" t="s">
        <v>230</v>
      </c>
    </row>
    <row r="5683" spans="1:5" x14ac:dyDescent="0.25">
      <c r="A5683" s="41">
        <v>18633</v>
      </c>
      <c r="B5683" s="42" t="s">
        <v>6054</v>
      </c>
      <c r="C5683" s="43" t="s">
        <v>289</v>
      </c>
      <c r="D5683" s="43" t="s">
        <v>3754</v>
      </c>
      <c r="E5683" s="43" t="s">
        <v>769</v>
      </c>
    </row>
    <row r="5684" spans="1:5" x14ac:dyDescent="0.25">
      <c r="A5684" s="41">
        <v>18634</v>
      </c>
      <c r="B5684" s="42" t="s">
        <v>6055</v>
      </c>
      <c r="C5684" s="43" t="s">
        <v>289</v>
      </c>
      <c r="D5684" s="43" t="s">
        <v>1112</v>
      </c>
      <c r="E5684" s="43" t="s">
        <v>464</v>
      </c>
    </row>
    <row r="5685" spans="1:5" x14ac:dyDescent="0.25">
      <c r="A5685" s="41">
        <v>18635</v>
      </c>
      <c r="B5685" s="42" t="s">
        <v>6056</v>
      </c>
      <c r="C5685" s="43" t="s">
        <v>289</v>
      </c>
      <c r="D5685" s="43" t="s">
        <v>1112</v>
      </c>
      <c r="E5685" s="43" t="s">
        <v>464</v>
      </c>
    </row>
    <row r="5686" spans="1:5" x14ac:dyDescent="0.25">
      <c r="A5686" s="41">
        <v>18637</v>
      </c>
      <c r="B5686" s="42" t="s">
        <v>6057</v>
      </c>
      <c r="C5686" s="43" t="s">
        <v>289</v>
      </c>
      <c r="D5686" s="43" t="s">
        <v>327</v>
      </c>
      <c r="E5686" s="43" t="s">
        <v>769</v>
      </c>
    </row>
    <row r="5687" spans="1:5" x14ac:dyDescent="0.25">
      <c r="A5687" s="41">
        <v>18638</v>
      </c>
      <c r="B5687" s="42" t="s">
        <v>6058</v>
      </c>
      <c r="C5687" s="43" t="s">
        <v>289</v>
      </c>
      <c r="D5687" s="43" t="s">
        <v>1138</v>
      </c>
      <c r="E5687" s="43" t="s">
        <v>454</v>
      </c>
    </row>
    <row r="5688" spans="1:5" x14ac:dyDescent="0.25">
      <c r="A5688" s="41">
        <v>18639</v>
      </c>
      <c r="B5688" s="42" t="s">
        <v>6059</v>
      </c>
      <c r="C5688" s="43" t="s">
        <v>289</v>
      </c>
      <c r="D5688" s="43" t="s">
        <v>1112</v>
      </c>
      <c r="E5688" s="43" t="s">
        <v>464</v>
      </c>
    </row>
    <row r="5689" spans="1:5" x14ac:dyDescent="0.25">
      <c r="A5689" s="41">
        <v>18640</v>
      </c>
      <c r="B5689" s="42" t="s">
        <v>6060</v>
      </c>
      <c r="C5689" s="43" t="s">
        <v>289</v>
      </c>
      <c r="D5689" s="43" t="s">
        <v>1112</v>
      </c>
      <c r="E5689" s="43" t="s">
        <v>464</v>
      </c>
    </row>
    <row r="5690" spans="1:5" x14ac:dyDescent="0.25">
      <c r="A5690" s="41">
        <v>18641</v>
      </c>
      <c r="B5690" s="42" t="s">
        <v>6061</v>
      </c>
      <c r="C5690" s="43" t="s">
        <v>289</v>
      </c>
      <c r="D5690" s="43" t="s">
        <v>3754</v>
      </c>
      <c r="E5690" s="43" t="s">
        <v>769</v>
      </c>
    </row>
    <row r="5691" spans="1:5" x14ac:dyDescent="0.25">
      <c r="A5691" s="41">
        <v>18642</v>
      </c>
      <c r="B5691" s="42" t="s">
        <v>6062</v>
      </c>
      <c r="C5691" s="43" t="s">
        <v>289</v>
      </c>
      <c r="D5691" s="43" t="s">
        <v>996</v>
      </c>
      <c r="E5691" s="43" t="s">
        <v>230</v>
      </c>
    </row>
    <row r="5692" spans="1:5" x14ac:dyDescent="0.25">
      <c r="A5692" s="41">
        <v>18643</v>
      </c>
      <c r="B5692" s="42" t="s">
        <v>6063</v>
      </c>
      <c r="C5692" s="43" t="s">
        <v>289</v>
      </c>
      <c r="D5692" s="43" t="s">
        <v>996</v>
      </c>
      <c r="E5692" s="43" t="s">
        <v>230</v>
      </c>
    </row>
    <row r="5693" spans="1:5" x14ac:dyDescent="0.25">
      <c r="A5693" s="41">
        <v>18644</v>
      </c>
      <c r="B5693" s="42" t="s">
        <v>6064</v>
      </c>
      <c r="C5693" s="43" t="s">
        <v>289</v>
      </c>
      <c r="D5693" s="43" t="s">
        <v>996</v>
      </c>
      <c r="E5693" s="43" t="s">
        <v>230</v>
      </c>
    </row>
    <row r="5694" spans="1:5" x14ac:dyDescent="0.25">
      <c r="A5694" s="41">
        <v>18646</v>
      </c>
      <c r="B5694" s="42" t="s">
        <v>6065</v>
      </c>
      <c r="C5694" s="43" t="s">
        <v>289</v>
      </c>
      <c r="D5694" s="43" t="s">
        <v>996</v>
      </c>
      <c r="E5694" s="43" t="s">
        <v>230</v>
      </c>
    </row>
    <row r="5695" spans="1:5" x14ac:dyDescent="0.25">
      <c r="A5695" s="41">
        <v>18647</v>
      </c>
      <c r="B5695" s="42" t="s">
        <v>6066</v>
      </c>
      <c r="C5695" s="43" t="s">
        <v>289</v>
      </c>
      <c r="D5695" s="43" t="s">
        <v>635</v>
      </c>
      <c r="E5695" s="43" t="s">
        <v>464</v>
      </c>
    </row>
    <row r="5696" spans="1:5" x14ac:dyDescent="0.25">
      <c r="A5696" s="41">
        <v>18648</v>
      </c>
      <c r="B5696" s="42" t="s">
        <v>6067</v>
      </c>
      <c r="C5696" s="43" t="s">
        <v>289</v>
      </c>
      <c r="D5696" s="43" t="s">
        <v>635</v>
      </c>
      <c r="E5696" s="43" t="s">
        <v>464</v>
      </c>
    </row>
    <row r="5697" spans="1:5" x14ac:dyDescent="0.25">
      <c r="A5697" s="41">
        <v>18649</v>
      </c>
      <c r="B5697" s="42" t="s">
        <v>6068</v>
      </c>
      <c r="C5697" s="43" t="s">
        <v>289</v>
      </c>
      <c r="D5697" s="43" t="s">
        <v>635</v>
      </c>
      <c r="E5697" s="43" t="s">
        <v>464</v>
      </c>
    </row>
    <row r="5698" spans="1:5" x14ac:dyDescent="0.25">
      <c r="A5698" s="41">
        <v>18650</v>
      </c>
      <c r="B5698" s="42" t="s">
        <v>6069</v>
      </c>
      <c r="C5698" s="43" t="s">
        <v>289</v>
      </c>
      <c r="D5698" s="43" t="s">
        <v>1112</v>
      </c>
      <c r="E5698" s="43" t="s">
        <v>464</v>
      </c>
    </row>
    <row r="5699" spans="1:5" x14ac:dyDescent="0.25">
      <c r="A5699" s="41">
        <v>18651</v>
      </c>
      <c r="B5699" s="42" t="s">
        <v>6070</v>
      </c>
      <c r="C5699" s="43" t="s">
        <v>289</v>
      </c>
      <c r="D5699" s="43" t="s">
        <v>1112</v>
      </c>
      <c r="E5699" s="43" t="s">
        <v>464</v>
      </c>
    </row>
    <row r="5700" spans="1:5" x14ac:dyDescent="0.25">
      <c r="A5700" s="41">
        <v>18652</v>
      </c>
      <c r="B5700" s="42" t="s">
        <v>6071</v>
      </c>
      <c r="C5700" s="43" t="s">
        <v>289</v>
      </c>
      <c r="D5700" s="43" t="s">
        <v>1112</v>
      </c>
      <c r="E5700" s="43" t="s">
        <v>464</v>
      </c>
    </row>
    <row r="5701" spans="1:5" x14ac:dyDescent="0.25">
      <c r="A5701" s="41">
        <v>18653</v>
      </c>
      <c r="B5701" s="42" t="s">
        <v>6072</v>
      </c>
      <c r="C5701" s="43" t="s">
        <v>289</v>
      </c>
      <c r="D5701" s="43" t="s">
        <v>1112</v>
      </c>
      <c r="E5701" s="43" t="s">
        <v>464</v>
      </c>
    </row>
    <row r="5702" spans="1:5" x14ac:dyDescent="0.25">
      <c r="A5702" s="41">
        <v>18654</v>
      </c>
      <c r="B5702" s="42" t="s">
        <v>6073</v>
      </c>
      <c r="C5702" s="43" t="s">
        <v>289</v>
      </c>
      <c r="D5702" s="43" t="s">
        <v>996</v>
      </c>
      <c r="E5702" s="43" t="s">
        <v>230</v>
      </c>
    </row>
    <row r="5703" spans="1:5" x14ac:dyDescent="0.25">
      <c r="A5703" s="41">
        <v>18655</v>
      </c>
      <c r="B5703" s="42" t="s">
        <v>6074</v>
      </c>
      <c r="C5703" s="43" t="s">
        <v>289</v>
      </c>
      <c r="D5703" s="43" t="s">
        <v>996</v>
      </c>
      <c r="E5703" s="43" t="s">
        <v>230</v>
      </c>
    </row>
    <row r="5704" spans="1:5" x14ac:dyDescent="0.25">
      <c r="A5704" s="41">
        <v>18656</v>
      </c>
      <c r="B5704" s="42" t="s">
        <v>6075</v>
      </c>
      <c r="C5704" s="43" t="s">
        <v>289</v>
      </c>
      <c r="D5704" s="43" t="s">
        <v>996</v>
      </c>
      <c r="E5704" s="43" t="s">
        <v>230</v>
      </c>
    </row>
    <row r="5705" spans="1:5" x14ac:dyDescent="0.25">
      <c r="A5705" s="41">
        <v>18657</v>
      </c>
      <c r="B5705" s="42" t="s">
        <v>6076</v>
      </c>
      <c r="C5705" s="43" t="s">
        <v>289</v>
      </c>
      <c r="D5705" s="43" t="s">
        <v>1092</v>
      </c>
      <c r="E5705" s="43" t="s">
        <v>230</v>
      </c>
    </row>
    <row r="5706" spans="1:5" x14ac:dyDescent="0.25">
      <c r="A5706" s="41">
        <v>18658</v>
      </c>
      <c r="B5706" s="42" t="s">
        <v>6077</v>
      </c>
      <c r="C5706" s="43" t="s">
        <v>289</v>
      </c>
      <c r="D5706" s="43" t="s">
        <v>1112</v>
      </c>
      <c r="E5706" s="43" t="s">
        <v>464</v>
      </c>
    </row>
    <row r="5707" spans="1:5" x14ac:dyDescent="0.25">
      <c r="A5707" s="41">
        <v>18659</v>
      </c>
      <c r="B5707" s="42" t="s">
        <v>6078</v>
      </c>
      <c r="C5707" s="43" t="s">
        <v>289</v>
      </c>
      <c r="D5707" s="43" t="s">
        <v>1112</v>
      </c>
      <c r="E5707" s="43" t="s">
        <v>464</v>
      </c>
    </row>
    <row r="5708" spans="1:5" x14ac:dyDescent="0.25">
      <c r="A5708" s="41">
        <v>18660</v>
      </c>
      <c r="B5708" s="42" t="s">
        <v>6079</v>
      </c>
      <c r="C5708" s="43" t="s">
        <v>289</v>
      </c>
      <c r="D5708" s="43" t="s">
        <v>1112</v>
      </c>
      <c r="E5708" s="43" t="s">
        <v>464</v>
      </c>
    </row>
    <row r="5709" spans="1:5" x14ac:dyDescent="0.25">
      <c r="A5709" s="41">
        <v>18661</v>
      </c>
      <c r="B5709" s="42" t="s">
        <v>6080</v>
      </c>
      <c r="C5709" s="43" t="s">
        <v>289</v>
      </c>
      <c r="D5709" s="43" t="s">
        <v>1112</v>
      </c>
      <c r="E5709" s="43" t="s">
        <v>464</v>
      </c>
    </row>
    <row r="5710" spans="1:5" x14ac:dyDescent="0.25">
      <c r="A5710" s="41">
        <v>18662</v>
      </c>
      <c r="B5710" s="42" t="s">
        <v>6081</v>
      </c>
      <c r="C5710" s="43" t="s">
        <v>289</v>
      </c>
      <c r="D5710" s="43" t="s">
        <v>1112</v>
      </c>
      <c r="E5710" s="43" t="s">
        <v>464</v>
      </c>
    </row>
    <row r="5711" spans="1:5" x14ac:dyDescent="0.25">
      <c r="A5711" s="41">
        <v>18663</v>
      </c>
      <c r="B5711" s="42" t="s">
        <v>6082</v>
      </c>
      <c r="C5711" s="43" t="s">
        <v>289</v>
      </c>
      <c r="D5711" s="43" t="s">
        <v>1112</v>
      </c>
      <c r="E5711" s="43" t="s">
        <v>464</v>
      </c>
    </row>
    <row r="5712" spans="1:5" x14ac:dyDescent="0.25">
      <c r="A5712" s="41">
        <v>18664</v>
      </c>
      <c r="B5712" s="42" t="s">
        <v>6083</v>
      </c>
      <c r="C5712" s="43" t="s">
        <v>289</v>
      </c>
      <c r="D5712" s="43" t="s">
        <v>1112</v>
      </c>
      <c r="E5712" s="43" t="s">
        <v>464</v>
      </c>
    </row>
    <row r="5713" spans="1:5" x14ac:dyDescent="0.25">
      <c r="A5713" s="41">
        <v>18665</v>
      </c>
      <c r="B5713" s="42" t="s">
        <v>6084</v>
      </c>
      <c r="C5713" s="43" t="s">
        <v>289</v>
      </c>
      <c r="D5713" s="43" t="s">
        <v>3754</v>
      </c>
      <c r="E5713" s="43" t="s">
        <v>769</v>
      </c>
    </row>
    <row r="5714" spans="1:5" x14ac:dyDescent="0.25">
      <c r="A5714" s="41">
        <v>18671</v>
      </c>
      <c r="B5714" s="42" t="s">
        <v>6085</v>
      </c>
      <c r="C5714" s="43" t="s">
        <v>289</v>
      </c>
      <c r="D5714" s="43" t="s">
        <v>996</v>
      </c>
      <c r="E5714" s="43" t="s">
        <v>769</v>
      </c>
    </row>
    <row r="5715" spans="1:5" x14ac:dyDescent="0.25">
      <c r="A5715" s="41">
        <v>18673</v>
      </c>
      <c r="B5715" s="42" t="s">
        <v>6086</v>
      </c>
      <c r="C5715" s="43" t="s">
        <v>289</v>
      </c>
      <c r="D5715" s="43" t="s">
        <v>1112</v>
      </c>
      <c r="E5715" s="43" t="s">
        <v>464</v>
      </c>
    </row>
    <row r="5716" spans="1:5" x14ac:dyDescent="0.25">
      <c r="A5716" s="41">
        <v>18674</v>
      </c>
      <c r="B5716" s="42" t="s">
        <v>6087</v>
      </c>
      <c r="C5716" s="43" t="s">
        <v>289</v>
      </c>
      <c r="D5716" s="43" t="s">
        <v>996</v>
      </c>
      <c r="E5716" s="43" t="s">
        <v>230</v>
      </c>
    </row>
    <row r="5717" spans="1:5" x14ac:dyDescent="0.25">
      <c r="A5717" s="41">
        <v>18675</v>
      </c>
      <c r="B5717" s="42" t="s">
        <v>6088</v>
      </c>
      <c r="C5717" s="43" t="s">
        <v>289</v>
      </c>
      <c r="D5717" s="43" t="s">
        <v>314</v>
      </c>
      <c r="E5717" s="43" t="s">
        <v>230</v>
      </c>
    </row>
    <row r="5718" spans="1:5" x14ac:dyDescent="0.25">
      <c r="A5718" s="41">
        <v>18676</v>
      </c>
      <c r="B5718" s="42" t="s">
        <v>6089</v>
      </c>
      <c r="C5718" s="43" t="s">
        <v>289</v>
      </c>
      <c r="D5718" s="43" t="s">
        <v>1112</v>
      </c>
      <c r="E5718" s="43" t="s">
        <v>464</v>
      </c>
    </row>
    <row r="5719" spans="1:5" x14ac:dyDescent="0.25">
      <c r="A5719" s="41">
        <v>18677</v>
      </c>
      <c r="B5719" s="42" t="s">
        <v>6090</v>
      </c>
      <c r="C5719" s="43" t="s">
        <v>289</v>
      </c>
      <c r="D5719" s="43" t="s">
        <v>1112</v>
      </c>
      <c r="E5719" s="43" t="s">
        <v>464</v>
      </c>
    </row>
    <row r="5720" spans="1:5" x14ac:dyDescent="0.25">
      <c r="A5720" s="41">
        <v>18678</v>
      </c>
      <c r="B5720" s="42" t="s">
        <v>6091</v>
      </c>
      <c r="C5720" s="43" t="s">
        <v>289</v>
      </c>
      <c r="D5720" s="43" t="s">
        <v>1112</v>
      </c>
      <c r="E5720" s="43" t="s">
        <v>464</v>
      </c>
    </row>
    <row r="5721" spans="1:5" x14ac:dyDescent="0.25">
      <c r="A5721" s="41">
        <v>18679</v>
      </c>
      <c r="B5721" s="42" t="s">
        <v>6092</v>
      </c>
      <c r="C5721" s="43" t="s">
        <v>289</v>
      </c>
      <c r="D5721" s="43" t="s">
        <v>1112</v>
      </c>
      <c r="E5721" s="43" t="s">
        <v>464</v>
      </c>
    </row>
    <row r="5722" spans="1:5" x14ac:dyDescent="0.25">
      <c r="A5722" s="41">
        <v>18680</v>
      </c>
      <c r="B5722" s="42" t="s">
        <v>6093</v>
      </c>
      <c r="C5722" s="43" t="s">
        <v>289</v>
      </c>
      <c r="D5722" s="43" t="s">
        <v>316</v>
      </c>
      <c r="E5722" s="43" t="s">
        <v>454</v>
      </c>
    </row>
    <row r="5723" spans="1:5" x14ac:dyDescent="0.25">
      <c r="A5723" s="41">
        <v>18681</v>
      </c>
      <c r="B5723" s="42" t="s">
        <v>6094</v>
      </c>
      <c r="C5723" s="43" t="s">
        <v>289</v>
      </c>
      <c r="D5723" s="43" t="s">
        <v>1112</v>
      </c>
      <c r="E5723" s="43" t="s">
        <v>230</v>
      </c>
    </row>
    <row r="5724" spans="1:5" x14ac:dyDescent="0.25">
      <c r="A5724" s="41">
        <v>18682</v>
      </c>
      <c r="B5724" s="42" t="s">
        <v>6095</v>
      </c>
      <c r="C5724" s="43" t="s">
        <v>289</v>
      </c>
      <c r="D5724" s="43" t="s">
        <v>5833</v>
      </c>
      <c r="E5724" s="43" t="s">
        <v>373</v>
      </c>
    </row>
    <row r="5725" spans="1:5" x14ac:dyDescent="0.25">
      <c r="A5725" s="41">
        <v>18684</v>
      </c>
      <c r="B5725" s="42" t="s">
        <v>6096</v>
      </c>
      <c r="C5725" s="43" t="s">
        <v>289</v>
      </c>
      <c r="D5725" s="43" t="s">
        <v>1100</v>
      </c>
      <c r="E5725" s="43" t="s">
        <v>464</v>
      </c>
    </row>
    <row r="5726" spans="1:5" x14ac:dyDescent="0.25">
      <c r="A5726" s="41">
        <v>18685</v>
      </c>
      <c r="B5726" s="42" t="s">
        <v>6097</v>
      </c>
      <c r="C5726" s="43" t="s">
        <v>289</v>
      </c>
      <c r="D5726" s="43" t="s">
        <v>1100</v>
      </c>
      <c r="E5726" s="43" t="s">
        <v>230</v>
      </c>
    </row>
    <row r="5727" spans="1:5" x14ac:dyDescent="0.25">
      <c r="A5727" s="41">
        <v>18686</v>
      </c>
      <c r="B5727" s="42" t="s">
        <v>6098</v>
      </c>
      <c r="C5727" s="43" t="s">
        <v>289</v>
      </c>
      <c r="D5727" s="43" t="s">
        <v>4329</v>
      </c>
      <c r="E5727" s="43" t="s">
        <v>230</v>
      </c>
    </row>
    <row r="5728" spans="1:5" x14ac:dyDescent="0.25">
      <c r="A5728" s="41">
        <v>18688</v>
      </c>
      <c r="B5728" s="42" t="s">
        <v>6099</v>
      </c>
      <c r="C5728" s="43" t="s">
        <v>289</v>
      </c>
      <c r="D5728" s="43" t="s">
        <v>941</v>
      </c>
      <c r="E5728" s="43" t="s">
        <v>230</v>
      </c>
    </row>
    <row r="5729" spans="1:5" x14ac:dyDescent="0.25">
      <c r="A5729" s="41">
        <v>18690</v>
      </c>
      <c r="B5729" s="42" t="s">
        <v>6100</v>
      </c>
      <c r="C5729" s="43" t="s">
        <v>289</v>
      </c>
      <c r="D5729" s="43" t="s">
        <v>333</v>
      </c>
      <c r="E5729" s="43" t="s">
        <v>230</v>
      </c>
    </row>
    <row r="5730" spans="1:5" x14ac:dyDescent="0.25">
      <c r="A5730" s="41">
        <v>18691</v>
      </c>
      <c r="B5730" s="42" t="s">
        <v>6101</v>
      </c>
      <c r="C5730" s="43" t="s">
        <v>289</v>
      </c>
      <c r="D5730" s="43" t="s">
        <v>1112</v>
      </c>
      <c r="E5730" s="43" t="s">
        <v>230</v>
      </c>
    </row>
    <row r="5731" spans="1:5" x14ac:dyDescent="0.25">
      <c r="A5731" s="41">
        <v>18693</v>
      </c>
      <c r="B5731" s="42" t="s">
        <v>6102</v>
      </c>
      <c r="C5731" s="43" t="s">
        <v>289</v>
      </c>
      <c r="D5731" s="43" t="s">
        <v>5570</v>
      </c>
      <c r="E5731" s="43" t="s">
        <v>230</v>
      </c>
    </row>
    <row r="5732" spans="1:5" x14ac:dyDescent="0.25">
      <c r="A5732" s="41">
        <v>18694</v>
      </c>
      <c r="B5732" s="42" t="s">
        <v>6103</v>
      </c>
      <c r="C5732" s="43" t="s">
        <v>289</v>
      </c>
      <c r="D5732" s="43" t="s">
        <v>1112</v>
      </c>
      <c r="E5732" s="43" t="s">
        <v>230</v>
      </c>
    </row>
    <row r="5733" spans="1:5" x14ac:dyDescent="0.25">
      <c r="A5733" s="41">
        <v>18695</v>
      </c>
      <c r="B5733" s="42" t="s">
        <v>6104</v>
      </c>
      <c r="C5733" s="43" t="s">
        <v>289</v>
      </c>
      <c r="D5733" s="43" t="s">
        <v>941</v>
      </c>
      <c r="E5733" s="43" t="s">
        <v>230</v>
      </c>
    </row>
    <row r="5734" spans="1:5" x14ac:dyDescent="0.25">
      <c r="A5734" s="41">
        <v>18696</v>
      </c>
      <c r="B5734" s="42" t="s">
        <v>5704</v>
      </c>
      <c r="C5734" s="43" t="s">
        <v>289</v>
      </c>
      <c r="D5734" s="43" t="s">
        <v>499</v>
      </c>
      <c r="E5734" s="43" t="s">
        <v>472</v>
      </c>
    </row>
    <row r="5735" spans="1:5" x14ac:dyDescent="0.25">
      <c r="A5735" s="41">
        <v>18697</v>
      </c>
      <c r="B5735" s="42" t="s">
        <v>6105</v>
      </c>
      <c r="C5735" s="43" t="s">
        <v>289</v>
      </c>
      <c r="D5735" s="43" t="s">
        <v>333</v>
      </c>
      <c r="E5735" s="43" t="s">
        <v>170</v>
      </c>
    </row>
    <row r="5736" spans="1:5" x14ac:dyDescent="0.25">
      <c r="A5736" s="41">
        <v>18698</v>
      </c>
      <c r="B5736" s="42" t="s">
        <v>6106</v>
      </c>
      <c r="C5736" s="43" t="s">
        <v>289</v>
      </c>
      <c r="D5736" s="43" t="s">
        <v>333</v>
      </c>
      <c r="E5736" s="43" t="s">
        <v>170</v>
      </c>
    </row>
    <row r="5737" spans="1:5" x14ac:dyDescent="0.25">
      <c r="A5737" s="41">
        <v>18699</v>
      </c>
      <c r="B5737" s="42" t="s">
        <v>6107</v>
      </c>
      <c r="C5737" s="43" t="s">
        <v>289</v>
      </c>
      <c r="D5737" s="43" t="s">
        <v>333</v>
      </c>
      <c r="E5737" s="43" t="s">
        <v>230</v>
      </c>
    </row>
    <row r="5738" spans="1:5" x14ac:dyDescent="0.25">
      <c r="A5738" s="41">
        <v>18700</v>
      </c>
      <c r="B5738" s="42" t="s">
        <v>6108</v>
      </c>
      <c r="C5738" s="43" t="s">
        <v>289</v>
      </c>
      <c r="D5738" s="43" t="s">
        <v>333</v>
      </c>
      <c r="E5738" s="43" t="s">
        <v>230</v>
      </c>
    </row>
    <row r="5739" spans="1:5" x14ac:dyDescent="0.25">
      <c r="A5739" s="41">
        <v>18701</v>
      </c>
      <c r="B5739" s="42" t="s">
        <v>6109</v>
      </c>
      <c r="C5739" s="43" t="s">
        <v>289</v>
      </c>
      <c r="D5739" s="43" t="s">
        <v>316</v>
      </c>
      <c r="E5739" s="43" t="s">
        <v>230</v>
      </c>
    </row>
    <row r="5740" spans="1:5" x14ac:dyDescent="0.25">
      <c r="A5740" s="41">
        <v>18702</v>
      </c>
      <c r="B5740" s="42" t="s">
        <v>6110</v>
      </c>
      <c r="C5740" s="43" t="s">
        <v>289</v>
      </c>
      <c r="D5740" s="43" t="s">
        <v>996</v>
      </c>
      <c r="E5740" s="43" t="s">
        <v>464</v>
      </c>
    </row>
    <row r="5741" spans="1:5" x14ac:dyDescent="0.25">
      <c r="A5741" s="41">
        <v>18703</v>
      </c>
      <c r="B5741" s="42" t="s">
        <v>6111</v>
      </c>
      <c r="C5741" s="43" t="s">
        <v>289</v>
      </c>
      <c r="D5741" s="43" t="s">
        <v>996</v>
      </c>
      <c r="E5741" s="43" t="s">
        <v>464</v>
      </c>
    </row>
    <row r="5742" spans="1:5" x14ac:dyDescent="0.25">
      <c r="A5742" s="41">
        <v>18704</v>
      </c>
      <c r="B5742" s="42" t="s">
        <v>6112</v>
      </c>
      <c r="C5742" s="43" t="s">
        <v>289</v>
      </c>
      <c r="D5742" s="43" t="s">
        <v>996</v>
      </c>
      <c r="E5742" s="43" t="s">
        <v>464</v>
      </c>
    </row>
    <row r="5743" spans="1:5" x14ac:dyDescent="0.25">
      <c r="A5743" s="41">
        <v>18705</v>
      </c>
      <c r="B5743" s="42" t="s">
        <v>6113</v>
      </c>
      <c r="C5743" s="43" t="s">
        <v>289</v>
      </c>
      <c r="D5743" s="43" t="s">
        <v>3733</v>
      </c>
      <c r="E5743" s="43" t="s">
        <v>454</v>
      </c>
    </row>
    <row r="5744" spans="1:5" x14ac:dyDescent="0.25">
      <c r="A5744" s="41">
        <v>18707</v>
      </c>
      <c r="B5744" s="42" t="s">
        <v>6114</v>
      </c>
      <c r="C5744" s="43" t="s">
        <v>289</v>
      </c>
      <c r="D5744" s="43" t="s">
        <v>438</v>
      </c>
      <c r="E5744" s="43" t="s">
        <v>769</v>
      </c>
    </row>
    <row r="5745" spans="1:5" x14ac:dyDescent="0.25">
      <c r="A5745" s="41">
        <v>18708</v>
      </c>
      <c r="B5745" s="42" t="s">
        <v>6115</v>
      </c>
      <c r="C5745" s="43" t="s">
        <v>289</v>
      </c>
      <c r="D5745" s="43" t="s">
        <v>438</v>
      </c>
      <c r="E5745" s="43" t="s">
        <v>769</v>
      </c>
    </row>
    <row r="5746" spans="1:5" x14ac:dyDescent="0.25">
      <c r="A5746" s="41">
        <v>18709</v>
      </c>
      <c r="B5746" s="42" t="s">
        <v>6116</v>
      </c>
      <c r="C5746" s="43" t="s">
        <v>289</v>
      </c>
      <c r="D5746" s="43" t="s">
        <v>5997</v>
      </c>
      <c r="E5746" s="43" t="s">
        <v>464</v>
      </c>
    </row>
    <row r="5747" spans="1:5" x14ac:dyDescent="0.25">
      <c r="A5747" s="41">
        <v>18710</v>
      </c>
      <c r="B5747" s="42" t="s">
        <v>6117</v>
      </c>
      <c r="C5747" s="43" t="s">
        <v>289</v>
      </c>
      <c r="D5747" s="43" t="s">
        <v>1112</v>
      </c>
      <c r="E5747" s="43" t="s">
        <v>230</v>
      </c>
    </row>
    <row r="5748" spans="1:5" x14ac:dyDescent="0.25">
      <c r="A5748" s="41">
        <v>18711</v>
      </c>
      <c r="B5748" s="42" t="s">
        <v>6118</v>
      </c>
      <c r="C5748" s="43" t="s">
        <v>289</v>
      </c>
      <c r="D5748" s="43" t="s">
        <v>2281</v>
      </c>
      <c r="E5748" s="43" t="s">
        <v>454</v>
      </c>
    </row>
    <row r="5749" spans="1:5" x14ac:dyDescent="0.25">
      <c r="A5749" s="41">
        <v>18712</v>
      </c>
      <c r="B5749" s="42" t="s">
        <v>6119</v>
      </c>
      <c r="C5749" s="43" t="s">
        <v>289</v>
      </c>
      <c r="D5749" s="43" t="s">
        <v>316</v>
      </c>
      <c r="E5749" s="43" t="s">
        <v>454</v>
      </c>
    </row>
    <row r="5750" spans="1:5" x14ac:dyDescent="0.25">
      <c r="A5750" s="41">
        <v>18714</v>
      </c>
      <c r="B5750" s="42" t="s">
        <v>6120</v>
      </c>
      <c r="C5750" s="43" t="s">
        <v>289</v>
      </c>
      <c r="D5750" s="43" t="s">
        <v>941</v>
      </c>
      <c r="E5750" s="43" t="s">
        <v>454</v>
      </c>
    </row>
    <row r="5751" spans="1:5" x14ac:dyDescent="0.25">
      <c r="A5751" s="41">
        <v>18715</v>
      </c>
      <c r="B5751" s="42" t="s">
        <v>6121</v>
      </c>
      <c r="C5751" s="43" t="s">
        <v>289</v>
      </c>
      <c r="D5751" s="43" t="s">
        <v>941</v>
      </c>
      <c r="E5751" s="43" t="s">
        <v>454</v>
      </c>
    </row>
    <row r="5752" spans="1:5" x14ac:dyDescent="0.25">
      <c r="A5752" s="41">
        <v>18716</v>
      </c>
      <c r="B5752" s="42" t="s">
        <v>6122</v>
      </c>
      <c r="C5752" s="43" t="s">
        <v>289</v>
      </c>
      <c r="D5752" s="43" t="s">
        <v>316</v>
      </c>
      <c r="E5752" s="43" t="s">
        <v>531</v>
      </c>
    </row>
    <row r="5753" spans="1:5" x14ac:dyDescent="0.25">
      <c r="A5753" s="41">
        <v>18717</v>
      </c>
      <c r="B5753" s="42" t="s">
        <v>6123</v>
      </c>
      <c r="C5753" s="43" t="s">
        <v>289</v>
      </c>
      <c r="D5753" s="43" t="s">
        <v>2281</v>
      </c>
      <c r="E5753" s="43" t="s">
        <v>454</v>
      </c>
    </row>
    <row r="5754" spans="1:5" x14ac:dyDescent="0.25">
      <c r="A5754" s="41">
        <v>18718</v>
      </c>
      <c r="B5754" s="42" t="s">
        <v>6124</v>
      </c>
      <c r="C5754" s="43" t="s">
        <v>289</v>
      </c>
      <c r="D5754" s="43" t="s">
        <v>2281</v>
      </c>
      <c r="E5754" s="43" t="s">
        <v>454</v>
      </c>
    </row>
    <row r="5755" spans="1:5" x14ac:dyDescent="0.25">
      <c r="A5755" s="41">
        <v>18722</v>
      </c>
      <c r="B5755" s="42" t="s">
        <v>6125</v>
      </c>
      <c r="C5755" s="43" t="s">
        <v>289</v>
      </c>
      <c r="D5755" s="43" t="s">
        <v>3754</v>
      </c>
      <c r="E5755" s="43" t="s">
        <v>769</v>
      </c>
    </row>
    <row r="5756" spans="1:5" x14ac:dyDescent="0.25">
      <c r="A5756" s="41">
        <v>18723</v>
      </c>
      <c r="B5756" s="42" t="s">
        <v>6126</v>
      </c>
      <c r="C5756" s="43" t="s">
        <v>289</v>
      </c>
      <c r="D5756" s="43" t="s">
        <v>438</v>
      </c>
      <c r="E5756" s="43" t="s">
        <v>769</v>
      </c>
    </row>
    <row r="5757" spans="1:5" x14ac:dyDescent="0.25">
      <c r="A5757" s="41">
        <v>18724</v>
      </c>
      <c r="B5757" s="42" t="s">
        <v>6127</v>
      </c>
      <c r="C5757" s="43" t="s">
        <v>289</v>
      </c>
      <c r="D5757" s="43" t="s">
        <v>438</v>
      </c>
      <c r="E5757" s="43" t="s">
        <v>769</v>
      </c>
    </row>
    <row r="5758" spans="1:5" x14ac:dyDescent="0.25">
      <c r="A5758" s="41">
        <v>18725</v>
      </c>
      <c r="B5758" s="42" t="s">
        <v>6128</v>
      </c>
      <c r="C5758" s="43" t="s">
        <v>289</v>
      </c>
      <c r="D5758" s="43" t="s">
        <v>438</v>
      </c>
      <c r="E5758" s="43" t="s">
        <v>769</v>
      </c>
    </row>
    <row r="5759" spans="1:5" x14ac:dyDescent="0.25">
      <c r="A5759" s="41">
        <v>18727</v>
      </c>
      <c r="B5759" s="42" t="s">
        <v>6129</v>
      </c>
      <c r="C5759" s="43" t="s">
        <v>289</v>
      </c>
      <c r="D5759" s="43" t="s">
        <v>438</v>
      </c>
      <c r="E5759" s="43" t="s">
        <v>769</v>
      </c>
    </row>
    <row r="5760" spans="1:5" x14ac:dyDescent="0.25">
      <c r="A5760" s="41">
        <v>18728</v>
      </c>
      <c r="B5760" s="42" t="s">
        <v>6130</v>
      </c>
      <c r="C5760" s="43" t="s">
        <v>289</v>
      </c>
      <c r="D5760" s="43" t="s">
        <v>438</v>
      </c>
      <c r="E5760" s="43" t="s">
        <v>769</v>
      </c>
    </row>
    <row r="5761" spans="1:5" x14ac:dyDescent="0.25">
      <c r="A5761" s="41">
        <v>18729</v>
      </c>
      <c r="B5761" s="42" t="s">
        <v>6131</v>
      </c>
      <c r="C5761" s="43" t="s">
        <v>289</v>
      </c>
      <c r="D5761" s="43" t="s">
        <v>438</v>
      </c>
      <c r="E5761" s="43" t="s">
        <v>769</v>
      </c>
    </row>
    <row r="5762" spans="1:5" x14ac:dyDescent="0.25">
      <c r="A5762" s="41">
        <v>18730</v>
      </c>
      <c r="B5762" s="42" t="s">
        <v>6132</v>
      </c>
      <c r="C5762" s="43" t="s">
        <v>289</v>
      </c>
      <c r="D5762" s="43" t="s">
        <v>438</v>
      </c>
      <c r="E5762" s="43" t="s">
        <v>769</v>
      </c>
    </row>
    <row r="5763" spans="1:5" x14ac:dyDescent="0.25">
      <c r="A5763" s="41">
        <v>18733</v>
      </c>
      <c r="B5763" s="42" t="s">
        <v>6133</v>
      </c>
      <c r="C5763" s="43" t="s">
        <v>289</v>
      </c>
      <c r="D5763" s="43" t="s">
        <v>1112</v>
      </c>
      <c r="E5763" s="43" t="s">
        <v>464</v>
      </c>
    </row>
    <row r="5764" spans="1:5" x14ac:dyDescent="0.25">
      <c r="A5764" s="41">
        <v>18734</v>
      </c>
      <c r="B5764" s="42" t="s">
        <v>6134</v>
      </c>
      <c r="C5764" s="43" t="s">
        <v>289</v>
      </c>
      <c r="D5764" s="43" t="s">
        <v>1112</v>
      </c>
      <c r="E5764" s="43" t="s">
        <v>464</v>
      </c>
    </row>
    <row r="5765" spans="1:5" x14ac:dyDescent="0.25">
      <c r="A5765" s="41">
        <v>18736</v>
      </c>
      <c r="B5765" s="42" t="s">
        <v>6120</v>
      </c>
      <c r="C5765" s="43" t="s">
        <v>289</v>
      </c>
      <c r="D5765" s="43" t="s">
        <v>941</v>
      </c>
      <c r="E5765" s="43" t="s">
        <v>454</v>
      </c>
    </row>
    <row r="5766" spans="1:5" x14ac:dyDescent="0.25">
      <c r="A5766" s="41">
        <v>18737</v>
      </c>
      <c r="B5766" s="42" t="s">
        <v>6121</v>
      </c>
      <c r="C5766" s="43" t="s">
        <v>289</v>
      </c>
      <c r="D5766" s="43" t="s">
        <v>941</v>
      </c>
      <c r="E5766" s="43" t="s">
        <v>454</v>
      </c>
    </row>
    <row r="5767" spans="1:5" x14ac:dyDescent="0.25">
      <c r="A5767" s="41">
        <v>18739</v>
      </c>
      <c r="B5767" s="42" t="s">
        <v>6135</v>
      </c>
      <c r="C5767" s="43" t="s">
        <v>289</v>
      </c>
      <c r="D5767" s="43" t="s">
        <v>316</v>
      </c>
      <c r="E5767" s="43" t="s">
        <v>230</v>
      </c>
    </row>
    <row r="5768" spans="1:5" x14ac:dyDescent="0.25">
      <c r="A5768" s="41">
        <v>18740</v>
      </c>
      <c r="B5768" s="42" t="s">
        <v>6136</v>
      </c>
      <c r="C5768" s="43" t="s">
        <v>289</v>
      </c>
      <c r="D5768" s="43" t="s">
        <v>327</v>
      </c>
      <c r="E5768" s="43" t="s">
        <v>230</v>
      </c>
    </row>
    <row r="5769" spans="1:5" x14ac:dyDescent="0.25">
      <c r="A5769" s="41">
        <v>18741</v>
      </c>
      <c r="B5769" s="42" t="s">
        <v>6137</v>
      </c>
      <c r="C5769" s="43" t="s">
        <v>289</v>
      </c>
      <c r="D5769" s="43" t="s">
        <v>327</v>
      </c>
      <c r="E5769" s="43" t="s">
        <v>483</v>
      </c>
    </row>
    <row r="5770" spans="1:5" x14ac:dyDescent="0.25">
      <c r="A5770" s="41">
        <v>18742</v>
      </c>
      <c r="B5770" s="42" t="s">
        <v>6138</v>
      </c>
      <c r="C5770" s="43" t="s">
        <v>289</v>
      </c>
      <c r="D5770" s="43" t="s">
        <v>327</v>
      </c>
      <c r="E5770" s="43" t="s">
        <v>531</v>
      </c>
    </row>
    <row r="5771" spans="1:5" x14ac:dyDescent="0.25">
      <c r="A5771" s="41">
        <v>18743</v>
      </c>
      <c r="B5771" s="42" t="s">
        <v>6139</v>
      </c>
      <c r="C5771" s="43" t="s">
        <v>289</v>
      </c>
      <c r="D5771" s="43" t="s">
        <v>327</v>
      </c>
      <c r="E5771" s="43" t="s">
        <v>230</v>
      </c>
    </row>
    <row r="5772" spans="1:5" x14ac:dyDescent="0.25">
      <c r="A5772" s="41">
        <v>18744</v>
      </c>
      <c r="B5772" s="42" t="s">
        <v>6140</v>
      </c>
      <c r="C5772" s="43" t="s">
        <v>289</v>
      </c>
      <c r="D5772" s="43" t="s">
        <v>6141</v>
      </c>
      <c r="E5772" s="43" t="s">
        <v>769</v>
      </c>
    </row>
    <row r="5773" spans="1:5" x14ac:dyDescent="0.25">
      <c r="A5773" s="41">
        <v>18747</v>
      </c>
      <c r="B5773" s="42" t="s">
        <v>6142</v>
      </c>
      <c r="C5773" s="43" t="s">
        <v>289</v>
      </c>
      <c r="D5773" s="43" t="s">
        <v>635</v>
      </c>
      <c r="E5773" s="43" t="s">
        <v>464</v>
      </c>
    </row>
    <row r="5774" spans="1:5" x14ac:dyDescent="0.25">
      <c r="A5774" s="41">
        <v>18749</v>
      </c>
      <c r="B5774" s="42" t="s">
        <v>6143</v>
      </c>
      <c r="C5774" s="43" t="s">
        <v>289</v>
      </c>
      <c r="D5774" s="43" t="s">
        <v>316</v>
      </c>
      <c r="E5774" s="43" t="s">
        <v>230</v>
      </c>
    </row>
    <row r="5775" spans="1:5" x14ac:dyDescent="0.25">
      <c r="A5775" s="41">
        <v>18750</v>
      </c>
      <c r="B5775" s="42" t="s">
        <v>6144</v>
      </c>
      <c r="C5775" s="43" t="s">
        <v>289</v>
      </c>
      <c r="D5775" s="43" t="s">
        <v>702</v>
      </c>
      <c r="E5775" s="43" t="s">
        <v>454</v>
      </c>
    </row>
    <row r="5776" spans="1:5" x14ac:dyDescent="0.25">
      <c r="A5776" s="41">
        <v>18751</v>
      </c>
      <c r="B5776" s="42" t="s">
        <v>6145</v>
      </c>
      <c r="C5776" s="43" t="s">
        <v>289</v>
      </c>
      <c r="D5776" s="43" t="s">
        <v>941</v>
      </c>
      <c r="E5776" s="43" t="s">
        <v>454</v>
      </c>
    </row>
    <row r="5777" spans="1:5" x14ac:dyDescent="0.25">
      <c r="A5777" s="41">
        <v>18753</v>
      </c>
      <c r="B5777" s="42" t="s">
        <v>6146</v>
      </c>
      <c r="C5777" s="43" t="s">
        <v>289</v>
      </c>
      <c r="D5777" s="43" t="s">
        <v>316</v>
      </c>
      <c r="E5777" s="43" t="s">
        <v>454</v>
      </c>
    </row>
    <row r="5778" spans="1:5" x14ac:dyDescent="0.25">
      <c r="A5778" s="41">
        <v>18754</v>
      </c>
      <c r="B5778" s="42" t="s">
        <v>6147</v>
      </c>
      <c r="C5778" s="43" t="s">
        <v>289</v>
      </c>
      <c r="D5778" s="43" t="s">
        <v>3754</v>
      </c>
      <c r="E5778" s="43" t="s">
        <v>769</v>
      </c>
    </row>
    <row r="5779" spans="1:5" x14ac:dyDescent="0.25">
      <c r="A5779" s="41">
        <v>18755</v>
      </c>
      <c r="B5779" s="42" t="s">
        <v>6148</v>
      </c>
      <c r="C5779" s="43" t="s">
        <v>289</v>
      </c>
      <c r="D5779" s="43" t="s">
        <v>314</v>
      </c>
      <c r="E5779" s="43" t="s">
        <v>4562</v>
      </c>
    </row>
    <row r="5780" spans="1:5" x14ac:dyDescent="0.25">
      <c r="A5780" s="41">
        <v>18757</v>
      </c>
      <c r="B5780" s="42" t="s">
        <v>6149</v>
      </c>
      <c r="C5780" s="43" t="s">
        <v>289</v>
      </c>
      <c r="D5780" s="43" t="s">
        <v>2501</v>
      </c>
      <c r="E5780" s="43" t="s">
        <v>5892</v>
      </c>
    </row>
    <row r="5781" spans="1:5" x14ac:dyDescent="0.25">
      <c r="A5781" s="41">
        <v>18758</v>
      </c>
      <c r="B5781" s="42" t="s">
        <v>6150</v>
      </c>
      <c r="C5781" s="43" t="s">
        <v>289</v>
      </c>
      <c r="D5781" s="43" t="s">
        <v>2501</v>
      </c>
      <c r="E5781" s="43" t="s">
        <v>5892</v>
      </c>
    </row>
    <row r="5782" spans="1:5" x14ac:dyDescent="0.25">
      <c r="A5782" s="41">
        <v>18759</v>
      </c>
      <c r="B5782" s="42" t="s">
        <v>6151</v>
      </c>
      <c r="C5782" s="43" t="s">
        <v>289</v>
      </c>
      <c r="D5782" s="43" t="s">
        <v>1112</v>
      </c>
      <c r="E5782" s="43" t="s">
        <v>464</v>
      </c>
    </row>
    <row r="5783" spans="1:5" x14ac:dyDescent="0.25">
      <c r="A5783" s="41">
        <v>18760</v>
      </c>
      <c r="B5783" s="42" t="s">
        <v>6152</v>
      </c>
      <c r="C5783" s="43" t="s">
        <v>289</v>
      </c>
      <c r="D5783" s="43" t="s">
        <v>3754</v>
      </c>
      <c r="E5783" s="43" t="s">
        <v>769</v>
      </c>
    </row>
    <row r="5784" spans="1:5" x14ac:dyDescent="0.25">
      <c r="A5784" s="41">
        <v>18761</v>
      </c>
      <c r="B5784" s="42" t="s">
        <v>6153</v>
      </c>
      <c r="C5784" s="43" t="s">
        <v>289</v>
      </c>
      <c r="D5784" s="43" t="s">
        <v>941</v>
      </c>
      <c r="E5784" s="43" t="s">
        <v>230</v>
      </c>
    </row>
    <row r="5785" spans="1:5" x14ac:dyDescent="0.25">
      <c r="A5785" s="41">
        <v>18762</v>
      </c>
      <c r="B5785" s="42" t="s">
        <v>6154</v>
      </c>
      <c r="C5785" s="43" t="s">
        <v>289</v>
      </c>
      <c r="D5785" s="43" t="s">
        <v>327</v>
      </c>
      <c r="E5785" s="43" t="s">
        <v>5892</v>
      </c>
    </row>
    <row r="5786" spans="1:5" x14ac:dyDescent="0.25">
      <c r="A5786" s="41">
        <v>18764</v>
      </c>
      <c r="B5786" s="42" t="s">
        <v>6155</v>
      </c>
      <c r="C5786" s="43" t="s">
        <v>289</v>
      </c>
      <c r="D5786" s="43" t="s">
        <v>316</v>
      </c>
      <c r="E5786" s="43" t="s">
        <v>230</v>
      </c>
    </row>
    <row r="5787" spans="1:5" x14ac:dyDescent="0.25">
      <c r="A5787" s="41">
        <v>18765</v>
      </c>
      <c r="B5787" s="42" t="s">
        <v>6156</v>
      </c>
      <c r="C5787" s="43" t="s">
        <v>289</v>
      </c>
      <c r="D5787" s="43" t="s">
        <v>327</v>
      </c>
      <c r="E5787" s="43" t="s">
        <v>336</v>
      </c>
    </row>
    <row r="5788" spans="1:5" x14ac:dyDescent="0.25">
      <c r="A5788" s="41">
        <v>18766</v>
      </c>
      <c r="B5788" s="42" t="s">
        <v>6157</v>
      </c>
      <c r="C5788" s="43" t="s">
        <v>289</v>
      </c>
      <c r="D5788" s="43" t="s">
        <v>316</v>
      </c>
      <c r="E5788" s="43" t="s">
        <v>454</v>
      </c>
    </row>
    <row r="5789" spans="1:5" x14ac:dyDescent="0.25">
      <c r="A5789" s="41">
        <v>18767</v>
      </c>
      <c r="B5789" s="42" t="s">
        <v>6158</v>
      </c>
      <c r="C5789" s="43" t="s">
        <v>289</v>
      </c>
      <c r="D5789" s="43" t="s">
        <v>1112</v>
      </c>
      <c r="E5789" s="43" t="s">
        <v>230</v>
      </c>
    </row>
    <row r="5790" spans="1:5" x14ac:dyDescent="0.25">
      <c r="A5790" s="41">
        <v>18768</v>
      </c>
      <c r="B5790" s="42" t="s">
        <v>6159</v>
      </c>
      <c r="C5790" s="43" t="s">
        <v>289</v>
      </c>
      <c r="D5790" s="43" t="s">
        <v>1112</v>
      </c>
      <c r="E5790" s="43" t="s">
        <v>464</v>
      </c>
    </row>
    <row r="5791" spans="1:5" x14ac:dyDescent="0.25">
      <c r="A5791" s="41">
        <v>18769</v>
      </c>
      <c r="B5791" s="42" t="s">
        <v>6160</v>
      </c>
      <c r="C5791" s="43" t="s">
        <v>289</v>
      </c>
      <c r="D5791" s="43" t="s">
        <v>1112</v>
      </c>
      <c r="E5791" s="43" t="s">
        <v>464</v>
      </c>
    </row>
    <row r="5792" spans="1:5" x14ac:dyDescent="0.25">
      <c r="A5792" s="41">
        <v>18770</v>
      </c>
      <c r="B5792" s="42" t="s">
        <v>6161</v>
      </c>
      <c r="C5792" s="43" t="s">
        <v>289</v>
      </c>
      <c r="D5792" s="43" t="s">
        <v>1112</v>
      </c>
      <c r="E5792" s="43" t="s">
        <v>464</v>
      </c>
    </row>
    <row r="5793" spans="1:5" x14ac:dyDescent="0.25">
      <c r="A5793" s="41">
        <v>18772</v>
      </c>
      <c r="B5793" s="42" t="s">
        <v>6162</v>
      </c>
      <c r="C5793" s="43" t="s">
        <v>289</v>
      </c>
      <c r="D5793" s="43" t="s">
        <v>316</v>
      </c>
      <c r="E5793" s="43" t="s">
        <v>230</v>
      </c>
    </row>
    <row r="5794" spans="1:5" x14ac:dyDescent="0.25">
      <c r="A5794" s="41">
        <v>18773</v>
      </c>
      <c r="B5794" s="42" t="s">
        <v>6163</v>
      </c>
      <c r="C5794" s="43" t="s">
        <v>289</v>
      </c>
      <c r="D5794" s="43" t="s">
        <v>635</v>
      </c>
      <c r="E5794" s="43" t="s">
        <v>230</v>
      </c>
    </row>
    <row r="5795" spans="1:5" x14ac:dyDescent="0.25">
      <c r="A5795" s="41">
        <v>18774</v>
      </c>
      <c r="B5795" s="42" t="s">
        <v>6164</v>
      </c>
      <c r="C5795" s="43" t="s">
        <v>289</v>
      </c>
      <c r="D5795" s="43" t="s">
        <v>996</v>
      </c>
      <c r="E5795" s="43" t="s">
        <v>230</v>
      </c>
    </row>
    <row r="5796" spans="1:5" x14ac:dyDescent="0.25">
      <c r="A5796" s="41">
        <v>18775</v>
      </c>
      <c r="B5796" s="42" t="s">
        <v>6165</v>
      </c>
      <c r="C5796" s="43" t="s">
        <v>289</v>
      </c>
      <c r="D5796" s="43" t="s">
        <v>996</v>
      </c>
      <c r="E5796" s="43" t="s">
        <v>230</v>
      </c>
    </row>
    <row r="5797" spans="1:5" x14ac:dyDescent="0.25">
      <c r="A5797" s="41">
        <v>18777</v>
      </c>
      <c r="B5797" s="42" t="s">
        <v>6166</v>
      </c>
      <c r="C5797" s="43" t="s">
        <v>289</v>
      </c>
      <c r="D5797" s="43" t="s">
        <v>635</v>
      </c>
      <c r="E5797" s="43" t="s">
        <v>464</v>
      </c>
    </row>
    <row r="5798" spans="1:5" x14ac:dyDescent="0.25">
      <c r="A5798" s="41">
        <v>18778</v>
      </c>
      <c r="B5798" s="42" t="s">
        <v>6167</v>
      </c>
      <c r="C5798" s="43" t="s">
        <v>289</v>
      </c>
      <c r="D5798" s="43" t="s">
        <v>996</v>
      </c>
      <c r="E5798" s="43" t="s">
        <v>769</v>
      </c>
    </row>
    <row r="5799" spans="1:5" x14ac:dyDescent="0.25">
      <c r="A5799" s="41">
        <v>18779</v>
      </c>
      <c r="B5799" s="42" t="s">
        <v>6168</v>
      </c>
      <c r="C5799" s="43" t="s">
        <v>289</v>
      </c>
      <c r="D5799" s="43" t="s">
        <v>316</v>
      </c>
      <c r="E5799" s="43" t="s">
        <v>336</v>
      </c>
    </row>
    <row r="5800" spans="1:5" x14ac:dyDescent="0.25">
      <c r="A5800" s="41">
        <v>18780</v>
      </c>
      <c r="B5800" s="42" t="s">
        <v>6169</v>
      </c>
      <c r="C5800" s="43" t="s">
        <v>289</v>
      </c>
      <c r="D5800" s="43" t="s">
        <v>316</v>
      </c>
      <c r="E5800" s="43" t="s">
        <v>336</v>
      </c>
    </row>
    <row r="5801" spans="1:5" x14ac:dyDescent="0.25">
      <c r="A5801" s="41">
        <v>18785</v>
      </c>
      <c r="B5801" s="42" t="s">
        <v>6170</v>
      </c>
      <c r="C5801" s="43" t="s">
        <v>289</v>
      </c>
      <c r="D5801" s="43" t="s">
        <v>327</v>
      </c>
      <c r="E5801" s="43" t="s">
        <v>230</v>
      </c>
    </row>
    <row r="5802" spans="1:5" x14ac:dyDescent="0.25">
      <c r="A5802" s="41">
        <v>18786</v>
      </c>
      <c r="B5802" s="42" t="s">
        <v>6171</v>
      </c>
      <c r="C5802" s="43" t="s">
        <v>289</v>
      </c>
      <c r="D5802" s="43" t="s">
        <v>327</v>
      </c>
      <c r="E5802" s="43" t="s">
        <v>336</v>
      </c>
    </row>
    <row r="5803" spans="1:5" x14ac:dyDescent="0.25">
      <c r="A5803" s="41">
        <v>18788</v>
      </c>
      <c r="B5803" s="42" t="s">
        <v>6172</v>
      </c>
      <c r="C5803" s="43" t="s">
        <v>289</v>
      </c>
      <c r="D5803" s="43" t="s">
        <v>327</v>
      </c>
      <c r="E5803" s="43" t="s">
        <v>230</v>
      </c>
    </row>
    <row r="5804" spans="1:5" x14ac:dyDescent="0.25">
      <c r="A5804" s="41">
        <v>18794</v>
      </c>
      <c r="B5804" s="42" t="s">
        <v>6173</v>
      </c>
      <c r="C5804" s="43" t="s">
        <v>289</v>
      </c>
      <c r="D5804" s="43" t="s">
        <v>487</v>
      </c>
      <c r="E5804" s="43" t="s">
        <v>472</v>
      </c>
    </row>
    <row r="5805" spans="1:5" x14ac:dyDescent="0.25">
      <c r="A5805" s="41">
        <v>18795</v>
      </c>
      <c r="B5805" s="42" t="s">
        <v>6174</v>
      </c>
      <c r="C5805" s="43" t="s">
        <v>289</v>
      </c>
      <c r="D5805" s="43" t="s">
        <v>487</v>
      </c>
      <c r="E5805" s="43" t="s">
        <v>483</v>
      </c>
    </row>
    <row r="5806" spans="1:5" x14ac:dyDescent="0.25">
      <c r="A5806" s="41">
        <v>18796</v>
      </c>
      <c r="B5806" s="42" t="s">
        <v>6175</v>
      </c>
      <c r="C5806" s="43" t="s">
        <v>289</v>
      </c>
      <c r="D5806" s="43" t="s">
        <v>494</v>
      </c>
      <c r="E5806" s="43" t="s">
        <v>464</v>
      </c>
    </row>
    <row r="5807" spans="1:5" x14ac:dyDescent="0.25">
      <c r="A5807" s="41">
        <v>18797</v>
      </c>
      <c r="B5807" s="42" t="s">
        <v>6176</v>
      </c>
      <c r="C5807" s="43" t="s">
        <v>289</v>
      </c>
      <c r="D5807" s="43" t="s">
        <v>442</v>
      </c>
      <c r="E5807" s="43" t="s">
        <v>464</v>
      </c>
    </row>
    <row r="5808" spans="1:5" x14ac:dyDescent="0.25">
      <c r="A5808" s="41">
        <v>18798</v>
      </c>
      <c r="B5808" s="42" t="s">
        <v>6177</v>
      </c>
      <c r="C5808" s="43" t="s">
        <v>289</v>
      </c>
      <c r="D5808" s="43" t="s">
        <v>442</v>
      </c>
      <c r="E5808" s="43" t="s">
        <v>464</v>
      </c>
    </row>
    <row r="5809" spans="1:5" x14ac:dyDescent="0.25">
      <c r="A5809" s="41">
        <v>18800</v>
      </c>
      <c r="B5809" s="42" t="s">
        <v>6178</v>
      </c>
      <c r="C5809" s="43" t="s">
        <v>289</v>
      </c>
      <c r="D5809" s="43" t="s">
        <v>1112</v>
      </c>
      <c r="E5809" s="43" t="s">
        <v>230</v>
      </c>
    </row>
    <row r="5810" spans="1:5" x14ac:dyDescent="0.25">
      <c r="A5810" s="41">
        <v>18802</v>
      </c>
      <c r="B5810" s="42" t="s">
        <v>6179</v>
      </c>
      <c r="C5810" s="43" t="s">
        <v>289</v>
      </c>
      <c r="D5810" s="43" t="s">
        <v>1112</v>
      </c>
      <c r="E5810" s="43" t="s">
        <v>464</v>
      </c>
    </row>
    <row r="5811" spans="1:5" x14ac:dyDescent="0.25">
      <c r="A5811" s="41">
        <v>18803</v>
      </c>
      <c r="B5811" s="42" t="s">
        <v>6180</v>
      </c>
      <c r="C5811" s="43" t="s">
        <v>289</v>
      </c>
      <c r="D5811" s="43" t="s">
        <v>1112</v>
      </c>
      <c r="E5811" s="43" t="s">
        <v>464</v>
      </c>
    </row>
    <row r="5812" spans="1:5" x14ac:dyDescent="0.25">
      <c r="A5812" s="41">
        <v>18804</v>
      </c>
      <c r="B5812" s="42" t="s">
        <v>6181</v>
      </c>
      <c r="C5812" s="43" t="s">
        <v>289</v>
      </c>
      <c r="D5812" s="43" t="s">
        <v>1112</v>
      </c>
      <c r="E5812" s="43" t="s">
        <v>464</v>
      </c>
    </row>
    <row r="5813" spans="1:5" x14ac:dyDescent="0.25">
      <c r="A5813" s="41">
        <v>18805</v>
      </c>
      <c r="B5813" s="42" t="s">
        <v>6182</v>
      </c>
      <c r="C5813" s="43" t="s">
        <v>289</v>
      </c>
      <c r="D5813" s="43" t="s">
        <v>1112</v>
      </c>
      <c r="E5813" s="43" t="s">
        <v>464</v>
      </c>
    </row>
    <row r="5814" spans="1:5" x14ac:dyDescent="0.25">
      <c r="A5814" s="41">
        <v>18806</v>
      </c>
      <c r="B5814" s="42" t="s">
        <v>6183</v>
      </c>
      <c r="C5814" s="43" t="s">
        <v>289</v>
      </c>
      <c r="D5814" s="43" t="s">
        <v>1112</v>
      </c>
      <c r="E5814" s="43" t="s">
        <v>464</v>
      </c>
    </row>
    <row r="5815" spans="1:5" x14ac:dyDescent="0.25">
      <c r="A5815" s="41">
        <v>18807</v>
      </c>
      <c r="B5815" s="42" t="s">
        <v>6184</v>
      </c>
      <c r="C5815" s="43" t="s">
        <v>289</v>
      </c>
      <c r="D5815" s="43" t="s">
        <v>1112</v>
      </c>
      <c r="E5815" s="43" t="s">
        <v>464</v>
      </c>
    </row>
    <row r="5816" spans="1:5" x14ac:dyDescent="0.25">
      <c r="A5816" s="41">
        <v>18813</v>
      </c>
      <c r="B5816" s="42" t="s">
        <v>6185</v>
      </c>
      <c r="C5816" s="43" t="s">
        <v>289</v>
      </c>
      <c r="D5816" s="43" t="s">
        <v>1112</v>
      </c>
      <c r="E5816" s="43" t="s">
        <v>464</v>
      </c>
    </row>
    <row r="5817" spans="1:5" x14ac:dyDescent="0.25">
      <c r="A5817" s="41">
        <v>18814</v>
      </c>
      <c r="B5817" s="42" t="s">
        <v>6186</v>
      </c>
      <c r="C5817" s="43" t="s">
        <v>289</v>
      </c>
      <c r="D5817" s="43" t="s">
        <v>433</v>
      </c>
      <c r="E5817" s="43" t="s">
        <v>336</v>
      </c>
    </row>
    <row r="5818" spans="1:5" x14ac:dyDescent="0.25">
      <c r="A5818" s="41">
        <v>18815</v>
      </c>
      <c r="B5818" s="42" t="s">
        <v>6187</v>
      </c>
      <c r="C5818" s="43" t="s">
        <v>289</v>
      </c>
      <c r="D5818" s="43" t="s">
        <v>1112</v>
      </c>
      <c r="E5818" s="43" t="s">
        <v>464</v>
      </c>
    </row>
    <row r="5819" spans="1:5" x14ac:dyDescent="0.25">
      <c r="A5819" s="41">
        <v>18816</v>
      </c>
      <c r="B5819" s="42" t="s">
        <v>6188</v>
      </c>
      <c r="C5819" s="43" t="s">
        <v>289</v>
      </c>
      <c r="D5819" s="43" t="s">
        <v>1112</v>
      </c>
      <c r="E5819" s="43" t="s">
        <v>464</v>
      </c>
    </row>
    <row r="5820" spans="1:5" x14ac:dyDescent="0.25">
      <c r="A5820" s="41">
        <v>18817</v>
      </c>
      <c r="B5820" s="42" t="s">
        <v>6189</v>
      </c>
      <c r="C5820" s="43" t="s">
        <v>289</v>
      </c>
      <c r="D5820" s="43" t="s">
        <v>1112</v>
      </c>
      <c r="E5820" s="43" t="s">
        <v>464</v>
      </c>
    </row>
    <row r="5821" spans="1:5" x14ac:dyDescent="0.25">
      <c r="A5821" s="41">
        <v>18818</v>
      </c>
      <c r="B5821" s="42" t="s">
        <v>6190</v>
      </c>
      <c r="C5821" s="43" t="s">
        <v>289</v>
      </c>
      <c r="D5821" s="43" t="s">
        <v>3668</v>
      </c>
      <c r="E5821" s="43" t="s">
        <v>230</v>
      </c>
    </row>
    <row r="5822" spans="1:5" x14ac:dyDescent="0.25">
      <c r="A5822" s="41">
        <v>18819</v>
      </c>
      <c r="B5822" s="42" t="s">
        <v>6191</v>
      </c>
      <c r="C5822" s="43" t="s">
        <v>289</v>
      </c>
      <c r="D5822" s="43" t="s">
        <v>474</v>
      </c>
      <c r="E5822" s="43" t="s">
        <v>464</v>
      </c>
    </row>
    <row r="5823" spans="1:5" x14ac:dyDescent="0.25">
      <c r="A5823" s="41">
        <v>18821</v>
      </c>
      <c r="B5823" s="42" t="s">
        <v>6192</v>
      </c>
      <c r="C5823" s="43" t="s">
        <v>289</v>
      </c>
      <c r="D5823" s="43" t="s">
        <v>1112</v>
      </c>
      <c r="E5823" s="43" t="s">
        <v>230</v>
      </c>
    </row>
    <row r="5824" spans="1:5" x14ac:dyDescent="0.25">
      <c r="A5824" s="41">
        <v>18822</v>
      </c>
      <c r="B5824" s="42" t="s">
        <v>6193</v>
      </c>
      <c r="C5824" s="43" t="s">
        <v>289</v>
      </c>
      <c r="D5824" s="43" t="s">
        <v>1112</v>
      </c>
      <c r="E5824" s="43" t="s">
        <v>230</v>
      </c>
    </row>
    <row r="5825" spans="1:5" x14ac:dyDescent="0.25">
      <c r="A5825" s="41">
        <v>18823</v>
      </c>
      <c r="B5825" s="42" t="s">
        <v>6194</v>
      </c>
      <c r="C5825" s="43" t="s">
        <v>289</v>
      </c>
      <c r="D5825" s="43" t="s">
        <v>1112</v>
      </c>
      <c r="E5825" s="43" t="s">
        <v>230</v>
      </c>
    </row>
    <row r="5826" spans="1:5" x14ac:dyDescent="0.25">
      <c r="A5826" s="41">
        <v>18824</v>
      </c>
      <c r="B5826" s="42" t="s">
        <v>6195</v>
      </c>
      <c r="C5826" s="43" t="s">
        <v>289</v>
      </c>
      <c r="D5826" s="43" t="s">
        <v>1112</v>
      </c>
      <c r="E5826" s="43" t="s">
        <v>230</v>
      </c>
    </row>
    <row r="5827" spans="1:5" x14ac:dyDescent="0.25">
      <c r="A5827" s="41">
        <v>18825</v>
      </c>
      <c r="B5827" s="42" t="s">
        <v>6196</v>
      </c>
      <c r="C5827" s="43" t="s">
        <v>289</v>
      </c>
      <c r="D5827" s="43" t="s">
        <v>1112</v>
      </c>
      <c r="E5827" s="43" t="s">
        <v>230</v>
      </c>
    </row>
    <row r="5828" spans="1:5" x14ac:dyDescent="0.25">
      <c r="A5828" s="41">
        <v>18826</v>
      </c>
      <c r="B5828" s="42" t="s">
        <v>6197</v>
      </c>
      <c r="C5828" s="43" t="s">
        <v>289</v>
      </c>
      <c r="D5828" s="43" t="s">
        <v>1112</v>
      </c>
      <c r="E5828" s="43" t="s">
        <v>230</v>
      </c>
    </row>
    <row r="5829" spans="1:5" x14ac:dyDescent="0.25">
      <c r="A5829" s="41">
        <v>18827</v>
      </c>
      <c r="B5829" s="42" t="s">
        <v>6198</v>
      </c>
      <c r="C5829" s="43" t="s">
        <v>289</v>
      </c>
      <c r="D5829" s="43" t="s">
        <v>1112</v>
      </c>
      <c r="E5829" s="43" t="s">
        <v>230</v>
      </c>
    </row>
    <row r="5830" spans="1:5" x14ac:dyDescent="0.25">
      <c r="A5830" s="41">
        <v>18828</v>
      </c>
      <c r="B5830" s="42" t="s">
        <v>6199</v>
      </c>
      <c r="C5830" s="43" t="s">
        <v>289</v>
      </c>
      <c r="D5830" s="43" t="s">
        <v>1112</v>
      </c>
      <c r="E5830" s="43" t="s">
        <v>230</v>
      </c>
    </row>
    <row r="5831" spans="1:5" x14ac:dyDescent="0.25">
      <c r="A5831" s="41">
        <v>18830</v>
      </c>
      <c r="B5831" s="42" t="s">
        <v>6200</v>
      </c>
      <c r="C5831" s="43" t="s">
        <v>289</v>
      </c>
      <c r="D5831" s="43" t="s">
        <v>1112</v>
      </c>
      <c r="E5831" s="43" t="s">
        <v>230</v>
      </c>
    </row>
    <row r="5832" spans="1:5" x14ac:dyDescent="0.25">
      <c r="A5832" s="41">
        <v>18831</v>
      </c>
      <c r="B5832" s="42" t="s">
        <v>6201</v>
      </c>
      <c r="C5832" s="43" t="s">
        <v>289</v>
      </c>
      <c r="D5832" s="43" t="s">
        <v>333</v>
      </c>
      <c r="E5832" s="43" t="s">
        <v>230</v>
      </c>
    </row>
    <row r="5833" spans="1:5" x14ac:dyDescent="0.25">
      <c r="A5833" s="41">
        <v>18832</v>
      </c>
      <c r="B5833" s="42" t="s">
        <v>6202</v>
      </c>
      <c r="C5833" s="43" t="s">
        <v>289</v>
      </c>
      <c r="D5833" s="43" t="s">
        <v>333</v>
      </c>
      <c r="E5833" s="43" t="s">
        <v>230</v>
      </c>
    </row>
    <row r="5834" spans="1:5" x14ac:dyDescent="0.25">
      <c r="A5834" s="41">
        <v>18833</v>
      </c>
      <c r="B5834" s="42" t="s">
        <v>6203</v>
      </c>
      <c r="C5834" s="43" t="s">
        <v>289</v>
      </c>
      <c r="D5834" s="43" t="s">
        <v>333</v>
      </c>
      <c r="E5834" s="43" t="s">
        <v>230</v>
      </c>
    </row>
    <row r="5835" spans="1:5" x14ac:dyDescent="0.25">
      <c r="A5835" s="41">
        <v>18834</v>
      </c>
      <c r="B5835" s="42" t="s">
        <v>6204</v>
      </c>
      <c r="C5835" s="43" t="s">
        <v>289</v>
      </c>
      <c r="D5835" s="43" t="s">
        <v>333</v>
      </c>
      <c r="E5835" s="43" t="s">
        <v>170</v>
      </c>
    </row>
    <row r="5836" spans="1:5" x14ac:dyDescent="0.25">
      <c r="A5836" s="41">
        <v>18835</v>
      </c>
      <c r="B5836" s="42" t="s">
        <v>6205</v>
      </c>
      <c r="C5836" s="43" t="s">
        <v>289</v>
      </c>
      <c r="D5836" s="43" t="s">
        <v>333</v>
      </c>
      <c r="E5836" s="43" t="s">
        <v>230</v>
      </c>
    </row>
    <row r="5837" spans="1:5" x14ac:dyDescent="0.25">
      <c r="A5837" s="41">
        <v>18836</v>
      </c>
      <c r="B5837" s="42" t="s">
        <v>6206</v>
      </c>
      <c r="C5837" s="43" t="s">
        <v>289</v>
      </c>
      <c r="D5837" s="43" t="s">
        <v>333</v>
      </c>
      <c r="E5837" s="43" t="s">
        <v>230</v>
      </c>
    </row>
    <row r="5838" spans="1:5" x14ac:dyDescent="0.25">
      <c r="A5838" s="41">
        <v>18837</v>
      </c>
      <c r="B5838" s="42" t="s">
        <v>6207</v>
      </c>
      <c r="C5838" s="43" t="s">
        <v>289</v>
      </c>
      <c r="D5838" s="43" t="s">
        <v>333</v>
      </c>
      <c r="E5838" s="43" t="s">
        <v>230</v>
      </c>
    </row>
    <row r="5839" spans="1:5" x14ac:dyDescent="0.25">
      <c r="A5839" s="41">
        <v>18838</v>
      </c>
      <c r="B5839" s="42" t="s">
        <v>6208</v>
      </c>
      <c r="C5839" s="43" t="s">
        <v>289</v>
      </c>
      <c r="D5839" s="43" t="s">
        <v>333</v>
      </c>
      <c r="E5839" s="43" t="s">
        <v>230</v>
      </c>
    </row>
    <row r="5840" spans="1:5" x14ac:dyDescent="0.25">
      <c r="A5840" s="41">
        <v>18839</v>
      </c>
      <c r="B5840" s="42" t="s">
        <v>6209</v>
      </c>
      <c r="C5840" s="43" t="s">
        <v>289</v>
      </c>
      <c r="D5840" s="43" t="s">
        <v>333</v>
      </c>
      <c r="E5840" s="43" t="s">
        <v>336</v>
      </c>
    </row>
    <row r="5841" spans="1:5" x14ac:dyDescent="0.25">
      <c r="A5841" s="41">
        <v>18840</v>
      </c>
      <c r="B5841" s="42" t="s">
        <v>6210</v>
      </c>
      <c r="C5841" s="43" t="s">
        <v>289</v>
      </c>
      <c r="D5841" s="43" t="s">
        <v>333</v>
      </c>
      <c r="E5841" s="43" t="s">
        <v>373</v>
      </c>
    </row>
    <row r="5842" spans="1:5" x14ac:dyDescent="0.25">
      <c r="A5842" s="41">
        <v>18843</v>
      </c>
      <c r="B5842" s="42" t="s">
        <v>6211</v>
      </c>
      <c r="C5842" s="43" t="s">
        <v>289</v>
      </c>
      <c r="D5842" s="43" t="s">
        <v>333</v>
      </c>
      <c r="E5842" s="43" t="s">
        <v>717</v>
      </c>
    </row>
    <row r="5843" spans="1:5" x14ac:dyDescent="0.25">
      <c r="A5843" s="41">
        <v>18844</v>
      </c>
      <c r="B5843" s="42" t="s">
        <v>6212</v>
      </c>
      <c r="C5843" s="43" t="s">
        <v>289</v>
      </c>
      <c r="D5843" s="43" t="s">
        <v>333</v>
      </c>
      <c r="E5843" s="43" t="s">
        <v>717</v>
      </c>
    </row>
    <row r="5844" spans="1:5" x14ac:dyDescent="0.25">
      <c r="A5844" s="41">
        <v>18845</v>
      </c>
      <c r="B5844" s="42" t="s">
        <v>6213</v>
      </c>
      <c r="C5844" s="43" t="s">
        <v>289</v>
      </c>
      <c r="D5844" s="43" t="s">
        <v>333</v>
      </c>
      <c r="E5844" s="43" t="s">
        <v>230</v>
      </c>
    </row>
    <row r="5845" spans="1:5" x14ac:dyDescent="0.25">
      <c r="A5845" s="41">
        <v>18848</v>
      </c>
      <c r="B5845" s="42" t="s">
        <v>6214</v>
      </c>
      <c r="C5845" s="43" t="s">
        <v>289</v>
      </c>
      <c r="D5845" s="43" t="s">
        <v>333</v>
      </c>
      <c r="E5845" s="43" t="s">
        <v>230</v>
      </c>
    </row>
    <row r="5846" spans="1:5" x14ac:dyDescent="0.25">
      <c r="A5846" s="41">
        <v>18849</v>
      </c>
      <c r="B5846" s="42" t="s">
        <v>6215</v>
      </c>
      <c r="C5846" s="43" t="s">
        <v>289</v>
      </c>
      <c r="D5846" s="43" t="s">
        <v>333</v>
      </c>
      <c r="E5846" s="43" t="s">
        <v>230</v>
      </c>
    </row>
    <row r="5847" spans="1:5" x14ac:dyDescent="0.25">
      <c r="A5847" s="41">
        <v>18850</v>
      </c>
      <c r="B5847" s="42" t="s">
        <v>6216</v>
      </c>
      <c r="C5847" s="43" t="s">
        <v>289</v>
      </c>
      <c r="D5847" s="43" t="s">
        <v>333</v>
      </c>
      <c r="E5847" s="43" t="s">
        <v>230</v>
      </c>
    </row>
    <row r="5848" spans="1:5" x14ac:dyDescent="0.25">
      <c r="A5848" s="41">
        <v>18851</v>
      </c>
      <c r="B5848" s="42" t="s">
        <v>6217</v>
      </c>
      <c r="C5848" s="43" t="s">
        <v>289</v>
      </c>
      <c r="D5848" s="43" t="s">
        <v>333</v>
      </c>
      <c r="E5848" s="43" t="s">
        <v>230</v>
      </c>
    </row>
    <row r="5849" spans="1:5" x14ac:dyDescent="0.25">
      <c r="A5849" s="41">
        <v>18852</v>
      </c>
      <c r="B5849" s="42" t="s">
        <v>6218</v>
      </c>
      <c r="C5849" s="43" t="s">
        <v>289</v>
      </c>
      <c r="D5849" s="43" t="s">
        <v>333</v>
      </c>
      <c r="E5849" s="43" t="s">
        <v>230</v>
      </c>
    </row>
    <row r="5850" spans="1:5" x14ac:dyDescent="0.25">
      <c r="A5850" s="41">
        <v>18853</v>
      </c>
      <c r="B5850" s="42" t="s">
        <v>6219</v>
      </c>
      <c r="C5850" s="43" t="s">
        <v>289</v>
      </c>
      <c r="D5850" s="43" t="s">
        <v>333</v>
      </c>
      <c r="E5850" s="43" t="s">
        <v>170</v>
      </c>
    </row>
    <row r="5851" spans="1:5" x14ac:dyDescent="0.25">
      <c r="A5851" s="41">
        <v>18854</v>
      </c>
      <c r="B5851" s="42" t="s">
        <v>6220</v>
      </c>
      <c r="C5851" s="43" t="s">
        <v>289</v>
      </c>
      <c r="D5851" s="43" t="s">
        <v>333</v>
      </c>
      <c r="E5851" s="43" t="s">
        <v>373</v>
      </c>
    </row>
    <row r="5852" spans="1:5" x14ac:dyDescent="0.25">
      <c r="A5852" s="41">
        <v>18855</v>
      </c>
      <c r="B5852" s="42" t="s">
        <v>6221</v>
      </c>
      <c r="C5852" s="43" t="s">
        <v>289</v>
      </c>
      <c r="D5852" s="43" t="s">
        <v>333</v>
      </c>
      <c r="E5852" s="43" t="s">
        <v>373</v>
      </c>
    </row>
    <row r="5853" spans="1:5" x14ac:dyDescent="0.25">
      <c r="A5853" s="41">
        <v>18856</v>
      </c>
      <c r="B5853" s="42" t="s">
        <v>6222</v>
      </c>
      <c r="C5853" s="43" t="s">
        <v>289</v>
      </c>
      <c r="D5853" s="43" t="s">
        <v>333</v>
      </c>
      <c r="E5853" s="43" t="s">
        <v>531</v>
      </c>
    </row>
    <row r="5854" spans="1:5" x14ac:dyDescent="0.25">
      <c r="A5854" s="41">
        <v>18857</v>
      </c>
      <c r="B5854" s="42" t="s">
        <v>6223</v>
      </c>
      <c r="C5854" s="43" t="s">
        <v>289</v>
      </c>
      <c r="D5854" s="43" t="s">
        <v>333</v>
      </c>
      <c r="E5854" s="43" t="s">
        <v>230</v>
      </c>
    </row>
    <row r="5855" spans="1:5" x14ac:dyDescent="0.25">
      <c r="A5855" s="41">
        <v>18858</v>
      </c>
      <c r="B5855" s="42" t="s">
        <v>6224</v>
      </c>
      <c r="C5855" s="43" t="s">
        <v>289</v>
      </c>
      <c r="D5855" s="43" t="s">
        <v>453</v>
      </c>
      <c r="E5855" s="43" t="s">
        <v>230</v>
      </c>
    </row>
    <row r="5856" spans="1:5" x14ac:dyDescent="0.25">
      <c r="A5856" s="41">
        <v>18859</v>
      </c>
      <c r="B5856" s="42" t="s">
        <v>6225</v>
      </c>
      <c r="C5856" s="43" t="s">
        <v>289</v>
      </c>
      <c r="D5856" s="43" t="s">
        <v>453</v>
      </c>
      <c r="E5856" s="43" t="s">
        <v>230</v>
      </c>
    </row>
    <row r="5857" spans="1:5" x14ac:dyDescent="0.25">
      <c r="A5857" s="41">
        <v>18860</v>
      </c>
      <c r="B5857" s="42" t="s">
        <v>6226</v>
      </c>
      <c r="C5857" s="43" t="s">
        <v>289</v>
      </c>
      <c r="D5857" s="43" t="s">
        <v>453</v>
      </c>
      <c r="E5857" s="43" t="s">
        <v>230</v>
      </c>
    </row>
    <row r="5858" spans="1:5" x14ac:dyDescent="0.25">
      <c r="A5858" s="41">
        <v>18861</v>
      </c>
      <c r="B5858" s="42" t="s">
        <v>6227</v>
      </c>
      <c r="C5858" s="43" t="s">
        <v>289</v>
      </c>
      <c r="D5858" s="43" t="s">
        <v>453</v>
      </c>
      <c r="E5858" s="43" t="s">
        <v>230</v>
      </c>
    </row>
    <row r="5859" spans="1:5" x14ac:dyDescent="0.25">
      <c r="A5859" s="41">
        <v>18862</v>
      </c>
      <c r="B5859" s="42" t="s">
        <v>6228</v>
      </c>
      <c r="C5859" s="43" t="s">
        <v>289</v>
      </c>
      <c r="D5859" s="43" t="s">
        <v>333</v>
      </c>
      <c r="E5859" s="43" t="s">
        <v>230</v>
      </c>
    </row>
    <row r="5860" spans="1:5" x14ac:dyDescent="0.25">
      <c r="A5860" s="41">
        <v>18863</v>
      </c>
      <c r="B5860" s="42" t="s">
        <v>6229</v>
      </c>
      <c r="C5860" s="43" t="s">
        <v>289</v>
      </c>
      <c r="D5860" s="43" t="s">
        <v>333</v>
      </c>
      <c r="E5860" s="43" t="s">
        <v>230</v>
      </c>
    </row>
    <row r="5861" spans="1:5" x14ac:dyDescent="0.25">
      <c r="A5861" s="41">
        <v>18864</v>
      </c>
      <c r="B5861" s="42" t="s">
        <v>6230</v>
      </c>
      <c r="C5861" s="43" t="s">
        <v>289</v>
      </c>
      <c r="D5861" s="43" t="s">
        <v>333</v>
      </c>
      <c r="E5861" s="43" t="s">
        <v>717</v>
      </c>
    </row>
    <row r="5862" spans="1:5" x14ac:dyDescent="0.25">
      <c r="A5862" s="41">
        <v>18865</v>
      </c>
      <c r="B5862" s="42" t="s">
        <v>6231</v>
      </c>
      <c r="C5862" s="43" t="s">
        <v>289</v>
      </c>
      <c r="D5862" s="43" t="s">
        <v>333</v>
      </c>
      <c r="E5862" s="43" t="s">
        <v>170</v>
      </c>
    </row>
    <row r="5863" spans="1:5" x14ac:dyDescent="0.25">
      <c r="A5863" s="41">
        <v>18866</v>
      </c>
      <c r="B5863" s="42" t="s">
        <v>6232</v>
      </c>
      <c r="C5863" s="43" t="s">
        <v>289</v>
      </c>
      <c r="D5863" s="43" t="s">
        <v>333</v>
      </c>
      <c r="E5863" s="43" t="s">
        <v>170</v>
      </c>
    </row>
    <row r="5864" spans="1:5" x14ac:dyDescent="0.25">
      <c r="A5864" s="41">
        <v>18867</v>
      </c>
      <c r="B5864" s="42" t="s">
        <v>6233</v>
      </c>
      <c r="C5864" s="43" t="s">
        <v>289</v>
      </c>
      <c r="D5864" s="43" t="s">
        <v>333</v>
      </c>
      <c r="E5864" s="43" t="s">
        <v>230</v>
      </c>
    </row>
    <row r="5865" spans="1:5" x14ac:dyDescent="0.25">
      <c r="A5865" s="41">
        <v>18868</v>
      </c>
      <c r="B5865" s="42" t="s">
        <v>6234</v>
      </c>
      <c r="C5865" s="43" t="s">
        <v>289</v>
      </c>
      <c r="D5865" s="43" t="s">
        <v>1112</v>
      </c>
      <c r="E5865" s="43" t="s">
        <v>230</v>
      </c>
    </row>
    <row r="5866" spans="1:5" x14ac:dyDescent="0.25">
      <c r="A5866" s="41">
        <v>18871</v>
      </c>
      <c r="B5866" s="42" t="s">
        <v>6235</v>
      </c>
      <c r="C5866" s="43" t="s">
        <v>289</v>
      </c>
      <c r="D5866" s="43" t="s">
        <v>1112</v>
      </c>
      <c r="E5866" s="43" t="s">
        <v>230</v>
      </c>
    </row>
    <row r="5867" spans="1:5" x14ac:dyDescent="0.25">
      <c r="A5867" s="41">
        <v>18873</v>
      </c>
      <c r="B5867" s="42" t="s">
        <v>6236</v>
      </c>
      <c r="C5867" s="43" t="s">
        <v>289</v>
      </c>
      <c r="D5867" s="43" t="s">
        <v>1112</v>
      </c>
      <c r="E5867" s="43" t="s">
        <v>230</v>
      </c>
    </row>
    <row r="5868" spans="1:5" x14ac:dyDescent="0.25">
      <c r="A5868" s="41">
        <v>18874</v>
      </c>
      <c r="B5868" s="42" t="s">
        <v>6237</v>
      </c>
      <c r="C5868" s="43" t="s">
        <v>289</v>
      </c>
      <c r="D5868" s="43" t="s">
        <v>1112</v>
      </c>
      <c r="E5868" s="43" t="s">
        <v>230</v>
      </c>
    </row>
    <row r="5869" spans="1:5" x14ac:dyDescent="0.25">
      <c r="A5869" s="41">
        <v>18875</v>
      </c>
      <c r="B5869" s="42" t="s">
        <v>6238</v>
      </c>
      <c r="C5869" s="43" t="s">
        <v>289</v>
      </c>
      <c r="D5869" s="43" t="s">
        <v>1112</v>
      </c>
      <c r="E5869" s="43" t="s">
        <v>230</v>
      </c>
    </row>
    <row r="5870" spans="1:5" x14ac:dyDescent="0.25">
      <c r="A5870" s="41">
        <v>18876</v>
      </c>
      <c r="B5870" s="42" t="s">
        <v>6239</v>
      </c>
      <c r="C5870" s="43" t="s">
        <v>289</v>
      </c>
      <c r="D5870" s="43" t="s">
        <v>1112</v>
      </c>
      <c r="E5870" s="43" t="s">
        <v>230</v>
      </c>
    </row>
    <row r="5871" spans="1:5" x14ac:dyDescent="0.25">
      <c r="A5871" s="41">
        <v>18877</v>
      </c>
      <c r="B5871" s="42" t="s">
        <v>6240</v>
      </c>
      <c r="C5871" s="43" t="s">
        <v>289</v>
      </c>
      <c r="D5871" s="43" t="s">
        <v>1112</v>
      </c>
      <c r="E5871" s="43" t="s">
        <v>230</v>
      </c>
    </row>
    <row r="5872" spans="1:5" x14ac:dyDescent="0.25">
      <c r="A5872" s="41">
        <v>18878</v>
      </c>
      <c r="B5872" s="42" t="s">
        <v>6241</v>
      </c>
      <c r="C5872" s="43" t="s">
        <v>289</v>
      </c>
      <c r="D5872" s="43" t="s">
        <v>1112</v>
      </c>
      <c r="E5872" s="43" t="s">
        <v>230</v>
      </c>
    </row>
    <row r="5873" spans="1:5" x14ac:dyDescent="0.25">
      <c r="A5873" s="41">
        <v>18879</v>
      </c>
      <c r="B5873" s="42" t="s">
        <v>6242</v>
      </c>
      <c r="C5873" s="43" t="s">
        <v>289</v>
      </c>
      <c r="D5873" s="43" t="s">
        <v>1112</v>
      </c>
      <c r="E5873" s="43" t="s">
        <v>230</v>
      </c>
    </row>
    <row r="5874" spans="1:5" x14ac:dyDescent="0.25">
      <c r="A5874" s="41">
        <v>18880</v>
      </c>
      <c r="B5874" s="42" t="s">
        <v>6243</v>
      </c>
      <c r="C5874" s="43" t="s">
        <v>289</v>
      </c>
      <c r="D5874" s="43" t="s">
        <v>1112</v>
      </c>
      <c r="E5874" s="43" t="s">
        <v>230</v>
      </c>
    </row>
    <row r="5875" spans="1:5" x14ac:dyDescent="0.25">
      <c r="A5875" s="41">
        <v>18881</v>
      </c>
      <c r="B5875" s="42" t="s">
        <v>6244</v>
      </c>
      <c r="C5875" s="43" t="s">
        <v>289</v>
      </c>
      <c r="D5875" s="43" t="s">
        <v>4329</v>
      </c>
      <c r="E5875" s="43" t="s">
        <v>230</v>
      </c>
    </row>
    <row r="5876" spans="1:5" x14ac:dyDescent="0.25">
      <c r="A5876" s="41">
        <v>18884</v>
      </c>
      <c r="B5876" s="42" t="s">
        <v>6245</v>
      </c>
      <c r="C5876" s="43" t="s">
        <v>289</v>
      </c>
      <c r="D5876" s="43" t="s">
        <v>4329</v>
      </c>
      <c r="E5876" s="43" t="s">
        <v>230</v>
      </c>
    </row>
    <row r="5877" spans="1:5" x14ac:dyDescent="0.25">
      <c r="A5877" s="41">
        <v>18887</v>
      </c>
      <c r="B5877" s="42" t="s">
        <v>6246</v>
      </c>
      <c r="C5877" s="43" t="s">
        <v>289</v>
      </c>
      <c r="D5877" s="43" t="s">
        <v>1112</v>
      </c>
      <c r="E5877" s="43" t="s">
        <v>464</v>
      </c>
    </row>
    <row r="5878" spans="1:5" x14ac:dyDescent="0.25">
      <c r="A5878" s="41">
        <v>18888</v>
      </c>
      <c r="B5878" s="42" t="s">
        <v>6247</v>
      </c>
      <c r="C5878" s="43" t="s">
        <v>289</v>
      </c>
      <c r="D5878" s="43" t="s">
        <v>453</v>
      </c>
      <c r="E5878" s="43" t="s">
        <v>230</v>
      </c>
    </row>
    <row r="5879" spans="1:5" x14ac:dyDescent="0.25">
      <c r="A5879" s="41">
        <v>18891</v>
      </c>
      <c r="B5879" s="42" t="s">
        <v>6248</v>
      </c>
      <c r="C5879" s="43" t="s">
        <v>289</v>
      </c>
      <c r="D5879" s="43" t="s">
        <v>3556</v>
      </c>
      <c r="E5879" s="43" t="s">
        <v>769</v>
      </c>
    </row>
    <row r="5880" spans="1:5" x14ac:dyDescent="0.25">
      <c r="A5880" s="41">
        <v>18892</v>
      </c>
      <c r="B5880" s="42" t="s">
        <v>6249</v>
      </c>
      <c r="C5880" s="43" t="s">
        <v>289</v>
      </c>
      <c r="D5880" s="43" t="s">
        <v>3556</v>
      </c>
      <c r="E5880" s="43" t="s">
        <v>769</v>
      </c>
    </row>
    <row r="5881" spans="1:5" x14ac:dyDescent="0.25">
      <c r="A5881" s="41">
        <v>18893</v>
      </c>
      <c r="B5881" s="42" t="s">
        <v>6250</v>
      </c>
      <c r="C5881" s="43" t="s">
        <v>289</v>
      </c>
      <c r="D5881" s="43" t="s">
        <v>635</v>
      </c>
      <c r="E5881" s="43" t="s">
        <v>464</v>
      </c>
    </row>
    <row r="5882" spans="1:5" x14ac:dyDescent="0.25">
      <c r="A5882" s="41">
        <v>18894</v>
      </c>
      <c r="B5882" s="42" t="s">
        <v>6251</v>
      </c>
      <c r="C5882" s="43" t="s">
        <v>289</v>
      </c>
      <c r="D5882" s="43" t="s">
        <v>1112</v>
      </c>
      <c r="E5882" s="43" t="s">
        <v>464</v>
      </c>
    </row>
    <row r="5883" spans="1:5" x14ac:dyDescent="0.25">
      <c r="A5883" s="41">
        <v>18895</v>
      </c>
      <c r="B5883" s="42" t="s">
        <v>6252</v>
      </c>
      <c r="C5883" s="43" t="s">
        <v>289</v>
      </c>
      <c r="D5883" s="43" t="s">
        <v>941</v>
      </c>
      <c r="E5883" s="43" t="s">
        <v>454</v>
      </c>
    </row>
    <row r="5884" spans="1:5" x14ac:dyDescent="0.25">
      <c r="A5884" s="41">
        <v>18897</v>
      </c>
      <c r="B5884" s="42" t="s">
        <v>6253</v>
      </c>
      <c r="C5884" s="43" t="s">
        <v>289</v>
      </c>
      <c r="D5884" s="43" t="s">
        <v>1041</v>
      </c>
      <c r="E5884" s="43" t="s">
        <v>230</v>
      </c>
    </row>
    <row r="5885" spans="1:5" x14ac:dyDescent="0.25">
      <c r="A5885" s="41">
        <v>18900</v>
      </c>
      <c r="B5885" s="42" t="s">
        <v>6254</v>
      </c>
      <c r="C5885" s="43" t="s">
        <v>289</v>
      </c>
      <c r="D5885" s="43" t="s">
        <v>316</v>
      </c>
      <c r="E5885" s="43" t="s">
        <v>454</v>
      </c>
    </row>
    <row r="5886" spans="1:5" x14ac:dyDescent="0.25">
      <c r="A5886" s="41">
        <v>18901</v>
      </c>
      <c r="B5886" s="42" t="s">
        <v>6255</v>
      </c>
      <c r="C5886" s="43" t="s">
        <v>289</v>
      </c>
      <c r="D5886" s="43" t="s">
        <v>433</v>
      </c>
      <c r="E5886" s="43" t="s">
        <v>454</v>
      </c>
    </row>
    <row r="5887" spans="1:5" x14ac:dyDescent="0.25">
      <c r="A5887" s="41">
        <v>18902</v>
      </c>
      <c r="B5887" s="42" t="s">
        <v>6256</v>
      </c>
      <c r="C5887" s="43" t="s">
        <v>289</v>
      </c>
      <c r="D5887" s="43" t="s">
        <v>941</v>
      </c>
      <c r="E5887" s="43" t="s">
        <v>454</v>
      </c>
    </row>
    <row r="5888" spans="1:5" x14ac:dyDescent="0.25">
      <c r="A5888" s="41">
        <v>18903</v>
      </c>
      <c r="B5888" s="42" t="s">
        <v>6257</v>
      </c>
      <c r="C5888" s="43" t="s">
        <v>289</v>
      </c>
      <c r="D5888" s="43" t="s">
        <v>941</v>
      </c>
      <c r="E5888" s="43" t="s">
        <v>454</v>
      </c>
    </row>
    <row r="5889" spans="1:5" x14ac:dyDescent="0.25">
      <c r="A5889" s="41">
        <v>18905</v>
      </c>
      <c r="B5889" s="42" t="s">
        <v>6258</v>
      </c>
      <c r="C5889" s="43" t="s">
        <v>289</v>
      </c>
      <c r="D5889" s="43" t="s">
        <v>1526</v>
      </c>
      <c r="E5889" s="43" t="s">
        <v>454</v>
      </c>
    </row>
    <row r="5890" spans="1:5" x14ac:dyDescent="0.25">
      <c r="A5890" s="41">
        <v>18906</v>
      </c>
      <c r="B5890" s="42" t="s">
        <v>6259</v>
      </c>
      <c r="C5890" s="43" t="s">
        <v>289</v>
      </c>
      <c r="D5890" s="43" t="s">
        <v>290</v>
      </c>
      <c r="E5890" s="43" t="s">
        <v>230</v>
      </c>
    </row>
    <row r="5891" spans="1:5" x14ac:dyDescent="0.25">
      <c r="A5891" s="41">
        <v>18907</v>
      </c>
      <c r="B5891" s="42" t="s">
        <v>6260</v>
      </c>
      <c r="C5891" s="43" t="s">
        <v>289</v>
      </c>
      <c r="D5891" s="43" t="s">
        <v>996</v>
      </c>
      <c r="E5891" s="43" t="s">
        <v>531</v>
      </c>
    </row>
    <row r="5892" spans="1:5" x14ac:dyDescent="0.25">
      <c r="A5892" s="41">
        <v>18909</v>
      </c>
      <c r="B5892" s="42" t="s">
        <v>6261</v>
      </c>
      <c r="C5892" s="43" t="s">
        <v>289</v>
      </c>
      <c r="D5892" s="43" t="s">
        <v>3668</v>
      </c>
      <c r="E5892" s="43" t="s">
        <v>230</v>
      </c>
    </row>
    <row r="5893" spans="1:5" x14ac:dyDescent="0.25">
      <c r="A5893" s="41">
        <v>18910</v>
      </c>
      <c r="B5893" s="42" t="s">
        <v>6262</v>
      </c>
      <c r="C5893" s="43" t="s">
        <v>289</v>
      </c>
      <c r="D5893" s="43" t="s">
        <v>3668</v>
      </c>
      <c r="E5893" s="43" t="s">
        <v>230</v>
      </c>
    </row>
    <row r="5894" spans="1:5" x14ac:dyDescent="0.25">
      <c r="A5894" s="41">
        <v>18911</v>
      </c>
      <c r="B5894" s="42" t="s">
        <v>6263</v>
      </c>
      <c r="C5894" s="43" t="s">
        <v>289</v>
      </c>
      <c r="D5894" s="43" t="s">
        <v>410</v>
      </c>
      <c r="E5894" s="43" t="s">
        <v>769</v>
      </c>
    </row>
    <row r="5895" spans="1:5" x14ac:dyDescent="0.25">
      <c r="A5895" s="41">
        <v>18912</v>
      </c>
      <c r="B5895" s="42" t="s">
        <v>6264</v>
      </c>
      <c r="C5895" s="43" t="s">
        <v>289</v>
      </c>
      <c r="D5895" s="43" t="s">
        <v>1112</v>
      </c>
      <c r="E5895" s="43" t="s">
        <v>464</v>
      </c>
    </row>
    <row r="5896" spans="1:5" x14ac:dyDescent="0.25">
      <c r="A5896" s="41">
        <v>18921</v>
      </c>
      <c r="B5896" s="42" t="s">
        <v>6265</v>
      </c>
      <c r="C5896" s="43" t="s">
        <v>289</v>
      </c>
      <c r="D5896" s="43" t="s">
        <v>1314</v>
      </c>
      <c r="E5896" s="43" t="s">
        <v>230</v>
      </c>
    </row>
    <row r="5897" spans="1:5" x14ac:dyDescent="0.25">
      <c r="A5897" s="41">
        <v>18922</v>
      </c>
      <c r="B5897" s="42" t="s">
        <v>6266</v>
      </c>
      <c r="C5897" s="43" t="s">
        <v>289</v>
      </c>
      <c r="D5897" s="43" t="s">
        <v>433</v>
      </c>
      <c r="E5897" s="43" t="s">
        <v>5892</v>
      </c>
    </row>
    <row r="5898" spans="1:5" x14ac:dyDescent="0.25">
      <c r="A5898" s="41">
        <v>18923</v>
      </c>
      <c r="B5898" s="42" t="s">
        <v>6267</v>
      </c>
      <c r="C5898" s="43" t="s">
        <v>289</v>
      </c>
      <c r="D5898" s="43" t="s">
        <v>316</v>
      </c>
      <c r="E5898" s="43" t="s">
        <v>336</v>
      </c>
    </row>
    <row r="5899" spans="1:5" x14ac:dyDescent="0.25">
      <c r="A5899" s="41">
        <v>18925</v>
      </c>
      <c r="B5899" s="42" t="s">
        <v>6268</v>
      </c>
      <c r="C5899" s="43" t="s">
        <v>289</v>
      </c>
      <c r="D5899" s="43" t="s">
        <v>290</v>
      </c>
      <c r="E5899" s="43" t="s">
        <v>230</v>
      </c>
    </row>
    <row r="5900" spans="1:5" x14ac:dyDescent="0.25">
      <c r="A5900" s="41">
        <v>18926</v>
      </c>
      <c r="B5900" s="42" t="s">
        <v>6269</v>
      </c>
      <c r="C5900" s="43" t="s">
        <v>289</v>
      </c>
      <c r="D5900" s="43" t="s">
        <v>290</v>
      </c>
      <c r="E5900" s="43" t="s">
        <v>230</v>
      </c>
    </row>
    <row r="5901" spans="1:5" x14ac:dyDescent="0.25">
      <c r="A5901" s="41">
        <v>18927</v>
      </c>
      <c r="B5901" s="42" t="s">
        <v>6270</v>
      </c>
      <c r="C5901" s="43" t="s">
        <v>289</v>
      </c>
      <c r="D5901" s="43" t="s">
        <v>290</v>
      </c>
      <c r="E5901" s="43" t="s">
        <v>336</v>
      </c>
    </row>
    <row r="5902" spans="1:5" x14ac:dyDescent="0.25">
      <c r="A5902" s="41">
        <v>18928</v>
      </c>
      <c r="B5902" s="42" t="s">
        <v>6271</v>
      </c>
      <c r="C5902" s="43" t="s">
        <v>289</v>
      </c>
      <c r="D5902" s="43" t="s">
        <v>290</v>
      </c>
      <c r="E5902" s="43" t="s">
        <v>230</v>
      </c>
    </row>
    <row r="5903" spans="1:5" x14ac:dyDescent="0.25">
      <c r="A5903" s="41">
        <v>18929</v>
      </c>
      <c r="B5903" s="42" t="s">
        <v>6272</v>
      </c>
      <c r="C5903" s="43" t="s">
        <v>289</v>
      </c>
      <c r="D5903" s="43" t="s">
        <v>290</v>
      </c>
      <c r="E5903" s="43" t="s">
        <v>230</v>
      </c>
    </row>
    <row r="5904" spans="1:5" x14ac:dyDescent="0.25">
      <c r="A5904" s="41">
        <v>18932</v>
      </c>
      <c r="B5904" s="42" t="s">
        <v>6273</v>
      </c>
      <c r="C5904" s="43" t="s">
        <v>289</v>
      </c>
      <c r="D5904" s="43" t="s">
        <v>327</v>
      </c>
      <c r="E5904" s="43" t="s">
        <v>769</v>
      </c>
    </row>
    <row r="5905" spans="1:5" x14ac:dyDescent="0.25">
      <c r="A5905" s="41">
        <v>18933</v>
      </c>
      <c r="B5905" s="42" t="s">
        <v>6274</v>
      </c>
      <c r="C5905" s="43" t="s">
        <v>289</v>
      </c>
      <c r="D5905" s="43" t="s">
        <v>1112</v>
      </c>
      <c r="E5905" s="43" t="s">
        <v>373</v>
      </c>
    </row>
    <row r="5906" spans="1:5" x14ac:dyDescent="0.25">
      <c r="A5906" s="41">
        <v>18934</v>
      </c>
      <c r="B5906" s="42" t="s">
        <v>6275</v>
      </c>
      <c r="C5906" s="43" t="s">
        <v>289</v>
      </c>
      <c r="D5906" s="43" t="s">
        <v>327</v>
      </c>
      <c r="E5906" s="43" t="s">
        <v>5892</v>
      </c>
    </row>
    <row r="5907" spans="1:5" x14ac:dyDescent="0.25">
      <c r="A5907" s="41">
        <v>18935</v>
      </c>
      <c r="B5907" s="42" t="s">
        <v>6276</v>
      </c>
      <c r="C5907" s="43" t="s">
        <v>289</v>
      </c>
      <c r="D5907" s="43" t="s">
        <v>6277</v>
      </c>
      <c r="E5907" s="43" t="s">
        <v>230</v>
      </c>
    </row>
    <row r="5908" spans="1:5" x14ac:dyDescent="0.25">
      <c r="A5908" s="41">
        <v>18937</v>
      </c>
      <c r="B5908" s="42" t="s">
        <v>6278</v>
      </c>
      <c r="C5908" s="43" t="s">
        <v>289</v>
      </c>
      <c r="D5908" s="43" t="s">
        <v>3754</v>
      </c>
      <c r="E5908" s="43" t="s">
        <v>769</v>
      </c>
    </row>
    <row r="5909" spans="1:5" x14ac:dyDescent="0.25">
      <c r="A5909" s="41">
        <v>18938</v>
      </c>
      <c r="B5909" s="42" t="s">
        <v>6279</v>
      </c>
      <c r="C5909" s="43" t="s">
        <v>289</v>
      </c>
      <c r="D5909" s="43" t="s">
        <v>5014</v>
      </c>
      <c r="E5909" s="43" t="s">
        <v>230</v>
      </c>
    </row>
    <row r="5910" spans="1:5" x14ac:dyDescent="0.25">
      <c r="A5910" s="41">
        <v>18939</v>
      </c>
      <c r="B5910" s="42" t="s">
        <v>6280</v>
      </c>
      <c r="C5910" s="43" t="s">
        <v>289</v>
      </c>
      <c r="D5910" s="43" t="s">
        <v>5014</v>
      </c>
      <c r="E5910" s="43" t="s">
        <v>230</v>
      </c>
    </row>
    <row r="5911" spans="1:5" x14ac:dyDescent="0.25">
      <c r="A5911" s="41">
        <v>18940</v>
      </c>
      <c r="B5911" s="42" t="s">
        <v>6281</v>
      </c>
      <c r="C5911" s="43" t="s">
        <v>289</v>
      </c>
      <c r="D5911" s="43" t="s">
        <v>5014</v>
      </c>
      <c r="E5911" s="43" t="s">
        <v>230</v>
      </c>
    </row>
    <row r="5912" spans="1:5" x14ac:dyDescent="0.25">
      <c r="A5912" s="41">
        <v>18941</v>
      </c>
      <c r="B5912" s="42" t="s">
        <v>6282</v>
      </c>
      <c r="C5912" s="43" t="s">
        <v>289</v>
      </c>
      <c r="D5912" s="43" t="s">
        <v>1112</v>
      </c>
      <c r="E5912" s="43" t="s">
        <v>464</v>
      </c>
    </row>
    <row r="5913" spans="1:5" x14ac:dyDescent="0.25">
      <c r="A5913" s="41">
        <v>18942</v>
      </c>
      <c r="B5913" s="42" t="s">
        <v>6283</v>
      </c>
      <c r="C5913" s="43" t="s">
        <v>289</v>
      </c>
      <c r="D5913" s="43" t="s">
        <v>1112</v>
      </c>
      <c r="E5913" s="43" t="s">
        <v>336</v>
      </c>
    </row>
    <row r="5914" spans="1:5" x14ac:dyDescent="0.25">
      <c r="A5914" s="41">
        <v>18943</v>
      </c>
      <c r="B5914" s="42" t="s">
        <v>6284</v>
      </c>
      <c r="C5914" s="43" t="s">
        <v>289</v>
      </c>
      <c r="D5914" s="43" t="s">
        <v>1112</v>
      </c>
      <c r="E5914" s="43" t="s">
        <v>464</v>
      </c>
    </row>
    <row r="5915" spans="1:5" x14ac:dyDescent="0.25">
      <c r="A5915" s="41">
        <v>18944</v>
      </c>
      <c r="B5915" s="42" t="s">
        <v>6285</v>
      </c>
      <c r="C5915" s="43" t="s">
        <v>289</v>
      </c>
      <c r="D5915" s="43" t="s">
        <v>1112</v>
      </c>
      <c r="E5915" s="43" t="s">
        <v>464</v>
      </c>
    </row>
    <row r="5916" spans="1:5" x14ac:dyDescent="0.25">
      <c r="A5916" s="41">
        <v>18945</v>
      </c>
      <c r="B5916" s="42" t="s">
        <v>6286</v>
      </c>
      <c r="C5916" s="43" t="s">
        <v>289</v>
      </c>
      <c r="D5916" s="43" t="s">
        <v>5570</v>
      </c>
      <c r="E5916" s="43" t="s">
        <v>230</v>
      </c>
    </row>
    <row r="5917" spans="1:5" x14ac:dyDescent="0.25">
      <c r="A5917" s="41">
        <v>18946</v>
      </c>
      <c r="B5917" s="42" t="s">
        <v>6287</v>
      </c>
      <c r="C5917" s="43" t="s">
        <v>289</v>
      </c>
      <c r="D5917" s="43" t="s">
        <v>5570</v>
      </c>
      <c r="E5917" s="43" t="s">
        <v>230</v>
      </c>
    </row>
    <row r="5918" spans="1:5" x14ac:dyDescent="0.25">
      <c r="A5918" s="41">
        <v>18947</v>
      </c>
      <c r="B5918" s="42" t="s">
        <v>6288</v>
      </c>
      <c r="C5918" s="43" t="s">
        <v>289</v>
      </c>
      <c r="D5918" s="43" t="s">
        <v>5570</v>
      </c>
      <c r="E5918" s="43" t="s">
        <v>230</v>
      </c>
    </row>
    <row r="5919" spans="1:5" x14ac:dyDescent="0.25">
      <c r="A5919" s="41">
        <v>18949</v>
      </c>
      <c r="B5919" s="42" t="s">
        <v>6289</v>
      </c>
      <c r="C5919" s="43" t="s">
        <v>289</v>
      </c>
      <c r="D5919" s="43" t="s">
        <v>499</v>
      </c>
      <c r="E5919" s="43" t="s">
        <v>472</v>
      </c>
    </row>
    <row r="5920" spans="1:5" x14ac:dyDescent="0.25">
      <c r="A5920" s="41">
        <v>18951</v>
      </c>
      <c r="B5920" s="42" t="s">
        <v>6290</v>
      </c>
      <c r="C5920" s="43" t="s">
        <v>289</v>
      </c>
      <c r="D5920" s="43" t="s">
        <v>290</v>
      </c>
      <c r="E5920" s="43" t="s">
        <v>230</v>
      </c>
    </row>
    <row r="5921" spans="1:5" x14ac:dyDescent="0.25">
      <c r="A5921" s="41">
        <v>18952</v>
      </c>
      <c r="B5921" s="42" t="s">
        <v>6291</v>
      </c>
      <c r="C5921" s="43" t="s">
        <v>289</v>
      </c>
      <c r="D5921" s="43" t="s">
        <v>1112</v>
      </c>
      <c r="E5921" s="43" t="s">
        <v>464</v>
      </c>
    </row>
    <row r="5922" spans="1:5" x14ac:dyDescent="0.25">
      <c r="A5922" s="41">
        <v>18953</v>
      </c>
      <c r="B5922" s="42" t="s">
        <v>6292</v>
      </c>
      <c r="C5922" s="43" t="s">
        <v>289</v>
      </c>
      <c r="D5922" s="43" t="s">
        <v>1112</v>
      </c>
      <c r="E5922" s="43" t="s">
        <v>464</v>
      </c>
    </row>
    <row r="5923" spans="1:5" x14ac:dyDescent="0.25">
      <c r="A5923" s="41">
        <v>18956</v>
      </c>
      <c r="B5923" s="42" t="s">
        <v>6293</v>
      </c>
      <c r="C5923" s="43" t="s">
        <v>289</v>
      </c>
      <c r="D5923" s="43" t="s">
        <v>1112</v>
      </c>
      <c r="E5923" s="43" t="s">
        <v>373</v>
      </c>
    </row>
    <row r="5924" spans="1:5" x14ac:dyDescent="0.25">
      <c r="A5924" s="41">
        <v>18957</v>
      </c>
      <c r="B5924" s="42" t="s">
        <v>6294</v>
      </c>
      <c r="C5924" s="43" t="s">
        <v>289</v>
      </c>
      <c r="D5924" s="43" t="s">
        <v>3754</v>
      </c>
      <c r="E5924" s="43" t="s">
        <v>769</v>
      </c>
    </row>
    <row r="5925" spans="1:5" x14ac:dyDescent="0.25">
      <c r="A5925" s="41">
        <v>18958</v>
      </c>
      <c r="B5925" s="42" t="s">
        <v>6295</v>
      </c>
      <c r="C5925" s="43" t="s">
        <v>289</v>
      </c>
      <c r="D5925" s="43" t="s">
        <v>316</v>
      </c>
      <c r="E5925" s="43" t="s">
        <v>336</v>
      </c>
    </row>
    <row r="5926" spans="1:5" x14ac:dyDescent="0.25">
      <c r="A5926" s="41">
        <v>18959</v>
      </c>
      <c r="B5926" s="42" t="s">
        <v>6296</v>
      </c>
      <c r="C5926" s="43" t="s">
        <v>289</v>
      </c>
      <c r="D5926" s="43" t="s">
        <v>316</v>
      </c>
      <c r="E5926" s="43" t="s">
        <v>336</v>
      </c>
    </row>
    <row r="5927" spans="1:5" x14ac:dyDescent="0.25">
      <c r="A5927" s="41">
        <v>18960</v>
      </c>
      <c r="B5927" s="42" t="s">
        <v>6297</v>
      </c>
      <c r="C5927" s="43" t="s">
        <v>289</v>
      </c>
      <c r="D5927" s="43" t="s">
        <v>3754</v>
      </c>
      <c r="E5927" s="43" t="s">
        <v>769</v>
      </c>
    </row>
    <row r="5928" spans="1:5" x14ac:dyDescent="0.25">
      <c r="A5928" s="41">
        <v>18964</v>
      </c>
      <c r="B5928" s="42" t="s">
        <v>6298</v>
      </c>
      <c r="C5928" s="43" t="s">
        <v>289</v>
      </c>
      <c r="D5928" s="43" t="s">
        <v>6299</v>
      </c>
      <c r="E5928" s="43" t="s">
        <v>230</v>
      </c>
    </row>
    <row r="5929" spans="1:5" x14ac:dyDescent="0.25">
      <c r="A5929" s="41">
        <v>18965</v>
      </c>
      <c r="B5929" s="42" t="s">
        <v>6300</v>
      </c>
      <c r="C5929" s="43" t="s">
        <v>289</v>
      </c>
      <c r="D5929" s="43" t="s">
        <v>316</v>
      </c>
      <c r="E5929" s="43" t="s">
        <v>336</v>
      </c>
    </row>
    <row r="5930" spans="1:5" x14ac:dyDescent="0.25">
      <c r="A5930" s="41">
        <v>18966</v>
      </c>
      <c r="B5930" s="42" t="s">
        <v>6301</v>
      </c>
      <c r="C5930" s="43" t="s">
        <v>289</v>
      </c>
      <c r="D5930" s="43" t="s">
        <v>316</v>
      </c>
      <c r="E5930" s="43" t="s">
        <v>464</v>
      </c>
    </row>
    <row r="5931" spans="1:5" x14ac:dyDescent="0.25">
      <c r="A5931" s="41">
        <v>18967</v>
      </c>
      <c r="B5931" s="42" t="s">
        <v>6302</v>
      </c>
      <c r="C5931" s="43" t="s">
        <v>289</v>
      </c>
      <c r="D5931" s="43" t="s">
        <v>438</v>
      </c>
      <c r="E5931" s="43" t="s">
        <v>464</v>
      </c>
    </row>
    <row r="5932" spans="1:5" x14ac:dyDescent="0.25">
      <c r="A5932" s="41">
        <v>18968</v>
      </c>
      <c r="B5932" s="42" t="s">
        <v>6303</v>
      </c>
      <c r="C5932" s="43" t="s">
        <v>289</v>
      </c>
      <c r="D5932" s="43" t="s">
        <v>438</v>
      </c>
      <c r="E5932" s="43" t="s">
        <v>454</v>
      </c>
    </row>
    <row r="5933" spans="1:5" x14ac:dyDescent="0.25">
      <c r="A5933" s="41">
        <v>18969</v>
      </c>
      <c r="B5933" s="42" t="s">
        <v>6304</v>
      </c>
      <c r="C5933" s="43" t="s">
        <v>289</v>
      </c>
      <c r="D5933" s="43" t="s">
        <v>316</v>
      </c>
      <c r="E5933" s="43" t="s">
        <v>454</v>
      </c>
    </row>
    <row r="5934" spans="1:5" x14ac:dyDescent="0.25">
      <c r="A5934" s="41">
        <v>18970</v>
      </c>
      <c r="B5934" s="42" t="s">
        <v>6305</v>
      </c>
      <c r="C5934" s="43" t="s">
        <v>289</v>
      </c>
      <c r="D5934" s="43" t="s">
        <v>1112</v>
      </c>
      <c r="E5934" s="43" t="s">
        <v>464</v>
      </c>
    </row>
    <row r="5935" spans="1:5" x14ac:dyDescent="0.25">
      <c r="A5935" s="41">
        <v>18971</v>
      </c>
      <c r="B5935" s="42" t="s">
        <v>6306</v>
      </c>
      <c r="C5935" s="43" t="s">
        <v>289</v>
      </c>
      <c r="D5935" s="43" t="s">
        <v>1112</v>
      </c>
      <c r="E5935" s="43" t="s">
        <v>464</v>
      </c>
    </row>
    <row r="5936" spans="1:5" x14ac:dyDescent="0.25">
      <c r="A5936" s="41">
        <v>18972</v>
      </c>
      <c r="B5936" s="42" t="s">
        <v>6307</v>
      </c>
      <c r="C5936" s="43" t="s">
        <v>289</v>
      </c>
      <c r="D5936" s="43" t="s">
        <v>1112</v>
      </c>
      <c r="E5936" s="43" t="s">
        <v>464</v>
      </c>
    </row>
    <row r="5937" spans="1:5" x14ac:dyDescent="0.25">
      <c r="A5937" s="41">
        <v>18973</v>
      </c>
      <c r="B5937" s="42" t="s">
        <v>6308</v>
      </c>
      <c r="C5937" s="43" t="s">
        <v>289</v>
      </c>
      <c r="D5937" s="43" t="s">
        <v>1112</v>
      </c>
      <c r="E5937" s="43" t="s">
        <v>464</v>
      </c>
    </row>
    <row r="5938" spans="1:5" x14ac:dyDescent="0.25">
      <c r="A5938" s="41">
        <v>18974</v>
      </c>
      <c r="B5938" s="42" t="s">
        <v>6309</v>
      </c>
      <c r="C5938" s="43" t="s">
        <v>289</v>
      </c>
      <c r="D5938" s="43" t="s">
        <v>1112</v>
      </c>
      <c r="E5938" s="43" t="s">
        <v>464</v>
      </c>
    </row>
    <row r="5939" spans="1:5" x14ac:dyDescent="0.25">
      <c r="A5939" s="41">
        <v>18975</v>
      </c>
      <c r="B5939" s="42" t="s">
        <v>6310</v>
      </c>
      <c r="C5939" s="43" t="s">
        <v>289</v>
      </c>
      <c r="D5939" s="43" t="s">
        <v>1112</v>
      </c>
      <c r="E5939" s="43" t="s">
        <v>464</v>
      </c>
    </row>
    <row r="5940" spans="1:5" x14ac:dyDescent="0.25">
      <c r="A5940" s="41">
        <v>18976</v>
      </c>
      <c r="B5940" s="42" t="s">
        <v>6311</v>
      </c>
      <c r="C5940" s="43" t="s">
        <v>289</v>
      </c>
      <c r="D5940" s="43" t="s">
        <v>1112</v>
      </c>
      <c r="E5940" s="43" t="s">
        <v>454</v>
      </c>
    </row>
    <row r="5941" spans="1:5" x14ac:dyDescent="0.25">
      <c r="A5941" s="41">
        <v>18977</v>
      </c>
      <c r="B5941" s="42" t="s">
        <v>6312</v>
      </c>
      <c r="C5941" s="43" t="s">
        <v>289</v>
      </c>
      <c r="D5941" s="43" t="s">
        <v>1112</v>
      </c>
      <c r="E5941" s="43" t="s">
        <v>454</v>
      </c>
    </row>
    <row r="5942" spans="1:5" x14ac:dyDescent="0.25">
      <c r="A5942" s="41">
        <v>18978</v>
      </c>
      <c r="B5942" s="42" t="s">
        <v>6313</v>
      </c>
      <c r="C5942" s="43" t="s">
        <v>289</v>
      </c>
      <c r="D5942" s="43" t="s">
        <v>1112</v>
      </c>
      <c r="E5942" s="43" t="s">
        <v>230</v>
      </c>
    </row>
    <row r="5943" spans="1:5" x14ac:dyDescent="0.25">
      <c r="A5943" s="41">
        <v>18979</v>
      </c>
      <c r="B5943" s="42" t="s">
        <v>6314</v>
      </c>
      <c r="C5943" s="43" t="s">
        <v>289</v>
      </c>
      <c r="D5943" s="43" t="s">
        <v>1112</v>
      </c>
      <c r="E5943" s="43" t="s">
        <v>464</v>
      </c>
    </row>
    <row r="5944" spans="1:5" x14ac:dyDescent="0.25">
      <c r="A5944" s="41">
        <v>18980</v>
      </c>
      <c r="B5944" s="42" t="s">
        <v>6315</v>
      </c>
      <c r="C5944" s="43" t="s">
        <v>289</v>
      </c>
      <c r="D5944" s="43" t="s">
        <v>1112</v>
      </c>
      <c r="E5944" s="43" t="s">
        <v>454</v>
      </c>
    </row>
    <row r="5945" spans="1:5" x14ac:dyDescent="0.25">
      <c r="A5945" s="41">
        <v>18981</v>
      </c>
      <c r="B5945" s="42" t="s">
        <v>6316</v>
      </c>
      <c r="C5945" s="43" t="s">
        <v>289</v>
      </c>
      <c r="D5945" s="43" t="s">
        <v>1112</v>
      </c>
      <c r="E5945" s="43" t="s">
        <v>454</v>
      </c>
    </row>
    <row r="5946" spans="1:5" x14ac:dyDescent="0.25">
      <c r="A5946" s="41">
        <v>18982</v>
      </c>
      <c r="B5946" s="42" t="s">
        <v>6317</v>
      </c>
      <c r="C5946" s="43" t="s">
        <v>289</v>
      </c>
      <c r="D5946" s="43" t="s">
        <v>316</v>
      </c>
      <c r="E5946" s="43" t="s">
        <v>454</v>
      </c>
    </row>
    <row r="5947" spans="1:5" x14ac:dyDescent="0.25">
      <c r="A5947" s="41">
        <v>18983</v>
      </c>
      <c r="B5947" s="42" t="s">
        <v>6318</v>
      </c>
      <c r="C5947" s="43" t="s">
        <v>289</v>
      </c>
      <c r="D5947" s="43" t="s">
        <v>316</v>
      </c>
      <c r="E5947" s="43" t="s">
        <v>454</v>
      </c>
    </row>
    <row r="5948" spans="1:5" x14ac:dyDescent="0.25">
      <c r="A5948" s="41">
        <v>18985</v>
      </c>
      <c r="B5948" s="42" t="s">
        <v>6319</v>
      </c>
      <c r="C5948" s="43" t="s">
        <v>289</v>
      </c>
      <c r="D5948" s="43" t="s">
        <v>1138</v>
      </c>
      <c r="E5948" s="43" t="s">
        <v>454</v>
      </c>
    </row>
    <row r="5949" spans="1:5" x14ac:dyDescent="0.25">
      <c r="A5949" s="41">
        <v>18986</v>
      </c>
      <c r="B5949" s="42" t="s">
        <v>6320</v>
      </c>
      <c r="C5949" s="43" t="s">
        <v>289</v>
      </c>
      <c r="D5949" s="43" t="s">
        <v>633</v>
      </c>
      <c r="E5949" s="43" t="s">
        <v>464</v>
      </c>
    </row>
    <row r="5950" spans="1:5" x14ac:dyDescent="0.25">
      <c r="A5950" s="41">
        <v>18988</v>
      </c>
      <c r="B5950" s="42" t="s">
        <v>6321</v>
      </c>
      <c r="C5950" s="43" t="s">
        <v>289</v>
      </c>
      <c r="D5950" s="43" t="s">
        <v>633</v>
      </c>
      <c r="E5950" s="43" t="s">
        <v>464</v>
      </c>
    </row>
    <row r="5951" spans="1:5" x14ac:dyDescent="0.25">
      <c r="A5951" s="41">
        <v>18989</v>
      </c>
      <c r="B5951" s="42" t="s">
        <v>6322</v>
      </c>
      <c r="C5951" s="43" t="s">
        <v>289</v>
      </c>
      <c r="D5951" s="43" t="s">
        <v>633</v>
      </c>
      <c r="E5951" s="43" t="s">
        <v>464</v>
      </c>
    </row>
    <row r="5952" spans="1:5" x14ac:dyDescent="0.25">
      <c r="A5952" s="41">
        <v>18990</v>
      </c>
      <c r="B5952" s="42" t="s">
        <v>6323</v>
      </c>
      <c r="C5952" s="43" t="s">
        <v>289</v>
      </c>
      <c r="D5952" s="43" t="s">
        <v>633</v>
      </c>
      <c r="E5952" s="43" t="s">
        <v>464</v>
      </c>
    </row>
    <row r="5953" spans="1:5" x14ac:dyDescent="0.25">
      <c r="A5953" s="41">
        <v>18991</v>
      </c>
      <c r="B5953" s="42" t="s">
        <v>6324</v>
      </c>
      <c r="C5953" s="43" t="s">
        <v>289</v>
      </c>
      <c r="D5953" s="43" t="s">
        <v>633</v>
      </c>
      <c r="E5953" s="43" t="s">
        <v>464</v>
      </c>
    </row>
    <row r="5954" spans="1:5" x14ac:dyDescent="0.25">
      <c r="A5954" s="41">
        <v>18993</v>
      </c>
      <c r="B5954" s="42" t="s">
        <v>6325</v>
      </c>
      <c r="C5954" s="43" t="s">
        <v>289</v>
      </c>
      <c r="D5954" s="43" t="s">
        <v>633</v>
      </c>
      <c r="E5954" s="43" t="s">
        <v>464</v>
      </c>
    </row>
    <row r="5955" spans="1:5" x14ac:dyDescent="0.25">
      <c r="A5955" s="41">
        <v>18994</v>
      </c>
      <c r="B5955" s="42" t="s">
        <v>6326</v>
      </c>
      <c r="C5955" s="43" t="s">
        <v>289</v>
      </c>
      <c r="D5955" s="43" t="s">
        <v>633</v>
      </c>
      <c r="E5955" s="43" t="s">
        <v>464</v>
      </c>
    </row>
    <row r="5956" spans="1:5" x14ac:dyDescent="0.25">
      <c r="A5956" s="41">
        <v>18995</v>
      </c>
      <c r="B5956" s="42" t="s">
        <v>6327</v>
      </c>
      <c r="C5956" s="43" t="s">
        <v>289</v>
      </c>
      <c r="D5956" s="43" t="s">
        <v>509</v>
      </c>
      <c r="E5956" s="43" t="s">
        <v>230</v>
      </c>
    </row>
    <row r="5957" spans="1:5" x14ac:dyDescent="0.25">
      <c r="A5957" s="41">
        <v>18996</v>
      </c>
      <c r="B5957" s="42" t="s">
        <v>6328</v>
      </c>
      <c r="C5957" s="43" t="s">
        <v>289</v>
      </c>
      <c r="D5957" s="43" t="s">
        <v>316</v>
      </c>
      <c r="E5957" s="43" t="s">
        <v>230</v>
      </c>
    </row>
    <row r="5958" spans="1:5" x14ac:dyDescent="0.25">
      <c r="A5958" s="41">
        <v>18997</v>
      </c>
      <c r="B5958" s="42" t="s">
        <v>6329</v>
      </c>
      <c r="C5958" s="43" t="s">
        <v>289</v>
      </c>
      <c r="D5958" s="43" t="s">
        <v>316</v>
      </c>
      <c r="E5958" s="43" t="s">
        <v>230</v>
      </c>
    </row>
    <row r="5959" spans="1:5" x14ac:dyDescent="0.25">
      <c r="A5959" s="41">
        <v>18998</v>
      </c>
      <c r="B5959" s="42" t="s">
        <v>6330</v>
      </c>
      <c r="C5959" s="43" t="s">
        <v>289</v>
      </c>
      <c r="D5959" s="43" t="s">
        <v>316</v>
      </c>
      <c r="E5959" s="43" t="s">
        <v>230</v>
      </c>
    </row>
    <row r="5960" spans="1:5" x14ac:dyDescent="0.25">
      <c r="A5960" s="41">
        <v>18999</v>
      </c>
      <c r="B5960" s="42" t="s">
        <v>6331</v>
      </c>
      <c r="C5960" s="43" t="s">
        <v>289</v>
      </c>
      <c r="D5960" s="43" t="s">
        <v>316</v>
      </c>
      <c r="E5960" s="43" t="s">
        <v>230</v>
      </c>
    </row>
    <row r="5961" spans="1:5" x14ac:dyDescent="0.25">
      <c r="A5961" s="41">
        <v>19000</v>
      </c>
      <c r="B5961" s="42" t="s">
        <v>6332</v>
      </c>
      <c r="C5961" s="43" t="s">
        <v>289</v>
      </c>
      <c r="D5961" s="43" t="s">
        <v>290</v>
      </c>
      <c r="E5961" s="43" t="s">
        <v>336</v>
      </c>
    </row>
    <row r="5962" spans="1:5" x14ac:dyDescent="0.25">
      <c r="A5962" s="41">
        <v>19001</v>
      </c>
      <c r="B5962" s="42" t="s">
        <v>6333</v>
      </c>
      <c r="C5962" s="43" t="s">
        <v>289</v>
      </c>
      <c r="D5962" s="43" t="s">
        <v>5014</v>
      </c>
      <c r="E5962" s="43" t="s">
        <v>230</v>
      </c>
    </row>
    <row r="5963" spans="1:5" x14ac:dyDescent="0.25">
      <c r="A5963" s="41">
        <v>19002</v>
      </c>
      <c r="B5963" s="42" t="s">
        <v>6334</v>
      </c>
      <c r="C5963" s="43" t="s">
        <v>289</v>
      </c>
      <c r="D5963" s="43" t="s">
        <v>6335</v>
      </c>
      <c r="E5963" s="43" t="s">
        <v>336</v>
      </c>
    </row>
    <row r="5964" spans="1:5" x14ac:dyDescent="0.25">
      <c r="A5964" s="41">
        <v>19003</v>
      </c>
      <c r="B5964" s="42" t="s">
        <v>6336</v>
      </c>
      <c r="C5964" s="43" t="s">
        <v>289</v>
      </c>
      <c r="D5964" s="43" t="s">
        <v>314</v>
      </c>
      <c r="E5964" s="43" t="s">
        <v>464</v>
      </c>
    </row>
    <row r="5965" spans="1:5" x14ac:dyDescent="0.25">
      <c r="A5965" s="41">
        <v>19011</v>
      </c>
      <c r="B5965" s="42" t="s">
        <v>6337</v>
      </c>
      <c r="C5965" s="43" t="s">
        <v>289</v>
      </c>
      <c r="D5965" s="43" t="s">
        <v>316</v>
      </c>
      <c r="E5965" s="43" t="s">
        <v>230</v>
      </c>
    </row>
    <row r="5966" spans="1:5" x14ac:dyDescent="0.25">
      <c r="A5966" s="41">
        <v>19015</v>
      </c>
      <c r="B5966" s="42" t="s">
        <v>6338</v>
      </c>
      <c r="C5966" s="43" t="s">
        <v>289</v>
      </c>
      <c r="D5966" s="43" t="s">
        <v>6299</v>
      </c>
      <c r="E5966" s="43" t="s">
        <v>230</v>
      </c>
    </row>
    <row r="5967" spans="1:5" x14ac:dyDescent="0.25">
      <c r="A5967" s="41">
        <v>19016</v>
      </c>
      <c r="B5967" s="42" t="s">
        <v>6339</v>
      </c>
      <c r="C5967" s="43" t="s">
        <v>289</v>
      </c>
      <c r="D5967" s="43" t="s">
        <v>1112</v>
      </c>
      <c r="E5967" s="43" t="s">
        <v>464</v>
      </c>
    </row>
    <row r="5968" spans="1:5" x14ac:dyDescent="0.25">
      <c r="A5968" s="41">
        <v>19018</v>
      </c>
      <c r="B5968" s="42" t="s">
        <v>6309</v>
      </c>
      <c r="C5968" s="43" t="s">
        <v>289</v>
      </c>
      <c r="D5968" s="43" t="s">
        <v>1112</v>
      </c>
      <c r="E5968" s="43" t="s">
        <v>464</v>
      </c>
    </row>
    <row r="5969" spans="1:5" x14ac:dyDescent="0.25">
      <c r="A5969" s="41">
        <v>19021</v>
      </c>
      <c r="B5969" s="42" t="s">
        <v>6340</v>
      </c>
      <c r="C5969" s="43" t="s">
        <v>289</v>
      </c>
      <c r="D5969" s="43" t="s">
        <v>1138</v>
      </c>
      <c r="E5969" s="43" t="s">
        <v>230</v>
      </c>
    </row>
    <row r="5970" spans="1:5" x14ac:dyDescent="0.25">
      <c r="A5970" s="41">
        <v>19022</v>
      </c>
      <c r="B5970" s="42" t="s">
        <v>6341</v>
      </c>
      <c r="C5970" s="43" t="s">
        <v>289</v>
      </c>
      <c r="D5970" s="43" t="s">
        <v>433</v>
      </c>
      <c r="E5970" s="43" t="s">
        <v>336</v>
      </c>
    </row>
    <row r="5971" spans="1:5" x14ac:dyDescent="0.25">
      <c r="A5971" s="41">
        <v>19023</v>
      </c>
      <c r="B5971" s="42" t="s">
        <v>6342</v>
      </c>
      <c r="C5971" s="43" t="s">
        <v>289</v>
      </c>
      <c r="D5971" s="43" t="s">
        <v>2281</v>
      </c>
      <c r="E5971" s="43" t="s">
        <v>230</v>
      </c>
    </row>
    <row r="5972" spans="1:5" x14ac:dyDescent="0.25">
      <c r="A5972" s="41">
        <v>19024</v>
      </c>
      <c r="B5972" s="42" t="s">
        <v>6343</v>
      </c>
      <c r="C5972" s="43" t="s">
        <v>289</v>
      </c>
      <c r="D5972" s="43" t="s">
        <v>327</v>
      </c>
      <c r="E5972" s="43" t="s">
        <v>230</v>
      </c>
    </row>
    <row r="5973" spans="1:5" x14ac:dyDescent="0.25">
      <c r="A5973" s="41">
        <v>19025</v>
      </c>
      <c r="B5973" s="42" t="s">
        <v>6344</v>
      </c>
      <c r="C5973" s="43" t="s">
        <v>289</v>
      </c>
      <c r="D5973" s="43" t="s">
        <v>316</v>
      </c>
      <c r="E5973" s="43" t="s">
        <v>230</v>
      </c>
    </row>
    <row r="5974" spans="1:5" x14ac:dyDescent="0.25">
      <c r="A5974" s="41">
        <v>19026</v>
      </c>
      <c r="B5974" s="42" t="s">
        <v>6345</v>
      </c>
      <c r="C5974" s="43" t="s">
        <v>289</v>
      </c>
      <c r="D5974" s="43" t="s">
        <v>316</v>
      </c>
      <c r="E5974" s="43" t="s">
        <v>230</v>
      </c>
    </row>
    <row r="5975" spans="1:5" x14ac:dyDescent="0.25">
      <c r="A5975" s="41">
        <v>19027</v>
      </c>
      <c r="B5975" s="42" t="s">
        <v>6346</v>
      </c>
      <c r="C5975" s="43" t="s">
        <v>289</v>
      </c>
      <c r="D5975" s="43" t="s">
        <v>438</v>
      </c>
      <c r="E5975" s="43" t="s">
        <v>230</v>
      </c>
    </row>
    <row r="5976" spans="1:5" x14ac:dyDescent="0.25">
      <c r="A5976" s="41">
        <v>19028</v>
      </c>
      <c r="B5976" s="42" t="s">
        <v>6347</v>
      </c>
      <c r="C5976" s="43" t="s">
        <v>289</v>
      </c>
      <c r="D5976" s="43" t="s">
        <v>327</v>
      </c>
      <c r="E5976" s="43" t="s">
        <v>336</v>
      </c>
    </row>
    <row r="5977" spans="1:5" x14ac:dyDescent="0.25">
      <c r="A5977" s="41">
        <v>19029</v>
      </c>
      <c r="B5977" s="42" t="s">
        <v>6348</v>
      </c>
      <c r="C5977" s="43" t="s">
        <v>289</v>
      </c>
      <c r="D5977" s="43" t="s">
        <v>327</v>
      </c>
      <c r="E5977" s="43" t="s">
        <v>230</v>
      </c>
    </row>
    <row r="5978" spans="1:5" x14ac:dyDescent="0.25">
      <c r="A5978" s="41">
        <v>19030</v>
      </c>
      <c r="B5978" s="42" t="s">
        <v>6349</v>
      </c>
      <c r="C5978" s="43" t="s">
        <v>289</v>
      </c>
      <c r="D5978" s="43" t="s">
        <v>327</v>
      </c>
      <c r="E5978" s="43" t="s">
        <v>230</v>
      </c>
    </row>
    <row r="5979" spans="1:5" x14ac:dyDescent="0.25">
      <c r="A5979" s="41">
        <v>19031</v>
      </c>
      <c r="B5979" s="42" t="s">
        <v>6350</v>
      </c>
      <c r="C5979" s="43" t="s">
        <v>289</v>
      </c>
      <c r="D5979" s="43" t="s">
        <v>4329</v>
      </c>
      <c r="E5979" s="43" t="s">
        <v>230</v>
      </c>
    </row>
    <row r="5980" spans="1:5" x14ac:dyDescent="0.25">
      <c r="A5980" s="41">
        <v>19032</v>
      </c>
      <c r="B5980" s="42" t="s">
        <v>6351</v>
      </c>
      <c r="C5980" s="43" t="s">
        <v>289</v>
      </c>
      <c r="D5980" s="43" t="s">
        <v>3754</v>
      </c>
      <c r="E5980" s="43" t="s">
        <v>769</v>
      </c>
    </row>
    <row r="5981" spans="1:5" x14ac:dyDescent="0.25">
      <c r="A5981" s="41">
        <v>19033</v>
      </c>
      <c r="B5981" s="42" t="s">
        <v>6352</v>
      </c>
      <c r="C5981" s="43" t="s">
        <v>289</v>
      </c>
      <c r="D5981" s="43" t="s">
        <v>4329</v>
      </c>
      <c r="E5981" s="43" t="s">
        <v>230</v>
      </c>
    </row>
    <row r="5982" spans="1:5" x14ac:dyDescent="0.25">
      <c r="A5982" s="41">
        <v>19035</v>
      </c>
      <c r="B5982" s="42" t="s">
        <v>6353</v>
      </c>
      <c r="C5982" s="43" t="s">
        <v>289</v>
      </c>
      <c r="D5982" s="43" t="s">
        <v>4329</v>
      </c>
      <c r="E5982" s="43" t="s">
        <v>230</v>
      </c>
    </row>
    <row r="5983" spans="1:5" x14ac:dyDescent="0.25">
      <c r="A5983" s="41">
        <v>19036</v>
      </c>
      <c r="B5983" s="42" t="s">
        <v>6354</v>
      </c>
      <c r="C5983" s="43" t="s">
        <v>289</v>
      </c>
      <c r="D5983" s="43" t="s">
        <v>3754</v>
      </c>
      <c r="E5983" s="43" t="s">
        <v>769</v>
      </c>
    </row>
    <row r="5984" spans="1:5" x14ac:dyDescent="0.25">
      <c r="A5984" s="41">
        <v>19037</v>
      </c>
      <c r="B5984" s="42" t="s">
        <v>6355</v>
      </c>
      <c r="C5984" s="43" t="s">
        <v>289</v>
      </c>
      <c r="D5984" s="43" t="s">
        <v>2667</v>
      </c>
      <c r="E5984" s="43" t="s">
        <v>230</v>
      </c>
    </row>
    <row r="5985" spans="1:5" x14ac:dyDescent="0.25">
      <c r="A5985" s="41">
        <v>19041</v>
      </c>
      <c r="B5985" s="42" t="s">
        <v>6356</v>
      </c>
      <c r="C5985" s="43" t="s">
        <v>289</v>
      </c>
      <c r="D5985" s="43" t="s">
        <v>316</v>
      </c>
      <c r="E5985" s="43" t="s">
        <v>454</v>
      </c>
    </row>
    <row r="5986" spans="1:5" x14ac:dyDescent="0.25">
      <c r="A5986" s="41">
        <v>19042</v>
      </c>
      <c r="B5986" s="42" t="s">
        <v>6357</v>
      </c>
      <c r="C5986" s="43" t="s">
        <v>289</v>
      </c>
      <c r="D5986" s="43" t="s">
        <v>1112</v>
      </c>
      <c r="E5986" s="43" t="s">
        <v>230</v>
      </c>
    </row>
    <row r="5987" spans="1:5" x14ac:dyDescent="0.25">
      <c r="A5987" s="41">
        <v>19043</v>
      </c>
      <c r="B5987" s="42" t="s">
        <v>6358</v>
      </c>
      <c r="C5987" s="43" t="s">
        <v>289</v>
      </c>
      <c r="D5987" s="43" t="s">
        <v>1112</v>
      </c>
      <c r="E5987" s="43" t="s">
        <v>230</v>
      </c>
    </row>
    <row r="5988" spans="1:5" x14ac:dyDescent="0.25">
      <c r="A5988" s="41">
        <v>19044</v>
      </c>
      <c r="B5988" s="42" t="s">
        <v>6359</v>
      </c>
      <c r="C5988" s="43" t="s">
        <v>289</v>
      </c>
      <c r="D5988" s="43" t="s">
        <v>1112</v>
      </c>
      <c r="E5988" s="43" t="s">
        <v>230</v>
      </c>
    </row>
    <row r="5989" spans="1:5" x14ac:dyDescent="0.25">
      <c r="A5989" s="41">
        <v>19046</v>
      </c>
      <c r="B5989" s="42" t="s">
        <v>6360</v>
      </c>
      <c r="C5989" s="43" t="s">
        <v>289</v>
      </c>
      <c r="D5989" s="43" t="s">
        <v>316</v>
      </c>
      <c r="E5989" s="43" t="s">
        <v>454</v>
      </c>
    </row>
    <row r="5990" spans="1:5" x14ac:dyDescent="0.25">
      <c r="A5990" s="41">
        <v>19047</v>
      </c>
      <c r="B5990" s="42" t="s">
        <v>6361</v>
      </c>
      <c r="C5990" s="43" t="s">
        <v>289</v>
      </c>
      <c r="D5990" s="43" t="s">
        <v>1112</v>
      </c>
      <c r="E5990" s="43" t="s">
        <v>230</v>
      </c>
    </row>
    <row r="5991" spans="1:5" x14ac:dyDescent="0.25">
      <c r="A5991" s="41">
        <v>19048</v>
      </c>
      <c r="B5991" s="42" t="s">
        <v>6362</v>
      </c>
      <c r="C5991" s="43" t="s">
        <v>289</v>
      </c>
      <c r="D5991" s="43" t="s">
        <v>996</v>
      </c>
      <c r="E5991" s="43" t="s">
        <v>230</v>
      </c>
    </row>
    <row r="5992" spans="1:5" x14ac:dyDescent="0.25">
      <c r="A5992" s="41">
        <v>19049</v>
      </c>
      <c r="B5992" s="42" t="s">
        <v>6363</v>
      </c>
      <c r="C5992" s="43" t="s">
        <v>289</v>
      </c>
      <c r="D5992" s="43" t="s">
        <v>996</v>
      </c>
      <c r="E5992" s="43" t="s">
        <v>230</v>
      </c>
    </row>
    <row r="5993" spans="1:5" x14ac:dyDescent="0.25">
      <c r="A5993" s="41">
        <v>19050</v>
      </c>
      <c r="B5993" s="42" t="s">
        <v>6364</v>
      </c>
      <c r="C5993" s="43" t="s">
        <v>289</v>
      </c>
      <c r="D5993" s="43" t="s">
        <v>996</v>
      </c>
      <c r="E5993" s="43" t="s">
        <v>230</v>
      </c>
    </row>
    <row r="5994" spans="1:5" x14ac:dyDescent="0.25">
      <c r="A5994" s="41">
        <v>19051</v>
      </c>
      <c r="B5994" s="42" t="s">
        <v>6365</v>
      </c>
      <c r="C5994" s="43" t="s">
        <v>289</v>
      </c>
      <c r="D5994" s="43" t="s">
        <v>694</v>
      </c>
      <c r="E5994" s="43" t="s">
        <v>764</v>
      </c>
    </row>
    <row r="5995" spans="1:5" x14ac:dyDescent="0.25">
      <c r="A5995" s="41">
        <v>19054</v>
      </c>
      <c r="B5995" s="42" t="s">
        <v>6366</v>
      </c>
      <c r="C5995" s="43" t="s">
        <v>289</v>
      </c>
      <c r="D5995" s="43" t="s">
        <v>635</v>
      </c>
      <c r="E5995" s="43" t="s">
        <v>230</v>
      </c>
    </row>
    <row r="5996" spans="1:5" x14ac:dyDescent="0.25">
      <c r="A5996" s="41">
        <v>19061</v>
      </c>
      <c r="B5996" s="42" t="s">
        <v>6367</v>
      </c>
      <c r="C5996" s="43" t="s">
        <v>289</v>
      </c>
      <c r="D5996" s="43" t="s">
        <v>996</v>
      </c>
      <c r="E5996" s="43" t="s">
        <v>230</v>
      </c>
    </row>
    <row r="5997" spans="1:5" x14ac:dyDescent="0.25">
      <c r="A5997" s="41">
        <v>19062</v>
      </c>
      <c r="B5997" s="42" t="s">
        <v>6368</v>
      </c>
      <c r="C5997" s="43" t="s">
        <v>289</v>
      </c>
      <c r="D5997" s="43" t="s">
        <v>996</v>
      </c>
      <c r="E5997" s="43" t="s">
        <v>230</v>
      </c>
    </row>
    <row r="5998" spans="1:5" x14ac:dyDescent="0.25">
      <c r="A5998" s="41">
        <v>19063</v>
      </c>
      <c r="B5998" s="42" t="s">
        <v>6369</v>
      </c>
      <c r="C5998" s="43" t="s">
        <v>289</v>
      </c>
      <c r="D5998" s="43" t="s">
        <v>996</v>
      </c>
      <c r="E5998" s="43" t="s">
        <v>230</v>
      </c>
    </row>
    <row r="5999" spans="1:5" x14ac:dyDescent="0.25">
      <c r="A5999" s="41">
        <v>19064</v>
      </c>
      <c r="B5999" s="42" t="s">
        <v>6370</v>
      </c>
      <c r="C5999" s="43" t="s">
        <v>289</v>
      </c>
      <c r="D5999" s="43" t="s">
        <v>996</v>
      </c>
      <c r="E5999" s="43" t="s">
        <v>230</v>
      </c>
    </row>
    <row r="6000" spans="1:5" x14ac:dyDescent="0.25">
      <c r="A6000" s="41">
        <v>19065</v>
      </c>
      <c r="B6000" s="42" t="s">
        <v>6371</v>
      </c>
      <c r="C6000" s="43" t="s">
        <v>289</v>
      </c>
      <c r="D6000" s="43" t="s">
        <v>996</v>
      </c>
      <c r="E6000" s="43" t="s">
        <v>230</v>
      </c>
    </row>
    <row r="6001" spans="1:5" x14ac:dyDescent="0.25">
      <c r="A6001" s="41">
        <v>19066</v>
      </c>
      <c r="B6001" s="42" t="s">
        <v>6372</v>
      </c>
      <c r="C6001" s="43" t="s">
        <v>289</v>
      </c>
      <c r="D6001" s="43" t="s">
        <v>996</v>
      </c>
      <c r="E6001" s="43" t="s">
        <v>230</v>
      </c>
    </row>
    <row r="6002" spans="1:5" x14ac:dyDescent="0.25">
      <c r="A6002" s="41">
        <v>19068</v>
      </c>
      <c r="B6002" s="42" t="s">
        <v>6373</v>
      </c>
      <c r="C6002" s="43" t="s">
        <v>289</v>
      </c>
      <c r="D6002" s="43" t="s">
        <v>333</v>
      </c>
      <c r="E6002" s="43" t="s">
        <v>230</v>
      </c>
    </row>
    <row r="6003" spans="1:5" x14ac:dyDescent="0.25">
      <c r="A6003" s="41">
        <v>19069</v>
      </c>
      <c r="B6003" s="42" t="s">
        <v>6374</v>
      </c>
      <c r="C6003" s="43" t="s">
        <v>289</v>
      </c>
      <c r="D6003" s="43" t="s">
        <v>1100</v>
      </c>
      <c r="E6003" s="43" t="s">
        <v>230</v>
      </c>
    </row>
    <row r="6004" spans="1:5" x14ac:dyDescent="0.25">
      <c r="A6004" s="41">
        <v>19070</v>
      </c>
      <c r="B6004" s="42" t="s">
        <v>6375</v>
      </c>
      <c r="C6004" s="43" t="s">
        <v>289</v>
      </c>
      <c r="D6004" s="43" t="s">
        <v>433</v>
      </c>
      <c r="E6004" s="43" t="s">
        <v>230</v>
      </c>
    </row>
    <row r="6005" spans="1:5" x14ac:dyDescent="0.25">
      <c r="A6005" s="41">
        <v>19071</v>
      </c>
      <c r="B6005" s="42" t="s">
        <v>6376</v>
      </c>
      <c r="C6005" s="43" t="s">
        <v>289</v>
      </c>
      <c r="D6005" s="43" t="s">
        <v>433</v>
      </c>
      <c r="E6005" s="43" t="s">
        <v>230</v>
      </c>
    </row>
    <row r="6006" spans="1:5" x14ac:dyDescent="0.25">
      <c r="A6006" s="41">
        <v>19072</v>
      </c>
      <c r="B6006" s="42" t="s">
        <v>6377</v>
      </c>
      <c r="C6006" s="43" t="s">
        <v>289</v>
      </c>
      <c r="D6006" s="43" t="s">
        <v>433</v>
      </c>
      <c r="E6006" s="43" t="s">
        <v>230</v>
      </c>
    </row>
    <row r="6007" spans="1:5" x14ac:dyDescent="0.25">
      <c r="A6007" s="41">
        <v>19073</v>
      </c>
      <c r="B6007" s="42" t="s">
        <v>6378</v>
      </c>
      <c r="C6007" s="43" t="s">
        <v>289</v>
      </c>
      <c r="D6007" s="43" t="s">
        <v>433</v>
      </c>
      <c r="E6007" s="43" t="s">
        <v>230</v>
      </c>
    </row>
    <row r="6008" spans="1:5" x14ac:dyDescent="0.25">
      <c r="A6008" s="41">
        <v>19074</v>
      </c>
      <c r="B6008" s="42" t="s">
        <v>6379</v>
      </c>
      <c r="C6008" s="43" t="s">
        <v>289</v>
      </c>
      <c r="D6008" s="43" t="s">
        <v>433</v>
      </c>
      <c r="E6008" s="43" t="s">
        <v>6380</v>
      </c>
    </row>
    <row r="6009" spans="1:5" x14ac:dyDescent="0.25">
      <c r="A6009" s="41">
        <v>19075</v>
      </c>
      <c r="B6009" s="42" t="s">
        <v>6381</v>
      </c>
      <c r="C6009" s="43" t="s">
        <v>289</v>
      </c>
      <c r="D6009" s="43" t="s">
        <v>996</v>
      </c>
      <c r="E6009" s="43" t="s">
        <v>230</v>
      </c>
    </row>
    <row r="6010" spans="1:5" x14ac:dyDescent="0.25">
      <c r="A6010" s="41">
        <v>19076</v>
      </c>
      <c r="B6010" s="42" t="s">
        <v>6382</v>
      </c>
      <c r="C6010" s="43" t="s">
        <v>289</v>
      </c>
      <c r="D6010" s="43" t="s">
        <v>1112</v>
      </c>
      <c r="E6010" s="43" t="s">
        <v>230</v>
      </c>
    </row>
    <row r="6011" spans="1:5" x14ac:dyDescent="0.25">
      <c r="A6011" s="41">
        <v>19077</v>
      </c>
      <c r="B6011" s="42" t="s">
        <v>6383</v>
      </c>
      <c r="C6011" s="43" t="s">
        <v>289</v>
      </c>
      <c r="D6011" s="43" t="s">
        <v>763</v>
      </c>
      <c r="E6011" s="43" t="s">
        <v>766</v>
      </c>
    </row>
    <row r="6012" spans="1:5" x14ac:dyDescent="0.25">
      <c r="A6012" s="41">
        <v>19078</v>
      </c>
      <c r="B6012" s="42" t="s">
        <v>6384</v>
      </c>
      <c r="C6012" s="43" t="s">
        <v>289</v>
      </c>
      <c r="D6012" s="43" t="s">
        <v>6141</v>
      </c>
      <c r="E6012" s="43" t="s">
        <v>769</v>
      </c>
    </row>
    <row r="6013" spans="1:5" x14ac:dyDescent="0.25">
      <c r="A6013" s="41">
        <v>19079</v>
      </c>
      <c r="B6013" s="42" t="s">
        <v>6385</v>
      </c>
      <c r="C6013" s="43" t="s">
        <v>289</v>
      </c>
      <c r="D6013" s="43" t="s">
        <v>316</v>
      </c>
      <c r="E6013" s="43" t="s">
        <v>230</v>
      </c>
    </row>
    <row r="6014" spans="1:5" x14ac:dyDescent="0.25">
      <c r="A6014" s="41">
        <v>19080</v>
      </c>
      <c r="B6014" s="42" t="s">
        <v>6386</v>
      </c>
      <c r="C6014" s="43" t="s">
        <v>289</v>
      </c>
      <c r="D6014" s="43" t="s">
        <v>333</v>
      </c>
      <c r="E6014" s="43" t="s">
        <v>230</v>
      </c>
    </row>
    <row r="6015" spans="1:5" x14ac:dyDescent="0.25">
      <c r="A6015" s="41">
        <v>19091</v>
      </c>
      <c r="B6015" s="42" t="s">
        <v>6387</v>
      </c>
      <c r="C6015" s="43" t="s">
        <v>289</v>
      </c>
      <c r="D6015" s="43" t="s">
        <v>333</v>
      </c>
      <c r="E6015" s="43" t="s">
        <v>230</v>
      </c>
    </row>
    <row r="6016" spans="1:5" x14ac:dyDescent="0.25">
      <c r="A6016" s="41">
        <v>19092</v>
      </c>
      <c r="B6016" s="42" t="s">
        <v>6388</v>
      </c>
      <c r="C6016" s="43" t="s">
        <v>289</v>
      </c>
      <c r="D6016" s="43" t="s">
        <v>333</v>
      </c>
      <c r="E6016" s="43" t="s">
        <v>230</v>
      </c>
    </row>
    <row r="6017" spans="1:5" x14ac:dyDescent="0.25">
      <c r="A6017" s="41">
        <v>19094</v>
      </c>
      <c r="B6017" s="42" t="s">
        <v>6389</v>
      </c>
      <c r="C6017" s="43" t="s">
        <v>289</v>
      </c>
      <c r="D6017" s="43" t="s">
        <v>333</v>
      </c>
      <c r="E6017" s="43" t="s">
        <v>230</v>
      </c>
    </row>
    <row r="6018" spans="1:5" x14ac:dyDescent="0.25">
      <c r="A6018" s="41">
        <v>19096</v>
      </c>
      <c r="B6018" s="42" t="s">
        <v>6390</v>
      </c>
      <c r="C6018" s="43" t="s">
        <v>289</v>
      </c>
      <c r="D6018" s="43" t="s">
        <v>333</v>
      </c>
      <c r="E6018" s="43" t="s">
        <v>230</v>
      </c>
    </row>
    <row r="6019" spans="1:5" x14ac:dyDescent="0.25">
      <c r="A6019" s="41">
        <v>19097</v>
      </c>
      <c r="B6019" s="42" t="s">
        <v>6391</v>
      </c>
      <c r="C6019" s="43" t="s">
        <v>289</v>
      </c>
      <c r="D6019" s="43" t="s">
        <v>333</v>
      </c>
      <c r="E6019" s="43" t="s">
        <v>170</v>
      </c>
    </row>
    <row r="6020" spans="1:5" x14ac:dyDescent="0.25">
      <c r="A6020" s="41">
        <v>19098</v>
      </c>
      <c r="B6020" s="42" t="s">
        <v>6392</v>
      </c>
      <c r="C6020" s="43" t="s">
        <v>289</v>
      </c>
      <c r="D6020" s="43" t="s">
        <v>333</v>
      </c>
      <c r="E6020" s="43" t="s">
        <v>170</v>
      </c>
    </row>
    <row r="6021" spans="1:5" x14ac:dyDescent="0.25">
      <c r="A6021" s="41">
        <v>19099</v>
      </c>
      <c r="B6021" s="42" t="s">
        <v>6393</v>
      </c>
      <c r="C6021" s="43" t="s">
        <v>289</v>
      </c>
      <c r="D6021" s="43" t="s">
        <v>333</v>
      </c>
      <c r="E6021" s="43" t="s">
        <v>170</v>
      </c>
    </row>
    <row r="6022" spans="1:5" x14ac:dyDescent="0.25">
      <c r="A6022" s="41">
        <v>19100</v>
      </c>
      <c r="B6022" s="42" t="s">
        <v>6394</v>
      </c>
      <c r="C6022" s="43" t="s">
        <v>289</v>
      </c>
      <c r="D6022" s="43" t="s">
        <v>633</v>
      </c>
      <c r="E6022" s="43" t="s">
        <v>464</v>
      </c>
    </row>
    <row r="6023" spans="1:5" x14ac:dyDescent="0.25">
      <c r="A6023" s="41">
        <v>19101</v>
      </c>
      <c r="B6023" s="42" t="s">
        <v>6395</v>
      </c>
      <c r="C6023" s="43" t="s">
        <v>289</v>
      </c>
      <c r="D6023" s="43" t="s">
        <v>633</v>
      </c>
      <c r="E6023" s="43" t="s">
        <v>464</v>
      </c>
    </row>
    <row r="6024" spans="1:5" x14ac:dyDescent="0.25">
      <c r="A6024" s="41">
        <v>19102</v>
      </c>
      <c r="B6024" s="42" t="s">
        <v>6396</v>
      </c>
      <c r="C6024" s="43" t="s">
        <v>289</v>
      </c>
      <c r="D6024" s="43" t="s">
        <v>633</v>
      </c>
      <c r="E6024" s="43" t="s">
        <v>464</v>
      </c>
    </row>
    <row r="6025" spans="1:5" x14ac:dyDescent="0.25">
      <c r="A6025" s="41">
        <v>19103</v>
      </c>
      <c r="B6025" s="42" t="s">
        <v>6397</v>
      </c>
      <c r="C6025" s="43" t="s">
        <v>289</v>
      </c>
      <c r="D6025" s="43" t="s">
        <v>633</v>
      </c>
      <c r="E6025" s="43" t="s">
        <v>464</v>
      </c>
    </row>
    <row r="6026" spans="1:5" x14ac:dyDescent="0.25">
      <c r="A6026" s="41">
        <v>19104</v>
      </c>
      <c r="B6026" s="42" t="s">
        <v>6398</v>
      </c>
      <c r="C6026" s="43" t="s">
        <v>289</v>
      </c>
      <c r="D6026" s="43" t="s">
        <v>633</v>
      </c>
      <c r="E6026" s="43" t="s">
        <v>464</v>
      </c>
    </row>
    <row r="6027" spans="1:5" x14ac:dyDescent="0.25">
      <c r="A6027" s="41">
        <v>19105</v>
      </c>
      <c r="B6027" s="42" t="s">
        <v>6399</v>
      </c>
      <c r="C6027" s="43" t="s">
        <v>289</v>
      </c>
      <c r="D6027" s="43" t="s">
        <v>633</v>
      </c>
      <c r="E6027" s="43" t="s">
        <v>464</v>
      </c>
    </row>
    <row r="6028" spans="1:5" x14ac:dyDescent="0.25">
      <c r="A6028" s="41">
        <v>19106</v>
      </c>
      <c r="B6028" s="42" t="s">
        <v>6400</v>
      </c>
      <c r="C6028" s="43" t="s">
        <v>289</v>
      </c>
      <c r="D6028" s="43" t="s">
        <v>633</v>
      </c>
      <c r="E6028" s="43" t="s">
        <v>464</v>
      </c>
    </row>
    <row r="6029" spans="1:5" x14ac:dyDescent="0.25">
      <c r="A6029" s="41">
        <v>19107</v>
      </c>
      <c r="B6029" s="42" t="s">
        <v>6401</v>
      </c>
      <c r="C6029" s="43" t="s">
        <v>289</v>
      </c>
      <c r="D6029" s="43" t="s">
        <v>908</v>
      </c>
      <c r="E6029" s="43" t="s">
        <v>454</v>
      </c>
    </row>
    <row r="6030" spans="1:5" x14ac:dyDescent="0.25">
      <c r="A6030" s="41">
        <v>19108</v>
      </c>
      <c r="B6030" s="42" t="s">
        <v>6402</v>
      </c>
      <c r="C6030" s="43" t="s">
        <v>289</v>
      </c>
      <c r="D6030" s="43" t="s">
        <v>908</v>
      </c>
      <c r="E6030" s="43" t="s">
        <v>454</v>
      </c>
    </row>
    <row r="6031" spans="1:5" x14ac:dyDescent="0.25">
      <c r="A6031" s="41">
        <v>19109</v>
      </c>
      <c r="B6031" s="42" t="s">
        <v>6403</v>
      </c>
      <c r="C6031" s="43" t="s">
        <v>289</v>
      </c>
      <c r="D6031" s="43" t="s">
        <v>908</v>
      </c>
      <c r="E6031" s="43" t="s">
        <v>454</v>
      </c>
    </row>
    <row r="6032" spans="1:5" x14ac:dyDescent="0.25">
      <c r="A6032" s="41">
        <v>19110</v>
      </c>
      <c r="B6032" s="42" t="s">
        <v>6404</v>
      </c>
      <c r="C6032" s="43" t="s">
        <v>289</v>
      </c>
      <c r="D6032" s="43" t="s">
        <v>908</v>
      </c>
      <c r="E6032" s="43" t="s">
        <v>454</v>
      </c>
    </row>
    <row r="6033" spans="1:5" x14ac:dyDescent="0.25">
      <c r="A6033" s="41">
        <v>19111</v>
      </c>
      <c r="B6033" s="42" t="s">
        <v>6405</v>
      </c>
      <c r="C6033" s="43" t="s">
        <v>289</v>
      </c>
      <c r="D6033" s="43" t="s">
        <v>908</v>
      </c>
      <c r="E6033" s="43" t="s">
        <v>454</v>
      </c>
    </row>
    <row r="6034" spans="1:5" x14ac:dyDescent="0.25">
      <c r="A6034" s="41">
        <v>19112</v>
      </c>
      <c r="B6034" s="42" t="s">
        <v>6406</v>
      </c>
      <c r="C6034" s="43" t="s">
        <v>289</v>
      </c>
      <c r="D6034" s="43" t="s">
        <v>908</v>
      </c>
      <c r="E6034" s="43" t="s">
        <v>454</v>
      </c>
    </row>
    <row r="6035" spans="1:5" x14ac:dyDescent="0.25">
      <c r="A6035" s="41">
        <v>19113</v>
      </c>
      <c r="B6035" s="42" t="s">
        <v>6407</v>
      </c>
      <c r="C6035" s="43" t="s">
        <v>289</v>
      </c>
      <c r="D6035" s="43" t="s">
        <v>433</v>
      </c>
      <c r="E6035" s="43" t="s">
        <v>454</v>
      </c>
    </row>
    <row r="6036" spans="1:5" x14ac:dyDescent="0.25">
      <c r="A6036" s="41">
        <v>19114</v>
      </c>
      <c r="B6036" s="42" t="s">
        <v>6408</v>
      </c>
      <c r="C6036" s="43" t="s">
        <v>289</v>
      </c>
      <c r="D6036" s="43" t="s">
        <v>996</v>
      </c>
      <c r="E6036" s="43" t="s">
        <v>230</v>
      </c>
    </row>
    <row r="6037" spans="1:5" x14ac:dyDescent="0.25">
      <c r="A6037" s="41">
        <v>19116</v>
      </c>
      <c r="B6037" s="42" t="s">
        <v>6409</v>
      </c>
      <c r="C6037" s="43" t="s">
        <v>289</v>
      </c>
      <c r="D6037" s="43" t="s">
        <v>3733</v>
      </c>
      <c r="E6037" s="43" t="s">
        <v>454</v>
      </c>
    </row>
    <row r="6038" spans="1:5" x14ac:dyDescent="0.25">
      <c r="A6038" s="41">
        <v>19117</v>
      </c>
      <c r="B6038" s="42" t="s">
        <v>6410</v>
      </c>
      <c r="C6038" s="43" t="s">
        <v>289</v>
      </c>
      <c r="D6038" s="43" t="s">
        <v>3733</v>
      </c>
      <c r="E6038" s="43" t="s">
        <v>454</v>
      </c>
    </row>
    <row r="6039" spans="1:5" x14ac:dyDescent="0.25">
      <c r="A6039" s="41">
        <v>19118</v>
      </c>
      <c r="B6039" s="42" t="s">
        <v>6411</v>
      </c>
      <c r="C6039" s="43" t="s">
        <v>289</v>
      </c>
      <c r="D6039" s="43" t="s">
        <v>327</v>
      </c>
      <c r="E6039" s="43" t="s">
        <v>230</v>
      </c>
    </row>
    <row r="6040" spans="1:5" x14ac:dyDescent="0.25">
      <c r="A6040" s="41">
        <v>19119</v>
      </c>
      <c r="B6040" s="42" t="s">
        <v>6412</v>
      </c>
      <c r="C6040" s="43" t="s">
        <v>289</v>
      </c>
      <c r="D6040" s="43" t="s">
        <v>327</v>
      </c>
      <c r="E6040" s="43" t="s">
        <v>766</v>
      </c>
    </row>
    <row r="6041" spans="1:5" x14ac:dyDescent="0.25">
      <c r="A6041" s="41">
        <v>19120</v>
      </c>
      <c r="B6041" s="42" t="s">
        <v>6413</v>
      </c>
      <c r="C6041" s="43" t="s">
        <v>289</v>
      </c>
      <c r="D6041" s="43" t="s">
        <v>316</v>
      </c>
      <c r="E6041" s="43" t="s">
        <v>531</v>
      </c>
    </row>
    <row r="6042" spans="1:5" x14ac:dyDescent="0.25">
      <c r="A6042" s="41">
        <v>19121</v>
      </c>
      <c r="B6042" s="42" t="s">
        <v>6414</v>
      </c>
      <c r="C6042" s="43" t="s">
        <v>289</v>
      </c>
      <c r="D6042" s="43" t="s">
        <v>440</v>
      </c>
      <c r="E6042" s="43" t="s">
        <v>230</v>
      </c>
    </row>
    <row r="6043" spans="1:5" x14ac:dyDescent="0.25">
      <c r="A6043" s="41">
        <v>19122</v>
      </c>
      <c r="B6043" s="42" t="s">
        <v>6415</v>
      </c>
      <c r="C6043" s="43" t="s">
        <v>289</v>
      </c>
      <c r="D6043" s="43" t="s">
        <v>440</v>
      </c>
      <c r="E6043" s="43" t="s">
        <v>230</v>
      </c>
    </row>
    <row r="6044" spans="1:5" x14ac:dyDescent="0.25">
      <c r="A6044" s="41">
        <v>19123</v>
      </c>
      <c r="B6044" s="42" t="s">
        <v>6416</v>
      </c>
      <c r="C6044" s="43" t="s">
        <v>289</v>
      </c>
      <c r="D6044" s="43" t="s">
        <v>314</v>
      </c>
      <c r="E6044" s="43" t="s">
        <v>769</v>
      </c>
    </row>
    <row r="6045" spans="1:5" x14ac:dyDescent="0.25">
      <c r="A6045" s="41">
        <v>19124</v>
      </c>
      <c r="B6045" s="42" t="s">
        <v>6417</v>
      </c>
      <c r="C6045" s="43" t="s">
        <v>289</v>
      </c>
      <c r="D6045" s="43" t="s">
        <v>1138</v>
      </c>
      <c r="E6045" s="43" t="s">
        <v>336</v>
      </c>
    </row>
    <row r="6046" spans="1:5" x14ac:dyDescent="0.25">
      <c r="A6046" s="41">
        <v>19125</v>
      </c>
      <c r="B6046" s="42" t="s">
        <v>6418</v>
      </c>
      <c r="C6046" s="43" t="s">
        <v>289</v>
      </c>
      <c r="D6046" s="43" t="s">
        <v>453</v>
      </c>
      <c r="E6046" s="43" t="s">
        <v>230</v>
      </c>
    </row>
    <row r="6047" spans="1:5" x14ac:dyDescent="0.25">
      <c r="A6047" s="41">
        <v>19126</v>
      </c>
      <c r="B6047" s="42" t="s">
        <v>6419</v>
      </c>
      <c r="C6047" s="43" t="s">
        <v>289</v>
      </c>
      <c r="D6047" s="43" t="s">
        <v>453</v>
      </c>
      <c r="E6047" s="43" t="s">
        <v>230</v>
      </c>
    </row>
    <row r="6048" spans="1:5" x14ac:dyDescent="0.25">
      <c r="A6048" s="41">
        <v>19131</v>
      </c>
      <c r="B6048" s="42" t="s">
        <v>6420</v>
      </c>
      <c r="C6048" s="43" t="s">
        <v>289</v>
      </c>
      <c r="D6048" s="43" t="s">
        <v>327</v>
      </c>
      <c r="E6048" s="43" t="s">
        <v>336</v>
      </c>
    </row>
    <row r="6049" spans="1:5" x14ac:dyDescent="0.25">
      <c r="A6049" s="41">
        <v>19132</v>
      </c>
      <c r="B6049" s="42" t="s">
        <v>6421</v>
      </c>
      <c r="C6049" s="43" t="s">
        <v>289</v>
      </c>
      <c r="D6049" s="43" t="s">
        <v>1112</v>
      </c>
      <c r="E6049" s="43" t="s">
        <v>472</v>
      </c>
    </row>
    <row r="6050" spans="1:5" x14ac:dyDescent="0.25">
      <c r="A6050" s="41">
        <v>19133</v>
      </c>
      <c r="B6050" s="42" t="s">
        <v>6422</v>
      </c>
      <c r="C6050" s="43" t="s">
        <v>289</v>
      </c>
      <c r="D6050" s="43" t="s">
        <v>996</v>
      </c>
      <c r="E6050" s="43" t="s">
        <v>864</v>
      </c>
    </row>
    <row r="6051" spans="1:5" x14ac:dyDescent="0.25">
      <c r="A6051" s="41">
        <v>19134</v>
      </c>
      <c r="B6051" s="42" t="s">
        <v>6423</v>
      </c>
      <c r="C6051" s="43" t="s">
        <v>289</v>
      </c>
      <c r="D6051" s="43" t="s">
        <v>996</v>
      </c>
      <c r="E6051" s="43" t="s">
        <v>864</v>
      </c>
    </row>
    <row r="6052" spans="1:5" x14ac:dyDescent="0.25">
      <c r="A6052" s="41">
        <v>19135</v>
      </c>
      <c r="B6052" s="42" t="s">
        <v>6424</v>
      </c>
      <c r="C6052" s="43" t="s">
        <v>289</v>
      </c>
      <c r="D6052" s="43" t="s">
        <v>327</v>
      </c>
      <c r="E6052" s="43" t="s">
        <v>454</v>
      </c>
    </row>
    <row r="6053" spans="1:5" x14ac:dyDescent="0.25">
      <c r="A6053" s="41">
        <v>19136</v>
      </c>
      <c r="B6053" s="42" t="s">
        <v>6425</v>
      </c>
      <c r="C6053" s="43" t="s">
        <v>289</v>
      </c>
      <c r="D6053" s="43" t="s">
        <v>327</v>
      </c>
      <c r="E6053" s="43" t="s">
        <v>454</v>
      </c>
    </row>
    <row r="6054" spans="1:5" x14ac:dyDescent="0.25">
      <c r="A6054" s="41">
        <v>19137</v>
      </c>
      <c r="B6054" s="42" t="s">
        <v>6426</v>
      </c>
      <c r="C6054" s="43" t="s">
        <v>289</v>
      </c>
      <c r="D6054" s="43" t="s">
        <v>327</v>
      </c>
      <c r="E6054" s="43" t="s">
        <v>531</v>
      </c>
    </row>
    <row r="6055" spans="1:5" x14ac:dyDescent="0.25">
      <c r="A6055" s="41">
        <v>19138</v>
      </c>
      <c r="B6055" s="42" t="s">
        <v>6427</v>
      </c>
      <c r="C6055" s="43" t="s">
        <v>289</v>
      </c>
      <c r="D6055" s="43" t="s">
        <v>633</v>
      </c>
      <c r="E6055" s="43" t="s">
        <v>464</v>
      </c>
    </row>
    <row r="6056" spans="1:5" x14ac:dyDescent="0.25">
      <c r="A6056" s="41">
        <v>19139</v>
      </c>
      <c r="B6056" s="42" t="s">
        <v>6428</v>
      </c>
      <c r="C6056" s="43" t="s">
        <v>289</v>
      </c>
      <c r="D6056" s="43" t="s">
        <v>633</v>
      </c>
      <c r="E6056" s="43" t="s">
        <v>464</v>
      </c>
    </row>
    <row r="6057" spans="1:5" x14ac:dyDescent="0.25">
      <c r="A6057" s="41">
        <v>19140</v>
      </c>
      <c r="B6057" s="42" t="s">
        <v>6429</v>
      </c>
      <c r="C6057" s="43" t="s">
        <v>289</v>
      </c>
      <c r="D6057" s="43" t="s">
        <v>633</v>
      </c>
      <c r="E6057" s="43" t="s">
        <v>464</v>
      </c>
    </row>
    <row r="6058" spans="1:5" x14ac:dyDescent="0.25">
      <c r="A6058" s="41">
        <v>19141</v>
      </c>
      <c r="B6058" s="42" t="s">
        <v>6430</v>
      </c>
      <c r="C6058" s="43" t="s">
        <v>289</v>
      </c>
      <c r="D6058" s="43" t="s">
        <v>327</v>
      </c>
      <c r="E6058" s="43" t="s">
        <v>769</v>
      </c>
    </row>
    <row r="6059" spans="1:5" x14ac:dyDescent="0.25">
      <c r="A6059" s="41">
        <v>19142</v>
      </c>
      <c r="B6059" s="42" t="s">
        <v>6431</v>
      </c>
      <c r="C6059" s="43" t="s">
        <v>289</v>
      </c>
      <c r="D6059" s="43" t="s">
        <v>499</v>
      </c>
      <c r="E6059" s="43" t="s">
        <v>472</v>
      </c>
    </row>
    <row r="6060" spans="1:5" x14ac:dyDescent="0.25">
      <c r="A6060" s="41">
        <v>19151</v>
      </c>
      <c r="B6060" s="42" t="s">
        <v>6432</v>
      </c>
      <c r="C6060" s="43" t="s">
        <v>289</v>
      </c>
      <c r="D6060" s="43" t="s">
        <v>333</v>
      </c>
      <c r="E6060" s="43" t="s">
        <v>230</v>
      </c>
    </row>
    <row r="6061" spans="1:5" x14ac:dyDescent="0.25">
      <c r="A6061" s="41">
        <v>19161</v>
      </c>
      <c r="B6061" s="42" t="s">
        <v>6433</v>
      </c>
      <c r="C6061" s="43" t="s">
        <v>289</v>
      </c>
      <c r="D6061" s="43" t="s">
        <v>327</v>
      </c>
      <c r="E6061" s="43" t="s">
        <v>230</v>
      </c>
    </row>
    <row r="6062" spans="1:5" x14ac:dyDescent="0.25">
      <c r="A6062" s="41">
        <v>19162</v>
      </c>
      <c r="B6062" s="42" t="s">
        <v>6434</v>
      </c>
      <c r="C6062" s="43" t="s">
        <v>289</v>
      </c>
      <c r="D6062" s="43" t="s">
        <v>996</v>
      </c>
      <c r="E6062" s="43" t="s">
        <v>230</v>
      </c>
    </row>
    <row r="6063" spans="1:5" x14ac:dyDescent="0.25">
      <c r="A6063" s="41">
        <v>19163</v>
      </c>
      <c r="B6063" s="42" t="s">
        <v>6435</v>
      </c>
      <c r="C6063" s="43" t="s">
        <v>289</v>
      </c>
      <c r="D6063" s="43" t="s">
        <v>996</v>
      </c>
      <c r="E6063" s="43" t="s">
        <v>230</v>
      </c>
    </row>
    <row r="6064" spans="1:5" x14ac:dyDescent="0.25">
      <c r="A6064" s="41">
        <v>19164</v>
      </c>
      <c r="B6064" s="42" t="s">
        <v>6436</v>
      </c>
      <c r="C6064" s="43" t="s">
        <v>289</v>
      </c>
      <c r="D6064" s="43" t="s">
        <v>996</v>
      </c>
      <c r="E6064" s="43" t="s">
        <v>230</v>
      </c>
    </row>
    <row r="6065" spans="1:5" x14ac:dyDescent="0.25">
      <c r="A6065" s="41">
        <v>19166</v>
      </c>
      <c r="B6065" s="42" t="s">
        <v>6437</v>
      </c>
      <c r="C6065" s="43" t="s">
        <v>289</v>
      </c>
      <c r="D6065" s="43" t="s">
        <v>996</v>
      </c>
      <c r="E6065" s="43" t="s">
        <v>230</v>
      </c>
    </row>
    <row r="6066" spans="1:5" x14ac:dyDescent="0.25">
      <c r="A6066" s="41">
        <v>19167</v>
      </c>
      <c r="B6066" s="42" t="s">
        <v>6438</v>
      </c>
      <c r="C6066" s="43" t="s">
        <v>289</v>
      </c>
      <c r="D6066" s="43" t="s">
        <v>996</v>
      </c>
      <c r="E6066" s="43" t="s">
        <v>531</v>
      </c>
    </row>
    <row r="6067" spans="1:5" x14ac:dyDescent="0.25">
      <c r="A6067" s="41">
        <v>19168</v>
      </c>
      <c r="B6067" s="42" t="s">
        <v>6439</v>
      </c>
      <c r="C6067" s="43" t="s">
        <v>289</v>
      </c>
      <c r="D6067" s="43" t="s">
        <v>996</v>
      </c>
      <c r="E6067" s="43" t="s">
        <v>531</v>
      </c>
    </row>
    <row r="6068" spans="1:5" x14ac:dyDescent="0.25">
      <c r="A6068" s="41">
        <v>19169</v>
      </c>
      <c r="B6068" s="42" t="s">
        <v>6440</v>
      </c>
      <c r="C6068" s="43" t="s">
        <v>289</v>
      </c>
      <c r="D6068" s="43" t="s">
        <v>996</v>
      </c>
      <c r="E6068" s="43" t="s">
        <v>531</v>
      </c>
    </row>
    <row r="6069" spans="1:5" x14ac:dyDescent="0.25">
      <c r="A6069" s="41">
        <v>19170</v>
      </c>
      <c r="B6069" s="42" t="s">
        <v>6441</v>
      </c>
      <c r="C6069" s="43" t="s">
        <v>289</v>
      </c>
      <c r="D6069" s="43" t="s">
        <v>996</v>
      </c>
      <c r="E6069" s="43" t="s">
        <v>531</v>
      </c>
    </row>
    <row r="6070" spans="1:5" x14ac:dyDescent="0.25">
      <c r="A6070" s="41">
        <v>19171</v>
      </c>
      <c r="B6070" s="42" t="s">
        <v>6442</v>
      </c>
      <c r="C6070" s="43" t="s">
        <v>289</v>
      </c>
      <c r="D6070" s="43" t="s">
        <v>316</v>
      </c>
      <c r="E6070" s="43" t="s">
        <v>230</v>
      </c>
    </row>
    <row r="6071" spans="1:5" x14ac:dyDescent="0.25">
      <c r="A6071" s="41">
        <v>19172</v>
      </c>
      <c r="B6071" s="42" t="s">
        <v>6443</v>
      </c>
      <c r="C6071" s="43" t="s">
        <v>289</v>
      </c>
      <c r="D6071" s="43" t="s">
        <v>633</v>
      </c>
      <c r="E6071" s="43" t="s">
        <v>464</v>
      </c>
    </row>
    <row r="6072" spans="1:5" x14ac:dyDescent="0.25">
      <c r="A6072" s="41">
        <v>19173</v>
      </c>
      <c r="B6072" s="42" t="s">
        <v>6444</v>
      </c>
      <c r="C6072" s="43" t="s">
        <v>289</v>
      </c>
      <c r="D6072" s="43" t="s">
        <v>633</v>
      </c>
      <c r="E6072" s="43" t="s">
        <v>464</v>
      </c>
    </row>
    <row r="6073" spans="1:5" x14ac:dyDescent="0.25">
      <c r="A6073" s="41">
        <v>19174</v>
      </c>
      <c r="B6073" s="42" t="s">
        <v>6445</v>
      </c>
      <c r="C6073" s="43" t="s">
        <v>289</v>
      </c>
      <c r="D6073" s="43" t="s">
        <v>633</v>
      </c>
      <c r="E6073" s="43" t="s">
        <v>464</v>
      </c>
    </row>
    <row r="6074" spans="1:5" x14ac:dyDescent="0.25">
      <c r="A6074" s="41">
        <v>19175</v>
      </c>
      <c r="B6074" s="42" t="s">
        <v>6446</v>
      </c>
      <c r="C6074" s="43" t="s">
        <v>289</v>
      </c>
      <c r="D6074" s="43" t="s">
        <v>633</v>
      </c>
      <c r="E6074" s="43" t="s">
        <v>464</v>
      </c>
    </row>
    <row r="6075" spans="1:5" x14ac:dyDescent="0.25">
      <c r="A6075" s="41">
        <v>19176</v>
      </c>
      <c r="B6075" s="42" t="s">
        <v>6447</v>
      </c>
      <c r="C6075" s="43" t="s">
        <v>289</v>
      </c>
      <c r="D6075" s="43" t="s">
        <v>633</v>
      </c>
      <c r="E6075" s="43" t="s">
        <v>464</v>
      </c>
    </row>
    <row r="6076" spans="1:5" x14ac:dyDescent="0.25">
      <c r="A6076" s="41">
        <v>19177</v>
      </c>
      <c r="B6076" s="42" t="s">
        <v>6448</v>
      </c>
      <c r="C6076" s="43" t="s">
        <v>289</v>
      </c>
      <c r="D6076" s="43" t="s">
        <v>314</v>
      </c>
      <c r="E6076" s="43" t="s">
        <v>230</v>
      </c>
    </row>
    <row r="6077" spans="1:5" x14ac:dyDescent="0.25">
      <c r="A6077" s="41">
        <v>19178</v>
      </c>
      <c r="B6077" s="42" t="s">
        <v>6449</v>
      </c>
      <c r="C6077" s="43" t="s">
        <v>289</v>
      </c>
      <c r="D6077" s="43" t="s">
        <v>314</v>
      </c>
      <c r="E6077" s="43" t="s">
        <v>230</v>
      </c>
    </row>
    <row r="6078" spans="1:5" x14ac:dyDescent="0.25">
      <c r="A6078" s="41">
        <v>19179</v>
      </c>
      <c r="B6078" s="42" t="s">
        <v>6450</v>
      </c>
      <c r="C6078" s="43" t="s">
        <v>289</v>
      </c>
      <c r="D6078" s="43" t="s">
        <v>316</v>
      </c>
      <c r="E6078" s="43" t="s">
        <v>454</v>
      </c>
    </row>
    <row r="6079" spans="1:5" x14ac:dyDescent="0.25">
      <c r="A6079" s="41">
        <v>19180</v>
      </c>
      <c r="B6079" s="42" t="s">
        <v>6451</v>
      </c>
      <c r="C6079" s="43" t="s">
        <v>289</v>
      </c>
      <c r="D6079" s="43" t="s">
        <v>333</v>
      </c>
      <c r="E6079" s="43" t="s">
        <v>230</v>
      </c>
    </row>
    <row r="6080" spans="1:5" x14ac:dyDescent="0.25">
      <c r="A6080" s="41">
        <v>19181</v>
      </c>
      <c r="B6080" s="42" t="s">
        <v>6452</v>
      </c>
      <c r="C6080" s="43" t="s">
        <v>289</v>
      </c>
      <c r="D6080" s="43" t="s">
        <v>316</v>
      </c>
      <c r="E6080" s="43" t="s">
        <v>454</v>
      </c>
    </row>
    <row r="6081" spans="1:5" x14ac:dyDescent="0.25">
      <c r="A6081" s="41">
        <v>19183</v>
      </c>
      <c r="B6081" s="42" t="s">
        <v>6453</v>
      </c>
      <c r="C6081" s="43" t="s">
        <v>289</v>
      </c>
      <c r="D6081" s="43" t="s">
        <v>633</v>
      </c>
      <c r="E6081" s="43" t="s">
        <v>464</v>
      </c>
    </row>
    <row r="6082" spans="1:5" x14ac:dyDescent="0.25">
      <c r="A6082" s="41">
        <v>19185</v>
      </c>
      <c r="B6082" s="42" t="s">
        <v>6454</v>
      </c>
      <c r="C6082" s="43" t="s">
        <v>289</v>
      </c>
      <c r="D6082" s="43" t="s">
        <v>1138</v>
      </c>
      <c r="E6082" s="43" t="s">
        <v>230</v>
      </c>
    </row>
    <row r="6083" spans="1:5" x14ac:dyDescent="0.25">
      <c r="A6083" s="41">
        <v>19186</v>
      </c>
      <c r="B6083" s="42" t="s">
        <v>6455</v>
      </c>
      <c r="C6083" s="43" t="s">
        <v>289</v>
      </c>
      <c r="D6083" s="43" t="s">
        <v>633</v>
      </c>
      <c r="E6083" s="43" t="s">
        <v>230</v>
      </c>
    </row>
    <row r="6084" spans="1:5" x14ac:dyDescent="0.25">
      <c r="A6084" s="41">
        <v>19187</v>
      </c>
      <c r="B6084" s="42" t="s">
        <v>6456</v>
      </c>
      <c r="C6084" s="43" t="s">
        <v>289</v>
      </c>
      <c r="D6084" s="43" t="s">
        <v>1138</v>
      </c>
      <c r="E6084" s="43" t="s">
        <v>230</v>
      </c>
    </row>
    <row r="6085" spans="1:5" x14ac:dyDescent="0.25">
      <c r="A6085" s="41">
        <v>19188</v>
      </c>
      <c r="B6085" s="42" t="s">
        <v>6457</v>
      </c>
      <c r="C6085" s="43" t="s">
        <v>289</v>
      </c>
      <c r="D6085" s="43" t="s">
        <v>1138</v>
      </c>
      <c r="E6085" s="43" t="s">
        <v>230</v>
      </c>
    </row>
    <row r="6086" spans="1:5" x14ac:dyDescent="0.25">
      <c r="A6086" s="41">
        <v>19189</v>
      </c>
      <c r="B6086" s="42" t="s">
        <v>6458</v>
      </c>
      <c r="C6086" s="43" t="s">
        <v>289</v>
      </c>
      <c r="D6086" s="43" t="s">
        <v>633</v>
      </c>
      <c r="E6086" s="43" t="s">
        <v>464</v>
      </c>
    </row>
    <row r="6087" spans="1:5" x14ac:dyDescent="0.25">
      <c r="A6087" s="41">
        <v>19191</v>
      </c>
      <c r="B6087" s="42" t="s">
        <v>6459</v>
      </c>
      <c r="C6087" s="43" t="s">
        <v>289</v>
      </c>
      <c r="D6087" s="43" t="s">
        <v>633</v>
      </c>
      <c r="E6087" s="43" t="s">
        <v>464</v>
      </c>
    </row>
    <row r="6088" spans="1:5" x14ac:dyDescent="0.25">
      <c r="A6088" s="41">
        <v>19192</v>
      </c>
      <c r="B6088" s="42" t="s">
        <v>6460</v>
      </c>
      <c r="C6088" s="43" t="s">
        <v>289</v>
      </c>
      <c r="D6088" s="43" t="s">
        <v>633</v>
      </c>
      <c r="E6088" s="43" t="s">
        <v>464</v>
      </c>
    </row>
    <row r="6089" spans="1:5" x14ac:dyDescent="0.25">
      <c r="A6089" s="41">
        <v>19193</v>
      </c>
      <c r="B6089" s="42" t="s">
        <v>6461</v>
      </c>
      <c r="C6089" s="43" t="s">
        <v>289</v>
      </c>
      <c r="D6089" s="43" t="s">
        <v>327</v>
      </c>
      <c r="E6089" s="43" t="s">
        <v>336</v>
      </c>
    </row>
    <row r="6090" spans="1:5" x14ac:dyDescent="0.25">
      <c r="A6090" s="41">
        <v>19194</v>
      </c>
      <c r="B6090" s="42" t="s">
        <v>6462</v>
      </c>
      <c r="C6090" s="43" t="s">
        <v>289</v>
      </c>
      <c r="D6090" s="43" t="s">
        <v>316</v>
      </c>
      <c r="E6090" s="43" t="s">
        <v>230</v>
      </c>
    </row>
    <row r="6091" spans="1:5" x14ac:dyDescent="0.25">
      <c r="A6091" s="41">
        <v>19195</v>
      </c>
      <c r="B6091" s="42" t="s">
        <v>6463</v>
      </c>
      <c r="C6091" s="43" t="s">
        <v>289</v>
      </c>
      <c r="D6091" s="43" t="s">
        <v>316</v>
      </c>
      <c r="E6091" s="43" t="s">
        <v>230</v>
      </c>
    </row>
    <row r="6092" spans="1:5" x14ac:dyDescent="0.25">
      <c r="A6092" s="41">
        <v>19196</v>
      </c>
      <c r="B6092" s="42" t="s">
        <v>6464</v>
      </c>
      <c r="C6092" s="43" t="s">
        <v>289</v>
      </c>
      <c r="D6092" s="43" t="s">
        <v>633</v>
      </c>
      <c r="E6092" s="43" t="s">
        <v>464</v>
      </c>
    </row>
    <row r="6093" spans="1:5" x14ac:dyDescent="0.25">
      <c r="A6093" s="41">
        <v>19198</v>
      </c>
      <c r="B6093" s="42" t="s">
        <v>6465</v>
      </c>
      <c r="C6093" s="43" t="s">
        <v>289</v>
      </c>
      <c r="D6093" s="43" t="s">
        <v>316</v>
      </c>
      <c r="E6093" s="43" t="s">
        <v>230</v>
      </c>
    </row>
    <row r="6094" spans="1:5" x14ac:dyDescent="0.25">
      <c r="A6094" s="41">
        <v>19199</v>
      </c>
      <c r="B6094" s="42" t="s">
        <v>6466</v>
      </c>
      <c r="C6094" s="43" t="s">
        <v>289</v>
      </c>
      <c r="D6094" s="43" t="s">
        <v>316</v>
      </c>
      <c r="E6094" s="43" t="s">
        <v>230</v>
      </c>
    </row>
    <row r="6095" spans="1:5" x14ac:dyDescent="0.25">
      <c r="A6095" s="41">
        <v>19200</v>
      </c>
      <c r="B6095" s="42" t="s">
        <v>6467</v>
      </c>
      <c r="C6095" s="43" t="s">
        <v>289</v>
      </c>
      <c r="D6095" s="43" t="s">
        <v>316</v>
      </c>
      <c r="E6095" s="43" t="s">
        <v>230</v>
      </c>
    </row>
    <row r="6096" spans="1:5" x14ac:dyDescent="0.25">
      <c r="A6096" s="41">
        <v>19201</v>
      </c>
      <c r="B6096" s="42" t="s">
        <v>6468</v>
      </c>
      <c r="C6096" s="43" t="s">
        <v>289</v>
      </c>
      <c r="D6096" s="43" t="s">
        <v>316</v>
      </c>
      <c r="E6096" s="43" t="s">
        <v>230</v>
      </c>
    </row>
    <row r="6097" spans="1:5" x14ac:dyDescent="0.25">
      <c r="A6097" s="41">
        <v>19202</v>
      </c>
      <c r="B6097" s="42" t="s">
        <v>6469</v>
      </c>
      <c r="C6097" s="43" t="s">
        <v>289</v>
      </c>
      <c r="D6097" s="43" t="s">
        <v>316</v>
      </c>
      <c r="E6097" s="43" t="s">
        <v>354</v>
      </c>
    </row>
    <row r="6098" spans="1:5" x14ac:dyDescent="0.25">
      <c r="A6098" s="41">
        <v>19205</v>
      </c>
      <c r="B6098" s="42" t="s">
        <v>6470</v>
      </c>
      <c r="C6098" s="43" t="s">
        <v>289</v>
      </c>
      <c r="D6098" s="43" t="s">
        <v>633</v>
      </c>
      <c r="E6098" s="43" t="s">
        <v>464</v>
      </c>
    </row>
    <row r="6099" spans="1:5" x14ac:dyDescent="0.25">
      <c r="A6099" s="41">
        <v>19206</v>
      </c>
      <c r="B6099" s="42" t="s">
        <v>6471</v>
      </c>
      <c r="C6099" s="43" t="s">
        <v>289</v>
      </c>
      <c r="D6099" s="43" t="s">
        <v>996</v>
      </c>
      <c r="E6099" s="43" t="s">
        <v>230</v>
      </c>
    </row>
    <row r="6100" spans="1:5" x14ac:dyDescent="0.25">
      <c r="A6100" s="41">
        <v>19207</v>
      </c>
      <c r="B6100" s="42" t="s">
        <v>6472</v>
      </c>
      <c r="C6100" s="43" t="s">
        <v>289</v>
      </c>
      <c r="D6100" s="43" t="s">
        <v>996</v>
      </c>
      <c r="E6100" s="43" t="s">
        <v>230</v>
      </c>
    </row>
    <row r="6101" spans="1:5" x14ac:dyDescent="0.25">
      <c r="A6101" s="41">
        <v>19208</v>
      </c>
      <c r="B6101" s="42" t="s">
        <v>6473</v>
      </c>
      <c r="C6101" s="43" t="s">
        <v>289</v>
      </c>
      <c r="D6101" s="43" t="s">
        <v>996</v>
      </c>
      <c r="E6101" s="43" t="s">
        <v>230</v>
      </c>
    </row>
    <row r="6102" spans="1:5" x14ac:dyDescent="0.25">
      <c r="A6102" s="41">
        <v>19209</v>
      </c>
      <c r="B6102" s="42" t="s">
        <v>6474</v>
      </c>
      <c r="C6102" s="43" t="s">
        <v>289</v>
      </c>
      <c r="D6102" s="43" t="s">
        <v>996</v>
      </c>
      <c r="E6102" s="43" t="s">
        <v>230</v>
      </c>
    </row>
    <row r="6103" spans="1:5" x14ac:dyDescent="0.25">
      <c r="A6103" s="41">
        <v>19210</v>
      </c>
      <c r="B6103" s="42" t="s">
        <v>6475</v>
      </c>
      <c r="C6103" s="43" t="s">
        <v>289</v>
      </c>
      <c r="D6103" s="43" t="s">
        <v>996</v>
      </c>
      <c r="E6103" s="43" t="s">
        <v>230</v>
      </c>
    </row>
    <row r="6104" spans="1:5" x14ac:dyDescent="0.25">
      <c r="A6104" s="41">
        <v>19211</v>
      </c>
      <c r="B6104" s="42" t="s">
        <v>6476</v>
      </c>
      <c r="C6104" s="43" t="s">
        <v>289</v>
      </c>
      <c r="D6104" s="43" t="s">
        <v>1112</v>
      </c>
      <c r="E6104" s="43" t="s">
        <v>464</v>
      </c>
    </row>
    <row r="6105" spans="1:5" x14ac:dyDescent="0.25">
      <c r="A6105" s="41">
        <v>19212</v>
      </c>
      <c r="B6105" s="42" t="s">
        <v>6477</v>
      </c>
      <c r="C6105" s="43" t="s">
        <v>289</v>
      </c>
      <c r="D6105" s="43" t="s">
        <v>1112</v>
      </c>
      <c r="E6105" s="43" t="s">
        <v>464</v>
      </c>
    </row>
    <row r="6106" spans="1:5" x14ac:dyDescent="0.25">
      <c r="A6106" s="41">
        <v>19213</v>
      </c>
      <c r="B6106" s="42" t="s">
        <v>6478</v>
      </c>
      <c r="C6106" s="43" t="s">
        <v>289</v>
      </c>
      <c r="D6106" s="43" t="s">
        <v>1112</v>
      </c>
      <c r="E6106" s="43" t="s">
        <v>464</v>
      </c>
    </row>
    <row r="6107" spans="1:5" x14ac:dyDescent="0.25">
      <c r="A6107" s="41">
        <v>19214</v>
      </c>
      <c r="B6107" s="42" t="s">
        <v>6479</v>
      </c>
      <c r="C6107" s="43" t="s">
        <v>289</v>
      </c>
      <c r="D6107" s="43" t="s">
        <v>1112</v>
      </c>
      <c r="E6107" s="43" t="s">
        <v>464</v>
      </c>
    </row>
    <row r="6108" spans="1:5" x14ac:dyDescent="0.25">
      <c r="A6108" s="41">
        <v>19215</v>
      </c>
      <c r="B6108" s="42" t="s">
        <v>6480</v>
      </c>
      <c r="C6108" s="43" t="s">
        <v>289</v>
      </c>
      <c r="D6108" s="43" t="s">
        <v>1112</v>
      </c>
      <c r="E6108" s="43" t="s">
        <v>464</v>
      </c>
    </row>
    <row r="6109" spans="1:5" x14ac:dyDescent="0.25">
      <c r="A6109" s="41">
        <v>19216</v>
      </c>
      <c r="B6109" s="42" t="s">
        <v>6481</v>
      </c>
      <c r="C6109" s="43" t="s">
        <v>289</v>
      </c>
      <c r="D6109" s="43" t="s">
        <v>1112</v>
      </c>
      <c r="E6109" s="43" t="s">
        <v>230</v>
      </c>
    </row>
    <row r="6110" spans="1:5" x14ac:dyDescent="0.25">
      <c r="A6110" s="41">
        <v>19217</v>
      </c>
      <c r="B6110" s="42" t="s">
        <v>6482</v>
      </c>
      <c r="C6110" s="43" t="s">
        <v>289</v>
      </c>
      <c r="D6110" s="43" t="s">
        <v>1112</v>
      </c>
      <c r="E6110" s="43" t="s">
        <v>230</v>
      </c>
    </row>
    <row r="6111" spans="1:5" x14ac:dyDescent="0.25">
      <c r="A6111" s="41">
        <v>19218</v>
      </c>
      <c r="B6111" s="42" t="s">
        <v>6483</v>
      </c>
      <c r="C6111" s="43" t="s">
        <v>289</v>
      </c>
      <c r="D6111" s="43" t="s">
        <v>1112</v>
      </c>
      <c r="E6111" s="43" t="s">
        <v>230</v>
      </c>
    </row>
    <row r="6112" spans="1:5" x14ac:dyDescent="0.25">
      <c r="A6112" s="41">
        <v>19219</v>
      </c>
      <c r="B6112" s="42" t="s">
        <v>6484</v>
      </c>
      <c r="C6112" s="43" t="s">
        <v>289</v>
      </c>
      <c r="D6112" s="43" t="s">
        <v>1112</v>
      </c>
      <c r="E6112" s="43" t="s">
        <v>230</v>
      </c>
    </row>
    <row r="6113" spans="1:5" x14ac:dyDescent="0.25">
      <c r="A6113" s="41">
        <v>19220</v>
      </c>
      <c r="B6113" s="42" t="s">
        <v>6485</v>
      </c>
      <c r="C6113" s="43" t="s">
        <v>289</v>
      </c>
      <c r="D6113" s="43" t="s">
        <v>1112</v>
      </c>
      <c r="E6113" s="43" t="s">
        <v>230</v>
      </c>
    </row>
    <row r="6114" spans="1:5" x14ac:dyDescent="0.25">
      <c r="A6114" s="41">
        <v>19221</v>
      </c>
      <c r="B6114" s="42" t="s">
        <v>6486</v>
      </c>
      <c r="C6114" s="43" t="s">
        <v>289</v>
      </c>
      <c r="D6114" s="43" t="s">
        <v>1112</v>
      </c>
      <c r="E6114" s="43" t="s">
        <v>230</v>
      </c>
    </row>
    <row r="6115" spans="1:5" x14ac:dyDescent="0.25">
      <c r="A6115" s="41">
        <v>19222</v>
      </c>
      <c r="B6115" s="42" t="s">
        <v>6487</v>
      </c>
      <c r="C6115" s="43" t="s">
        <v>289</v>
      </c>
      <c r="D6115" s="43" t="s">
        <v>1112</v>
      </c>
      <c r="E6115" s="43" t="s">
        <v>464</v>
      </c>
    </row>
    <row r="6116" spans="1:5" x14ac:dyDescent="0.25">
      <c r="A6116" s="41">
        <v>19223</v>
      </c>
      <c r="B6116" s="42" t="s">
        <v>6488</v>
      </c>
      <c r="C6116" s="43" t="s">
        <v>289</v>
      </c>
      <c r="D6116" s="43" t="s">
        <v>1112</v>
      </c>
      <c r="E6116" s="43" t="s">
        <v>230</v>
      </c>
    </row>
    <row r="6117" spans="1:5" x14ac:dyDescent="0.25">
      <c r="A6117" s="41">
        <v>19224</v>
      </c>
      <c r="B6117" s="42" t="s">
        <v>6489</v>
      </c>
      <c r="C6117" s="43" t="s">
        <v>289</v>
      </c>
      <c r="D6117" s="43" t="s">
        <v>1112</v>
      </c>
      <c r="E6117" s="43" t="s">
        <v>230</v>
      </c>
    </row>
    <row r="6118" spans="1:5" x14ac:dyDescent="0.25">
      <c r="A6118" s="41">
        <v>19225</v>
      </c>
      <c r="B6118" s="42" t="s">
        <v>6490</v>
      </c>
      <c r="C6118" s="43" t="s">
        <v>289</v>
      </c>
      <c r="D6118" s="43" t="s">
        <v>1112</v>
      </c>
      <c r="E6118" s="43" t="s">
        <v>230</v>
      </c>
    </row>
    <row r="6119" spans="1:5" x14ac:dyDescent="0.25">
      <c r="A6119" s="41">
        <v>19231</v>
      </c>
      <c r="B6119" s="42" t="s">
        <v>6491</v>
      </c>
      <c r="C6119" s="43" t="s">
        <v>289</v>
      </c>
      <c r="D6119" s="43" t="s">
        <v>633</v>
      </c>
      <c r="E6119" s="43" t="s">
        <v>464</v>
      </c>
    </row>
    <row r="6120" spans="1:5" x14ac:dyDescent="0.25">
      <c r="A6120" s="41">
        <v>19232</v>
      </c>
      <c r="B6120" s="42" t="s">
        <v>6492</v>
      </c>
      <c r="C6120" s="43" t="s">
        <v>289</v>
      </c>
      <c r="D6120" s="43" t="s">
        <v>633</v>
      </c>
      <c r="E6120" s="43" t="s">
        <v>464</v>
      </c>
    </row>
    <row r="6121" spans="1:5" x14ac:dyDescent="0.25">
      <c r="A6121" s="41">
        <v>19233</v>
      </c>
      <c r="B6121" s="42" t="s">
        <v>6493</v>
      </c>
      <c r="C6121" s="43" t="s">
        <v>289</v>
      </c>
      <c r="D6121" s="43" t="s">
        <v>633</v>
      </c>
      <c r="E6121" s="43" t="s">
        <v>464</v>
      </c>
    </row>
    <row r="6122" spans="1:5" x14ac:dyDescent="0.25">
      <c r="A6122" s="41">
        <v>19245</v>
      </c>
      <c r="B6122" s="42" t="s">
        <v>6494</v>
      </c>
      <c r="C6122" s="43" t="s">
        <v>289</v>
      </c>
      <c r="D6122" s="43" t="s">
        <v>1112</v>
      </c>
      <c r="E6122" s="43" t="s">
        <v>464</v>
      </c>
    </row>
    <row r="6123" spans="1:5" x14ac:dyDescent="0.25">
      <c r="A6123" s="41">
        <v>19246</v>
      </c>
      <c r="B6123" s="42" t="s">
        <v>6495</v>
      </c>
      <c r="C6123" s="43" t="s">
        <v>289</v>
      </c>
      <c r="D6123" s="43" t="s">
        <v>633</v>
      </c>
      <c r="E6123" s="43" t="s">
        <v>230</v>
      </c>
    </row>
    <row r="6124" spans="1:5" x14ac:dyDescent="0.25">
      <c r="A6124" s="41">
        <v>19247</v>
      </c>
      <c r="B6124" s="42" t="s">
        <v>6496</v>
      </c>
      <c r="C6124" s="43" t="s">
        <v>289</v>
      </c>
      <c r="D6124" s="43" t="s">
        <v>316</v>
      </c>
      <c r="E6124" s="43" t="s">
        <v>230</v>
      </c>
    </row>
    <row r="6125" spans="1:5" x14ac:dyDescent="0.25">
      <c r="A6125" s="41">
        <v>19248</v>
      </c>
      <c r="B6125" s="42" t="s">
        <v>6497</v>
      </c>
      <c r="C6125" s="43" t="s">
        <v>289</v>
      </c>
      <c r="D6125" s="43" t="s">
        <v>316</v>
      </c>
      <c r="E6125" s="43" t="s">
        <v>230</v>
      </c>
    </row>
    <row r="6126" spans="1:5" x14ac:dyDescent="0.25">
      <c r="A6126" s="41">
        <v>19249</v>
      </c>
      <c r="B6126" s="42" t="s">
        <v>6498</v>
      </c>
      <c r="C6126" s="43" t="s">
        <v>289</v>
      </c>
      <c r="D6126" s="43" t="s">
        <v>316</v>
      </c>
      <c r="E6126" s="43" t="s">
        <v>230</v>
      </c>
    </row>
    <row r="6127" spans="1:5" x14ac:dyDescent="0.25">
      <c r="A6127" s="41">
        <v>19252</v>
      </c>
      <c r="B6127" s="42" t="s">
        <v>6499</v>
      </c>
      <c r="C6127" s="43" t="s">
        <v>289</v>
      </c>
      <c r="D6127" s="43" t="s">
        <v>499</v>
      </c>
      <c r="E6127" s="43" t="s">
        <v>472</v>
      </c>
    </row>
    <row r="6128" spans="1:5" x14ac:dyDescent="0.25">
      <c r="A6128" s="41">
        <v>19254</v>
      </c>
      <c r="B6128" s="42" t="s">
        <v>6500</v>
      </c>
      <c r="C6128" s="43" t="s">
        <v>289</v>
      </c>
      <c r="D6128" s="43" t="s">
        <v>333</v>
      </c>
      <c r="E6128" s="43" t="s">
        <v>373</v>
      </c>
    </row>
    <row r="6129" spans="1:5" x14ac:dyDescent="0.25">
      <c r="A6129" s="41">
        <v>19255</v>
      </c>
      <c r="B6129" s="42" t="s">
        <v>6501</v>
      </c>
      <c r="C6129" s="43" t="s">
        <v>289</v>
      </c>
      <c r="D6129" s="43" t="s">
        <v>333</v>
      </c>
      <c r="E6129" s="43" t="s">
        <v>373</v>
      </c>
    </row>
    <row r="6130" spans="1:5" x14ac:dyDescent="0.25">
      <c r="A6130" s="41">
        <v>19256</v>
      </c>
      <c r="B6130" s="42" t="s">
        <v>6502</v>
      </c>
      <c r="C6130" s="43" t="s">
        <v>289</v>
      </c>
      <c r="D6130" s="43" t="s">
        <v>333</v>
      </c>
      <c r="E6130" s="43" t="s">
        <v>373</v>
      </c>
    </row>
    <row r="6131" spans="1:5" x14ac:dyDescent="0.25">
      <c r="A6131" s="41">
        <v>19257</v>
      </c>
      <c r="B6131" s="42" t="s">
        <v>6503</v>
      </c>
      <c r="C6131" s="43" t="s">
        <v>289</v>
      </c>
      <c r="D6131" s="43" t="s">
        <v>333</v>
      </c>
      <c r="E6131" s="43" t="s">
        <v>230</v>
      </c>
    </row>
    <row r="6132" spans="1:5" x14ac:dyDescent="0.25">
      <c r="A6132" s="41">
        <v>19258</v>
      </c>
      <c r="B6132" s="42" t="s">
        <v>6504</v>
      </c>
      <c r="C6132" s="43" t="s">
        <v>289</v>
      </c>
      <c r="D6132" s="43" t="s">
        <v>333</v>
      </c>
      <c r="E6132" s="43" t="s">
        <v>230</v>
      </c>
    </row>
    <row r="6133" spans="1:5" x14ac:dyDescent="0.25">
      <c r="A6133" s="41">
        <v>19261</v>
      </c>
      <c r="B6133" s="42" t="s">
        <v>6505</v>
      </c>
      <c r="C6133" s="43" t="s">
        <v>289</v>
      </c>
      <c r="D6133" s="43" t="s">
        <v>1112</v>
      </c>
      <c r="E6133" s="43" t="s">
        <v>230</v>
      </c>
    </row>
    <row r="6134" spans="1:5" x14ac:dyDescent="0.25">
      <c r="A6134" s="41">
        <v>19262</v>
      </c>
      <c r="B6134" s="42" t="s">
        <v>6506</v>
      </c>
      <c r="C6134" s="43" t="s">
        <v>289</v>
      </c>
      <c r="D6134" s="43" t="s">
        <v>1112</v>
      </c>
      <c r="E6134" s="43" t="s">
        <v>230</v>
      </c>
    </row>
    <row r="6135" spans="1:5" x14ac:dyDescent="0.25">
      <c r="A6135" s="41">
        <v>19264</v>
      </c>
      <c r="B6135" s="42" t="s">
        <v>6507</v>
      </c>
      <c r="C6135" s="43" t="s">
        <v>289</v>
      </c>
      <c r="D6135" s="43" t="s">
        <v>1112</v>
      </c>
      <c r="E6135" s="43" t="s">
        <v>230</v>
      </c>
    </row>
    <row r="6136" spans="1:5" x14ac:dyDescent="0.25">
      <c r="A6136" s="41">
        <v>19266</v>
      </c>
      <c r="B6136" s="42" t="s">
        <v>6508</v>
      </c>
      <c r="C6136" s="43" t="s">
        <v>289</v>
      </c>
      <c r="D6136" s="43" t="s">
        <v>1112</v>
      </c>
      <c r="E6136" s="43" t="s">
        <v>230</v>
      </c>
    </row>
    <row r="6137" spans="1:5" x14ac:dyDescent="0.25">
      <c r="A6137" s="41">
        <v>19267</v>
      </c>
      <c r="B6137" s="42" t="s">
        <v>6509</v>
      </c>
      <c r="C6137" s="43" t="s">
        <v>289</v>
      </c>
      <c r="D6137" s="43" t="s">
        <v>333</v>
      </c>
      <c r="E6137" s="43" t="s">
        <v>230</v>
      </c>
    </row>
    <row r="6138" spans="1:5" x14ac:dyDescent="0.25">
      <c r="A6138" s="41">
        <v>19270</v>
      </c>
      <c r="B6138" s="42" t="s">
        <v>6510</v>
      </c>
      <c r="C6138" s="43" t="s">
        <v>289</v>
      </c>
      <c r="D6138" s="43" t="s">
        <v>314</v>
      </c>
      <c r="E6138" s="43" t="s">
        <v>230</v>
      </c>
    </row>
    <row r="6139" spans="1:5" x14ac:dyDescent="0.25">
      <c r="A6139" s="41">
        <v>19271</v>
      </c>
      <c r="B6139" s="42" t="s">
        <v>6511</v>
      </c>
      <c r="C6139" s="43" t="s">
        <v>289</v>
      </c>
      <c r="D6139" s="43" t="s">
        <v>474</v>
      </c>
      <c r="E6139" s="43" t="s">
        <v>230</v>
      </c>
    </row>
    <row r="6140" spans="1:5" x14ac:dyDescent="0.25">
      <c r="A6140" s="41">
        <v>19272</v>
      </c>
      <c r="B6140" s="42" t="s">
        <v>6512</v>
      </c>
      <c r="C6140" s="43" t="s">
        <v>289</v>
      </c>
      <c r="D6140" s="43" t="s">
        <v>474</v>
      </c>
      <c r="E6140" s="43" t="s">
        <v>230</v>
      </c>
    </row>
    <row r="6141" spans="1:5" x14ac:dyDescent="0.25">
      <c r="A6141" s="41">
        <v>19273</v>
      </c>
      <c r="B6141" s="42" t="s">
        <v>6513</v>
      </c>
      <c r="C6141" s="43" t="s">
        <v>289</v>
      </c>
      <c r="D6141" s="43" t="s">
        <v>474</v>
      </c>
      <c r="E6141" s="43" t="s">
        <v>230</v>
      </c>
    </row>
    <row r="6142" spans="1:5" x14ac:dyDescent="0.25">
      <c r="A6142" s="41">
        <v>19275</v>
      </c>
      <c r="B6142" s="42" t="s">
        <v>6514</v>
      </c>
      <c r="C6142" s="43" t="s">
        <v>289</v>
      </c>
      <c r="D6142" s="43" t="s">
        <v>633</v>
      </c>
      <c r="E6142" s="43" t="s">
        <v>464</v>
      </c>
    </row>
    <row r="6143" spans="1:5" x14ac:dyDescent="0.25">
      <c r="A6143" s="41">
        <v>19276</v>
      </c>
      <c r="B6143" s="42" t="s">
        <v>6515</v>
      </c>
      <c r="C6143" s="43" t="s">
        <v>289</v>
      </c>
      <c r="D6143" s="43" t="s">
        <v>1112</v>
      </c>
      <c r="E6143" s="43" t="s">
        <v>230</v>
      </c>
    </row>
    <row r="6144" spans="1:5" x14ac:dyDescent="0.25">
      <c r="A6144" s="41">
        <v>19277</v>
      </c>
      <c r="B6144" s="42" t="s">
        <v>6516</v>
      </c>
      <c r="C6144" s="43" t="s">
        <v>289</v>
      </c>
      <c r="D6144" s="43" t="s">
        <v>1112</v>
      </c>
      <c r="E6144" s="43" t="s">
        <v>230</v>
      </c>
    </row>
    <row r="6145" spans="1:5" x14ac:dyDescent="0.25">
      <c r="A6145" s="41">
        <v>19278</v>
      </c>
      <c r="B6145" s="42" t="s">
        <v>6517</v>
      </c>
      <c r="C6145" s="43" t="s">
        <v>289</v>
      </c>
      <c r="D6145" s="43" t="s">
        <v>633</v>
      </c>
      <c r="E6145" s="43" t="s">
        <v>464</v>
      </c>
    </row>
    <row r="6146" spans="1:5" x14ac:dyDescent="0.25">
      <c r="A6146" s="41">
        <v>19279</v>
      </c>
      <c r="B6146" s="42" t="s">
        <v>6518</v>
      </c>
      <c r="C6146" s="43" t="s">
        <v>289</v>
      </c>
      <c r="D6146" s="43" t="s">
        <v>3754</v>
      </c>
      <c r="E6146" s="43" t="s">
        <v>769</v>
      </c>
    </row>
    <row r="6147" spans="1:5" x14ac:dyDescent="0.25">
      <c r="A6147" s="41">
        <v>19282</v>
      </c>
      <c r="B6147" s="42" t="s">
        <v>6519</v>
      </c>
      <c r="C6147" s="43" t="s">
        <v>289</v>
      </c>
      <c r="D6147" s="43" t="s">
        <v>314</v>
      </c>
      <c r="E6147" s="43" t="s">
        <v>230</v>
      </c>
    </row>
    <row r="6148" spans="1:5" x14ac:dyDescent="0.25">
      <c r="A6148" s="41">
        <v>19283</v>
      </c>
      <c r="B6148" s="42" t="s">
        <v>6520</v>
      </c>
      <c r="C6148" s="43" t="s">
        <v>289</v>
      </c>
      <c r="D6148" s="43" t="s">
        <v>314</v>
      </c>
      <c r="E6148" s="43" t="s">
        <v>230</v>
      </c>
    </row>
    <row r="6149" spans="1:5" x14ac:dyDescent="0.25">
      <c r="A6149" s="41">
        <v>19284</v>
      </c>
      <c r="B6149" s="42" t="s">
        <v>6521</v>
      </c>
      <c r="C6149" s="43" t="s">
        <v>289</v>
      </c>
      <c r="D6149" s="43" t="s">
        <v>314</v>
      </c>
      <c r="E6149" s="43" t="s">
        <v>230</v>
      </c>
    </row>
    <row r="6150" spans="1:5" x14ac:dyDescent="0.25">
      <c r="A6150" s="41">
        <v>19285</v>
      </c>
      <c r="B6150" s="42" t="s">
        <v>6522</v>
      </c>
      <c r="C6150" s="43" t="s">
        <v>289</v>
      </c>
      <c r="D6150" s="43" t="s">
        <v>314</v>
      </c>
      <c r="E6150" s="43" t="s">
        <v>230</v>
      </c>
    </row>
    <row r="6151" spans="1:5" x14ac:dyDescent="0.25">
      <c r="A6151" s="41">
        <v>19286</v>
      </c>
      <c r="B6151" s="42" t="s">
        <v>6523</v>
      </c>
      <c r="C6151" s="43" t="s">
        <v>289</v>
      </c>
      <c r="D6151" s="43" t="s">
        <v>316</v>
      </c>
      <c r="E6151" s="43" t="s">
        <v>230</v>
      </c>
    </row>
    <row r="6152" spans="1:5" x14ac:dyDescent="0.25">
      <c r="A6152" s="41">
        <v>19287</v>
      </c>
      <c r="B6152" s="42" t="s">
        <v>6524</v>
      </c>
      <c r="C6152" s="43" t="s">
        <v>289</v>
      </c>
      <c r="D6152" s="43" t="s">
        <v>316</v>
      </c>
      <c r="E6152" s="43" t="s">
        <v>864</v>
      </c>
    </row>
    <row r="6153" spans="1:5" x14ac:dyDescent="0.25">
      <c r="A6153" s="41">
        <v>19288</v>
      </c>
      <c r="B6153" s="42" t="s">
        <v>6525</v>
      </c>
      <c r="C6153" s="43" t="s">
        <v>289</v>
      </c>
      <c r="D6153" s="43" t="s">
        <v>316</v>
      </c>
      <c r="E6153" s="43" t="s">
        <v>3254</v>
      </c>
    </row>
    <row r="6154" spans="1:5" x14ac:dyDescent="0.25">
      <c r="A6154" s="41">
        <v>19289</v>
      </c>
      <c r="B6154" s="42" t="s">
        <v>6526</v>
      </c>
      <c r="C6154" s="43" t="s">
        <v>289</v>
      </c>
      <c r="D6154" s="43" t="s">
        <v>327</v>
      </c>
      <c r="E6154" s="43" t="s">
        <v>230</v>
      </c>
    </row>
    <row r="6155" spans="1:5" x14ac:dyDescent="0.25">
      <c r="A6155" s="41">
        <v>19290</v>
      </c>
      <c r="B6155" s="42" t="s">
        <v>6527</v>
      </c>
      <c r="C6155" s="43" t="s">
        <v>289</v>
      </c>
      <c r="D6155" s="43" t="s">
        <v>3754</v>
      </c>
      <c r="E6155" s="43" t="s">
        <v>769</v>
      </c>
    </row>
    <row r="6156" spans="1:5" x14ac:dyDescent="0.25">
      <c r="A6156" s="41">
        <v>19291</v>
      </c>
      <c r="B6156" s="42" t="s">
        <v>6528</v>
      </c>
      <c r="C6156" s="43" t="s">
        <v>289</v>
      </c>
      <c r="D6156" s="43" t="s">
        <v>316</v>
      </c>
      <c r="E6156" s="43" t="s">
        <v>230</v>
      </c>
    </row>
    <row r="6157" spans="1:5" x14ac:dyDescent="0.25">
      <c r="A6157" s="41">
        <v>19292</v>
      </c>
      <c r="B6157" s="42" t="s">
        <v>6529</v>
      </c>
      <c r="C6157" s="43" t="s">
        <v>289</v>
      </c>
      <c r="D6157" s="43" t="s">
        <v>433</v>
      </c>
      <c r="E6157" s="43" t="s">
        <v>454</v>
      </c>
    </row>
    <row r="6158" spans="1:5" x14ac:dyDescent="0.25">
      <c r="A6158" s="41">
        <v>19295</v>
      </c>
      <c r="B6158" s="42" t="s">
        <v>6530</v>
      </c>
      <c r="C6158" s="43" t="s">
        <v>289</v>
      </c>
      <c r="D6158" s="43" t="s">
        <v>433</v>
      </c>
      <c r="E6158" s="43" t="s">
        <v>454</v>
      </c>
    </row>
    <row r="6159" spans="1:5" x14ac:dyDescent="0.25">
      <c r="A6159" s="41">
        <v>19296</v>
      </c>
      <c r="B6159" s="42" t="s">
        <v>6531</v>
      </c>
      <c r="C6159" s="43" t="s">
        <v>289</v>
      </c>
      <c r="D6159" s="43" t="s">
        <v>1141</v>
      </c>
      <c r="E6159" s="43" t="s">
        <v>230</v>
      </c>
    </row>
    <row r="6160" spans="1:5" x14ac:dyDescent="0.25">
      <c r="A6160" s="41">
        <v>19297</v>
      </c>
      <c r="B6160" s="42" t="s">
        <v>6532</v>
      </c>
      <c r="C6160" s="43" t="s">
        <v>289</v>
      </c>
      <c r="D6160" s="43" t="s">
        <v>1141</v>
      </c>
      <c r="E6160" s="43" t="s">
        <v>230</v>
      </c>
    </row>
    <row r="6161" spans="1:5" x14ac:dyDescent="0.25">
      <c r="A6161" s="41">
        <v>19298</v>
      </c>
      <c r="B6161" s="42" t="s">
        <v>6533</v>
      </c>
      <c r="C6161" s="43" t="s">
        <v>289</v>
      </c>
      <c r="D6161" s="43" t="s">
        <v>1141</v>
      </c>
      <c r="E6161" s="43" t="s">
        <v>230</v>
      </c>
    </row>
    <row r="6162" spans="1:5" x14ac:dyDescent="0.25">
      <c r="A6162" s="41">
        <v>19299</v>
      </c>
      <c r="B6162" s="42" t="s">
        <v>6534</v>
      </c>
      <c r="C6162" s="43" t="s">
        <v>289</v>
      </c>
      <c r="D6162" s="43" t="s">
        <v>1141</v>
      </c>
      <c r="E6162" s="43" t="s">
        <v>230</v>
      </c>
    </row>
    <row r="6163" spans="1:5" x14ac:dyDescent="0.25">
      <c r="A6163" s="41">
        <v>19300</v>
      </c>
      <c r="B6163" s="42" t="s">
        <v>6535</v>
      </c>
      <c r="C6163" s="43" t="s">
        <v>289</v>
      </c>
      <c r="D6163" s="43" t="s">
        <v>1141</v>
      </c>
      <c r="E6163" s="43" t="s">
        <v>230</v>
      </c>
    </row>
    <row r="6164" spans="1:5" x14ac:dyDescent="0.25">
      <c r="A6164" s="41">
        <v>19301</v>
      </c>
      <c r="B6164" s="42" t="s">
        <v>6536</v>
      </c>
      <c r="C6164" s="43" t="s">
        <v>289</v>
      </c>
      <c r="D6164" s="43" t="s">
        <v>314</v>
      </c>
      <c r="E6164" s="43" t="s">
        <v>230</v>
      </c>
    </row>
    <row r="6165" spans="1:5" x14ac:dyDescent="0.25">
      <c r="A6165" s="41">
        <v>19302</v>
      </c>
      <c r="B6165" s="42" t="s">
        <v>6537</v>
      </c>
      <c r="C6165" s="43" t="s">
        <v>289</v>
      </c>
      <c r="D6165" s="43" t="s">
        <v>1290</v>
      </c>
      <c r="E6165" s="43" t="s">
        <v>454</v>
      </c>
    </row>
    <row r="6166" spans="1:5" x14ac:dyDescent="0.25">
      <c r="A6166" s="41">
        <v>19303</v>
      </c>
      <c r="B6166" s="42" t="s">
        <v>6538</v>
      </c>
      <c r="C6166" s="43" t="s">
        <v>289</v>
      </c>
      <c r="D6166" s="43" t="s">
        <v>1290</v>
      </c>
      <c r="E6166" s="43" t="s">
        <v>454</v>
      </c>
    </row>
    <row r="6167" spans="1:5" x14ac:dyDescent="0.25">
      <c r="A6167" s="41">
        <v>19304</v>
      </c>
      <c r="B6167" s="42" t="s">
        <v>6539</v>
      </c>
      <c r="C6167" s="43" t="s">
        <v>289</v>
      </c>
      <c r="D6167" s="43" t="s">
        <v>433</v>
      </c>
      <c r="E6167" s="43" t="s">
        <v>454</v>
      </c>
    </row>
    <row r="6168" spans="1:5" x14ac:dyDescent="0.25">
      <c r="A6168" s="41">
        <v>19305</v>
      </c>
      <c r="B6168" s="42" t="s">
        <v>6540</v>
      </c>
      <c r="C6168" s="43" t="s">
        <v>289</v>
      </c>
      <c r="D6168" s="43" t="s">
        <v>633</v>
      </c>
      <c r="E6168" s="43" t="s">
        <v>464</v>
      </c>
    </row>
    <row r="6169" spans="1:5" x14ac:dyDescent="0.25">
      <c r="A6169" s="41">
        <v>19306</v>
      </c>
      <c r="B6169" s="42" t="s">
        <v>6541</v>
      </c>
      <c r="C6169" s="43" t="s">
        <v>289</v>
      </c>
      <c r="D6169" s="43" t="s">
        <v>1112</v>
      </c>
      <c r="E6169" s="43" t="s">
        <v>230</v>
      </c>
    </row>
    <row r="6170" spans="1:5" x14ac:dyDescent="0.25">
      <c r="A6170" s="41">
        <v>19308</v>
      </c>
      <c r="B6170" s="42" t="s">
        <v>6542</v>
      </c>
      <c r="C6170" s="43" t="s">
        <v>289</v>
      </c>
      <c r="D6170" s="43" t="s">
        <v>1138</v>
      </c>
      <c r="E6170" s="43" t="s">
        <v>230</v>
      </c>
    </row>
    <row r="6171" spans="1:5" x14ac:dyDescent="0.25">
      <c r="A6171" s="41">
        <v>19309</v>
      </c>
      <c r="B6171" s="42" t="s">
        <v>6543</v>
      </c>
      <c r="C6171" s="43" t="s">
        <v>289</v>
      </c>
      <c r="D6171" s="43" t="s">
        <v>633</v>
      </c>
      <c r="E6171" s="43" t="s">
        <v>464</v>
      </c>
    </row>
    <row r="6172" spans="1:5" x14ac:dyDescent="0.25">
      <c r="A6172" s="41">
        <v>19310</v>
      </c>
      <c r="B6172" s="42" t="s">
        <v>6544</v>
      </c>
      <c r="C6172" s="43" t="s">
        <v>289</v>
      </c>
      <c r="D6172" s="43" t="s">
        <v>633</v>
      </c>
      <c r="E6172" s="43" t="s">
        <v>464</v>
      </c>
    </row>
    <row r="6173" spans="1:5" x14ac:dyDescent="0.25">
      <c r="A6173" s="41">
        <v>19311</v>
      </c>
      <c r="B6173" s="42" t="s">
        <v>6545</v>
      </c>
      <c r="C6173" s="43" t="s">
        <v>289</v>
      </c>
      <c r="D6173" s="43" t="s">
        <v>996</v>
      </c>
      <c r="E6173" s="43" t="s">
        <v>230</v>
      </c>
    </row>
    <row r="6174" spans="1:5" x14ac:dyDescent="0.25">
      <c r="A6174" s="41">
        <v>19312</v>
      </c>
      <c r="B6174" s="42" t="s">
        <v>6546</v>
      </c>
      <c r="C6174" s="43" t="s">
        <v>289</v>
      </c>
      <c r="D6174" s="43" t="s">
        <v>440</v>
      </c>
      <c r="E6174" s="43" t="s">
        <v>230</v>
      </c>
    </row>
    <row r="6175" spans="1:5" x14ac:dyDescent="0.25">
      <c r="A6175" s="41">
        <v>19313</v>
      </c>
      <c r="B6175" s="42" t="s">
        <v>6547</v>
      </c>
      <c r="C6175" s="43" t="s">
        <v>289</v>
      </c>
      <c r="D6175" s="43" t="s">
        <v>440</v>
      </c>
      <c r="E6175" s="43" t="s">
        <v>230</v>
      </c>
    </row>
    <row r="6176" spans="1:5" x14ac:dyDescent="0.25">
      <c r="A6176" s="41">
        <v>19314</v>
      </c>
      <c r="B6176" s="42" t="s">
        <v>6548</v>
      </c>
      <c r="C6176" s="43" t="s">
        <v>289</v>
      </c>
      <c r="D6176" s="43" t="s">
        <v>1138</v>
      </c>
      <c r="E6176" s="43" t="s">
        <v>464</v>
      </c>
    </row>
    <row r="6177" spans="1:5" x14ac:dyDescent="0.25">
      <c r="A6177" s="41">
        <v>19321</v>
      </c>
      <c r="B6177" s="42" t="s">
        <v>6549</v>
      </c>
      <c r="C6177" s="43" t="s">
        <v>289</v>
      </c>
      <c r="D6177" s="43" t="s">
        <v>633</v>
      </c>
      <c r="E6177" s="43" t="s">
        <v>464</v>
      </c>
    </row>
    <row r="6178" spans="1:5" x14ac:dyDescent="0.25">
      <c r="A6178" s="41">
        <v>19323</v>
      </c>
      <c r="B6178" s="42" t="s">
        <v>6550</v>
      </c>
      <c r="C6178" s="43" t="s">
        <v>289</v>
      </c>
      <c r="D6178" s="43" t="s">
        <v>316</v>
      </c>
      <c r="E6178" s="43" t="s">
        <v>230</v>
      </c>
    </row>
    <row r="6179" spans="1:5" x14ac:dyDescent="0.25">
      <c r="A6179" s="41">
        <v>19324</v>
      </c>
      <c r="B6179" s="42" t="s">
        <v>6551</v>
      </c>
      <c r="C6179" s="43" t="s">
        <v>289</v>
      </c>
      <c r="D6179" s="43" t="s">
        <v>316</v>
      </c>
      <c r="E6179" s="43" t="s">
        <v>230</v>
      </c>
    </row>
    <row r="6180" spans="1:5" x14ac:dyDescent="0.25">
      <c r="A6180" s="41">
        <v>19325</v>
      </c>
      <c r="B6180" s="42" t="s">
        <v>6552</v>
      </c>
      <c r="C6180" s="43" t="s">
        <v>289</v>
      </c>
      <c r="D6180" s="43" t="s">
        <v>316</v>
      </c>
      <c r="E6180" s="43" t="s">
        <v>230</v>
      </c>
    </row>
    <row r="6181" spans="1:5" x14ac:dyDescent="0.25">
      <c r="A6181" s="41">
        <v>19326</v>
      </c>
      <c r="B6181" s="42" t="s">
        <v>6553</v>
      </c>
      <c r="C6181" s="43" t="s">
        <v>289</v>
      </c>
      <c r="D6181" s="43" t="s">
        <v>316</v>
      </c>
      <c r="E6181" s="43" t="s">
        <v>230</v>
      </c>
    </row>
    <row r="6182" spans="1:5" x14ac:dyDescent="0.25">
      <c r="A6182" s="41">
        <v>19327</v>
      </c>
      <c r="B6182" s="42" t="s">
        <v>6554</v>
      </c>
      <c r="C6182" s="43" t="s">
        <v>289</v>
      </c>
      <c r="D6182" s="43" t="s">
        <v>633</v>
      </c>
      <c r="E6182" s="43" t="s">
        <v>464</v>
      </c>
    </row>
    <row r="6183" spans="1:5" x14ac:dyDescent="0.25">
      <c r="A6183" s="41">
        <v>19328</v>
      </c>
      <c r="B6183" s="42" t="s">
        <v>6555</v>
      </c>
      <c r="C6183" s="43" t="s">
        <v>289</v>
      </c>
      <c r="D6183" s="43" t="s">
        <v>694</v>
      </c>
      <c r="E6183" s="43" t="s">
        <v>230</v>
      </c>
    </row>
    <row r="6184" spans="1:5" x14ac:dyDescent="0.25">
      <c r="A6184" s="41">
        <v>19329</v>
      </c>
      <c r="B6184" s="42" t="s">
        <v>6556</v>
      </c>
      <c r="C6184" s="43" t="s">
        <v>289</v>
      </c>
      <c r="D6184" s="43" t="s">
        <v>694</v>
      </c>
      <c r="E6184" s="43" t="s">
        <v>464</v>
      </c>
    </row>
    <row r="6185" spans="1:5" x14ac:dyDescent="0.25">
      <c r="A6185" s="41">
        <v>19330</v>
      </c>
      <c r="B6185" s="42" t="s">
        <v>6557</v>
      </c>
      <c r="C6185" s="43" t="s">
        <v>289</v>
      </c>
      <c r="D6185" s="43" t="s">
        <v>694</v>
      </c>
      <c r="E6185" s="43" t="s">
        <v>464</v>
      </c>
    </row>
    <row r="6186" spans="1:5" x14ac:dyDescent="0.25">
      <c r="A6186" s="41">
        <v>19331</v>
      </c>
      <c r="B6186" s="42" t="s">
        <v>6558</v>
      </c>
      <c r="C6186" s="43" t="s">
        <v>289</v>
      </c>
      <c r="D6186" s="43" t="s">
        <v>694</v>
      </c>
      <c r="E6186" s="43" t="s">
        <v>230</v>
      </c>
    </row>
    <row r="6187" spans="1:5" x14ac:dyDescent="0.25">
      <c r="A6187" s="41">
        <v>19332</v>
      </c>
      <c r="B6187" s="42" t="s">
        <v>6559</v>
      </c>
      <c r="C6187" s="43" t="s">
        <v>289</v>
      </c>
      <c r="D6187" s="43" t="s">
        <v>633</v>
      </c>
      <c r="E6187" s="43" t="s">
        <v>230</v>
      </c>
    </row>
    <row r="6188" spans="1:5" x14ac:dyDescent="0.25">
      <c r="A6188" s="41">
        <v>19333</v>
      </c>
      <c r="B6188" s="42" t="s">
        <v>6560</v>
      </c>
      <c r="C6188" s="43" t="s">
        <v>289</v>
      </c>
      <c r="D6188" s="43" t="s">
        <v>316</v>
      </c>
      <c r="E6188" s="43" t="s">
        <v>230</v>
      </c>
    </row>
    <row r="6189" spans="1:5" x14ac:dyDescent="0.25">
      <c r="A6189" s="41">
        <v>19334</v>
      </c>
      <c r="B6189" s="42" t="s">
        <v>6561</v>
      </c>
      <c r="C6189" s="43" t="s">
        <v>289</v>
      </c>
      <c r="D6189" s="43" t="s">
        <v>1112</v>
      </c>
      <c r="E6189" s="43" t="s">
        <v>230</v>
      </c>
    </row>
    <row r="6190" spans="1:5" x14ac:dyDescent="0.25">
      <c r="A6190" s="41">
        <v>19335</v>
      </c>
      <c r="B6190" s="42" t="s">
        <v>6562</v>
      </c>
      <c r="C6190" s="43" t="s">
        <v>289</v>
      </c>
      <c r="D6190" s="43" t="s">
        <v>1138</v>
      </c>
      <c r="E6190" s="43" t="s">
        <v>230</v>
      </c>
    </row>
    <row r="6191" spans="1:5" x14ac:dyDescent="0.25">
      <c r="A6191" s="41">
        <v>19336</v>
      </c>
      <c r="B6191" s="42" t="s">
        <v>6563</v>
      </c>
      <c r="C6191" s="43" t="s">
        <v>289</v>
      </c>
      <c r="D6191" s="43" t="s">
        <v>1041</v>
      </c>
      <c r="E6191" s="43" t="s">
        <v>454</v>
      </c>
    </row>
    <row r="6192" spans="1:5" x14ac:dyDescent="0.25">
      <c r="A6192" s="41">
        <v>19337</v>
      </c>
      <c r="B6192" s="42" t="s">
        <v>6564</v>
      </c>
      <c r="C6192" s="43" t="s">
        <v>289</v>
      </c>
      <c r="D6192" s="43" t="s">
        <v>1041</v>
      </c>
      <c r="E6192" s="43" t="s">
        <v>454</v>
      </c>
    </row>
    <row r="6193" spans="1:5" x14ac:dyDescent="0.25">
      <c r="A6193" s="41">
        <v>19338</v>
      </c>
      <c r="B6193" s="42" t="s">
        <v>6565</v>
      </c>
      <c r="C6193" s="43" t="s">
        <v>289</v>
      </c>
      <c r="D6193" s="43" t="s">
        <v>1041</v>
      </c>
      <c r="E6193" s="43" t="s">
        <v>454</v>
      </c>
    </row>
    <row r="6194" spans="1:5" x14ac:dyDescent="0.25">
      <c r="A6194" s="41">
        <v>19339</v>
      </c>
      <c r="B6194" s="42" t="s">
        <v>6566</v>
      </c>
      <c r="C6194" s="43" t="s">
        <v>289</v>
      </c>
      <c r="D6194" s="43" t="s">
        <v>1041</v>
      </c>
      <c r="E6194" s="43" t="s">
        <v>454</v>
      </c>
    </row>
    <row r="6195" spans="1:5" x14ac:dyDescent="0.25">
      <c r="A6195" s="41">
        <v>19340</v>
      </c>
      <c r="B6195" s="42" t="s">
        <v>6567</v>
      </c>
      <c r="C6195" s="43" t="s">
        <v>289</v>
      </c>
      <c r="D6195" s="43" t="s">
        <v>1041</v>
      </c>
      <c r="E6195" s="43" t="s">
        <v>454</v>
      </c>
    </row>
    <row r="6196" spans="1:5" x14ac:dyDescent="0.25">
      <c r="A6196" s="41">
        <v>19341</v>
      </c>
      <c r="B6196" s="42" t="s">
        <v>6568</v>
      </c>
      <c r="C6196" s="43" t="s">
        <v>289</v>
      </c>
      <c r="D6196" s="43" t="s">
        <v>4329</v>
      </c>
      <c r="E6196" s="43" t="s">
        <v>230</v>
      </c>
    </row>
    <row r="6197" spans="1:5" x14ac:dyDescent="0.25">
      <c r="A6197" s="41">
        <v>19342</v>
      </c>
      <c r="B6197" s="42" t="s">
        <v>6569</v>
      </c>
      <c r="C6197" s="43" t="s">
        <v>289</v>
      </c>
      <c r="D6197" s="43" t="s">
        <v>6277</v>
      </c>
      <c r="E6197" s="43" t="s">
        <v>230</v>
      </c>
    </row>
    <row r="6198" spans="1:5" x14ac:dyDescent="0.25">
      <c r="A6198" s="41">
        <v>19343</v>
      </c>
      <c r="B6198" s="42" t="s">
        <v>6570</v>
      </c>
      <c r="C6198" s="43" t="s">
        <v>289</v>
      </c>
      <c r="D6198" s="43" t="s">
        <v>633</v>
      </c>
      <c r="E6198" s="43" t="s">
        <v>464</v>
      </c>
    </row>
    <row r="6199" spans="1:5" x14ac:dyDescent="0.25">
      <c r="A6199" s="41">
        <v>19344</v>
      </c>
      <c r="B6199" s="42" t="s">
        <v>6571</v>
      </c>
      <c r="C6199" s="43" t="s">
        <v>289</v>
      </c>
      <c r="D6199" s="43" t="s">
        <v>316</v>
      </c>
      <c r="E6199" s="43" t="s">
        <v>464</v>
      </c>
    </row>
    <row r="6200" spans="1:5" x14ac:dyDescent="0.25">
      <c r="A6200" s="41">
        <v>19345</v>
      </c>
      <c r="B6200" s="42" t="s">
        <v>6572</v>
      </c>
      <c r="C6200" s="43" t="s">
        <v>289</v>
      </c>
      <c r="D6200" s="43" t="s">
        <v>316</v>
      </c>
      <c r="E6200" s="43" t="s">
        <v>464</v>
      </c>
    </row>
    <row r="6201" spans="1:5" x14ac:dyDescent="0.25">
      <c r="A6201" s="41">
        <v>19346</v>
      </c>
      <c r="B6201" s="42" t="s">
        <v>6573</v>
      </c>
      <c r="C6201" s="43" t="s">
        <v>289</v>
      </c>
      <c r="D6201" s="43" t="s">
        <v>316</v>
      </c>
      <c r="E6201" s="43" t="s">
        <v>464</v>
      </c>
    </row>
    <row r="6202" spans="1:5" x14ac:dyDescent="0.25">
      <c r="A6202" s="41">
        <v>19347</v>
      </c>
      <c r="B6202" s="42" t="s">
        <v>6574</v>
      </c>
      <c r="C6202" s="43" t="s">
        <v>289</v>
      </c>
      <c r="D6202" s="43" t="s">
        <v>316</v>
      </c>
      <c r="E6202" s="43" t="s">
        <v>464</v>
      </c>
    </row>
    <row r="6203" spans="1:5" x14ac:dyDescent="0.25">
      <c r="A6203" s="41">
        <v>19348</v>
      </c>
      <c r="B6203" s="42" t="s">
        <v>6575</v>
      </c>
      <c r="C6203" s="43" t="s">
        <v>289</v>
      </c>
      <c r="D6203" s="43" t="s">
        <v>316</v>
      </c>
      <c r="E6203" s="43" t="s">
        <v>464</v>
      </c>
    </row>
    <row r="6204" spans="1:5" x14ac:dyDescent="0.25">
      <c r="A6204" s="41">
        <v>19349</v>
      </c>
      <c r="B6204" s="42" t="s">
        <v>6576</v>
      </c>
      <c r="C6204" s="43" t="s">
        <v>289</v>
      </c>
      <c r="D6204" s="43" t="s">
        <v>316</v>
      </c>
      <c r="E6204" s="43" t="s">
        <v>464</v>
      </c>
    </row>
    <row r="6205" spans="1:5" x14ac:dyDescent="0.25">
      <c r="A6205" s="41">
        <v>19350</v>
      </c>
      <c r="B6205" s="42" t="s">
        <v>6577</v>
      </c>
      <c r="C6205" s="43" t="s">
        <v>289</v>
      </c>
      <c r="D6205" s="43" t="s">
        <v>316</v>
      </c>
      <c r="E6205" s="43" t="s">
        <v>464</v>
      </c>
    </row>
    <row r="6206" spans="1:5" x14ac:dyDescent="0.25">
      <c r="A6206" s="41">
        <v>19351</v>
      </c>
      <c r="B6206" s="42" t="s">
        <v>6578</v>
      </c>
      <c r="C6206" s="43" t="s">
        <v>289</v>
      </c>
      <c r="D6206" s="43" t="s">
        <v>316</v>
      </c>
      <c r="E6206" s="43" t="s">
        <v>230</v>
      </c>
    </row>
    <row r="6207" spans="1:5" x14ac:dyDescent="0.25">
      <c r="A6207" s="41">
        <v>19352</v>
      </c>
      <c r="B6207" s="42" t="s">
        <v>6579</v>
      </c>
      <c r="C6207" s="43" t="s">
        <v>289</v>
      </c>
      <c r="D6207" s="43" t="s">
        <v>316</v>
      </c>
      <c r="E6207" s="43" t="s">
        <v>230</v>
      </c>
    </row>
    <row r="6208" spans="1:5" x14ac:dyDescent="0.25">
      <c r="A6208" s="41">
        <v>19353</v>
      </c>
      <c r="B6208" s="42" t="s">
        <v>6580</v>
      </c>
      <c r="C6208" s="43" t="s">
        <v>289</v>
      </c>
      <c r="D6208" s="43" t="s">
        <v>316</v>
      </c>
      <c r="E6208" s="43" t="s">
        <v>230</v>
      </c>
    </row>
    <row r="6209" spans="1:5" x14ac:dyDescent="0.25">
      <c r="A6209" s="41">
        <v>19354</v>
      </c>
      <c r="B6209" s="42" t="s">
        <v>6581</v>
      </c>
      <c r="C6209" s="43" t="s">
        <v>289</v>
      </c>
      <c r="D6209" s="43" t="s">
        <v>316</v>
      </c>
      <c r="E6209" s="43" t="s">
        <v>230</v>
      </c>
    </row>
    <row r="6210" spans="1:5" x14ac:dyDescent="0.25">
      <c r="A6210" s="41">
        <v>19355</v>
      </c>
      <c r="B6210" s="42" t="s">
        <v>6582</v>
      </c>
      <c r="C6210" s="43" t="s">
        <v>289</v>
      </c>
      <c r="D6210" s="43" t="s">
        <v>316</v>
      </c>
      <c r="E6210" s="43" t="s">
        <v>230</v>
      </c>
    </row>
    <row r="6211" spans="1:5" x14ac:dyDescent="0.25">
      <c r="A6211" s="41">
        <v>19356</v>
      </c>
      <c r="B6211" s="42" t="s">
        <v>6583</v>
      </c>
      <c r="C6211" s="43" t="s">
        <v>289</v>
      </c>
      <c r="D6211" s="43" t="s">
        <v>316</v>
      </c>
      <c r="E6211" s="43" t="s">
        <v>230</v>
      </c>
    </row>
    <row r="6212" spans="1:5" x14ac:dyDescent="0.25">
      <c r="A6212" s="41">
        <v>19357</v>
      </c>
      <c r="B6212" s="42" t="s">
        <v>6584</v>
      </c>
      <c r="C6212" s="43" t="s">
        <v>289</v>
      </c>
      <c r="D6212" s="43" t="s">
        <v>3668</v>
      </c>
      <c r="E6212" s="43" t="s">
        <v>454</v>
      </c>
    </row>
    <row r="6213" spans="1:5" x14ac:dyDescent="0.25">
      <c r="A6213" s="41">
        <v>19358</v>
      </c>
      <c r="B6213" s="42" t="s">
        <v>6585</v>
      </c>
      <c r="C6213" s="43" t="s">
        <v>289</v>
      </c>
      <c r="D6213" s="43" t="s">
        <v>633</v>
      </c>
      <c r="E6213" s="43" t="s">
        <v>464</v>
      </c>
    </row>
    <row r="6214" spans="1:5" x14ac:dyDescent="0.25">
      <c r="A6214" s="41">
        <v>19359</v>
      </c>
      <c r="B6214" s="42" t="s">
        <v>6586</v>
      </c>
      <c r="C6214" s="43" t="s">
        <v>289</v>
      </c>
      <c r="D6214" s="43" t="s">
        <v>327</v>
      </c>
      <c r="E6214" s="43" t="s">
        <v>230</v>
      </c>
    </row>
    <row r="6215" spans="1:5" x14ac:dyDescent="0.25">
      <c r="A6215" s="41">
        <v>19360</v>
      </c>
      <c r="B6215" s="42" t="s">
        <v>6587</v>
      </c>
      <c r="C6215" s="43" t="s">
        <v>289</v>
      </c>
      <c r="D6215" s="43" t="s">
        <v>6588</v>
      </c>
      <c r="E6215" s="43" t="s">
        <v>769</v>
      </c>
    </row>
    <row r="6216" spans="1:5" x14ac:dyDescent="0.25">
      <c r="A6216" s="41">
        <v>19361</v>
      </c>
      <c r="B6216" s="42" t="s">
        <v>6589</v>
      </c>
      <c r="C6216" s="43" t="s">
        <v>289</v>
      </c>
      <c r="D6216" s="43" t="s">
        <v>1100</v>
      </c>
      <c r="E6216" s="43" t="s">
        <v>230</v>
      </c>
    </row>
    <row r="6217" spans="1:5" x14ac:dyDescent="0.25">
      <c r="A6217" s="41">
        <v>19362</v>
      </c>
      <c r="B6217" s="42" t="s">
        <v>6590</v>
      </c>
      <c r="C6217" s="43" t="s">
        <v>289</v>
      </c>
      <c r="D6217" s="43" t="s">
        <v>1100</v>
      </c>
      <c r="E6217" s="43" t="s">
        <v>230</v>
      </c>
    </row>
    <row r="6218" spans="1:5" x14ac:dyDescent="0.25">
      <c r="A6218" s="41">
        <v>19363</v>
      </c>
      <c r="B6218" s="42" t="s">
        <v>6591</v>
      </c>
      <c r="C6218" s="43" t="s">
        <v>289</v>
      </c>
      <c r="D6218" s="43" t="s">
        <v>1041</v>
      </c>
      <c r="E6218" s="43" t="s">
        <v>230</v>
      </c>
    </row>
    <row r="6219" spans="1:5" x14ac:dyDescent="0.25">
      <c r="A6219" s="41">
        <v>19364</v>
      </c>
      <c r="B6219" s="42" t="s">
        <v>6592</v>
      </c>
      <c r="C6219" s="43" t="s">
        <v>289</v>
      </c>
      <c r="D6219" s="43" t="s">
        <v>314</v>
      </c>
      <c r="E6219" s="43" t="s">
        <v>230</v>
      </c>
    </row>
    <row r="6220" spans="1:5" x14ac:dyDescent="0.25">
      <c r="A6220" s="41">
        <v>19365</v>
      </c>
      <c r="B6220" s="42" t="s">
        <v>6593</v>
      </c>
      <c r="C6220" s="43" t="s">
        <v>289</v>
      </c>
      <c r="D6220" s="43" t="s">
        <v>314</v>
      </c>
      <c r="E6220" s="43" t="s">
        <v>230</v>
      </c>
    </row>
    <row r="6221" spans="1:5" x14ac:dyDescent="0.25">
      <c r="A6221" s="41">
        <v>19366</v>
      </c>
      <c r="B6221" s="42" t="s">
        <v>6594</v>
      </c>
      <c r="C6221" s="43" t="s">
        <v>289</v>
      </c>
      <c r="D6221" s="43" t="s">
        <v>314</v>
      </c>
      <c r="E6221" s="43" t="s">
        <v>230</v>
      </c>
    </row>
    <row r="6222" spans="1:5" x14ac:dyDescent="0.25">
      <c r="A6222" s="41">
        <v>19367</v>
      </c>
      <c r="B6222" s="42" t="s">
        <v>6595</v>
      </c>
      <c r="C6222" s="43" t="s">
        <v>289</v>
      </c>
      <c r="D6222" s="43" t="s">
        <v>314</v>
      </c>
      <c r="E6222" s="43" t="s">
        <v>230</v>
      </c>
    </row>
    <row r="6223" spans="1:5" x14ac:dyDescent="0.25">
      <c r="A6223" s="41">
        <v>19368</v>
      </c>
      <c r="B6223" s="42" t="s">
        <v>6596</v>
      </c>
      <c r="C6223" s="43" t="s">
        <v>289</v>
      </c>
      <c r="D6223" s="43" t="s">
        <v>314</v>
      </c>
      <c r="E6223" s="43" t="s">
        <v>230</v>
      </c>
    </row>
    <row r="6224" spans="1:5" x14ac:dyDescent="0.25">
      <c r="A6224" s="41">
        <v>19369</v>
      </c>
      <c r="B6224" s="42" t="s">
        <v>6597</v>
      </c>
      <c r="C6224" s="43" t="s">
        <v>289</v>
      </c>
      <c r="D6224" s="43" t="s">
        <v>314</v>
      </c>
      <c r="E6224" s="43" t="s">
        <v>230</v>
      </c>
    </row>
    <row r="6225" spans="1:5" x14ac:dyDescent="0.25">
      <c r="A6225" s="41">
        <v>19370</v>
      </c>
      <c r="B6225" s="42" t="s">
        <v>6598</v>
      </c>
      <c r="C6225" s="43" t="s">
        <v>289</v>
      </c>
      <c r="D6225" s="43" t="s">
        <v>314</v>
      </c>
      <c r="E6225" s="43" t="s">
        <v>230</v>
      </c>
    </row>
    <row r="6226" spans="1:5" x14ac:dyDescent="0.25">
      <c r="A6226" s="41">
        <v>19371</v>
      </c>
      <c r="B6226" s="42" t="s">
        <v>6599</v>
      </c>
      <c r="C6226" s="43" t="s">
        <v>289</v>
      </c>
      <c r="D6226" s="43" t="s">
        <v>314</v>
      </c>
      <c r="E6226" s="43" t="s">
        <v>230</v>
      </c>
    </row>
    <row r="6227" spans="1:5" x14ac:dyDescent="0.25">
      <c r="A6227" s="41">
        <v>19372</v>
      </c>
      <c r="B6227" s="42" t="s">
        <v>6600</v>
      </c>
      <c r="C6227" s="43" t="s">
        <v>289</v>
      </c>
      <c r="D6227" s="43" t="s">
        <v>314</v>
      </c>
      <c r="E6227" s="43" t="s">
        <v>230</v>
      </c>
    </row>
    <row r="6228" spans="1:5" x14ac:dyDescent="0.25">
      <c r="A6228" s="41">
        <v>19373</v>
      </c>
      <c r="B6228" s="42" t="s">
        <v>6601</v>
      </c>
      <c r="C6228" s="43" t="s">
        <v>289</v>
      </c>
      <c r="D6228" s="43" t="s">
        <v>314</v>
      </c>
      <c r="E6228" s="43" t="s">
        <v>230</v>
      </c>
    </row>
    <row r="6229" spans="1:5" x14ac:dyDescent="0.25">
      <c r="A6229" s="41">
        <v>19374</v>
      </c>
      <c r="B6229" s="42" t="s">
        <v>6602</v>
      </c>
      <c r="C6229" s="43" t="s">
        <v>289</v>
      </c>
      <c r="D6229" s="43" t="s">
        <v>314</v>
      </c>
      <c r="E6229" s="43" t="s">
        <v>230</v>
      </c>
    </row>
    <row r="6230" spans="1:5" x14ac:dyDescent="0.25">
      <c r="A6230" s="41">
        <v>19375</v>
      </c>
      <c r="B6230" s="42" t="s">
        <v>6603</v>
      </c>
      <c r="C6230" s="43" t="s">
        <v>289</v>
      </c>
      <c r="D6230" s="43" t="s">
        <v>314</v>
      </c>
      <c r="E6230" s="43" t="s">
        <v>230</v>
      </c>
    </row>
    <row r="6231" spans="1:5" x14ac:dyDescent="0.25">
      <c r="A6231" s="41">
        <v>19381</v>
      </c>
      <c r="B6231" s="42" t="s">
        <v>6604</v>
      </c>
      <c r="C6231" s="43" t="s">
        <v>289</v>
      </c>
      <c r="D6231" s="43" t="s">
        <v>633</v>
      </c>
      <c r="E6231" s="43" t="s">
        <v>464</v>
      </c>
    </row>
    <row r="6232" spans="1:5" x14ac:dyDescent="0.25">
      <c r="A6232" s="41">
        <v>19383</v>
      </c>
      <c r="B6232" s="42" t="s">
        <v>6605</v>
      </c>
      <c r="C6232" s="43" t="s">
        <v>289</v>
      </c>
      <c r="D6232" s="43" t="s">
        <v>633</v>
      </c>
      <c r="E6232" s="43" t="s">
        <v>464</v>
      </c>
    </row>
    <row r="6233" spans="1:5" x14ac:dyDescent="0.25">
      <c r="A6233" s="41">
        <v>19384</v>
      </c>
      <c r="B6233" s="42" t="s">
        <v>6606</v>
      </c>
      <c r="C6233" s="43" t="s">
        <v>289</v>
      </c>
      <c r="D6233" s="43" t="s">
        <v>633</v>
      </c>
      <c r="E6233" s="43" t="s">
        <v>464</v>
      </c>
    </row>
    <row r="6234" spans="1:5" x14ac:dyDescent="0.25">
      <c r="A6234" s="41">
        <v>19385</v>
      </c>
      <c r="B6234" s="42" t="s">
        <v>6607</v>
      </c>
      <c r="C6234" s="43" t="s">
        <v>289</v>
      </c>
      <c r="D6234" s="43" t="s">
        <v>996</v>
      </c>
      <c r="E6234" s="43" t="s">
        <v>230</v>
      </c>
    </row>
    <row r="6235" spans="1:5" x14ac:dyDescent="0.25">
      <c r="A6235" s="41">
        <v>19386</v>
      </c>
      <c r="B6235" s="42" t="s">
        <v>6608</v>
      </c>
      <c r="C6235" s="43" t="s">
        <v>289</v>
      </c>
      <c r="D6235" s="43" t="s">
        <v>316</v>
      </c>
      <c r="E6235" s="43" t="s">
        <v>230</v>
      </c>
    </row>
    <row r="6236" spans="1:5" x14ac:dyDescent="0.25">
      <c r="A6236" s="41">
        <v>19387</v>
      </c>
      <c r="B6236" s="42" t="s">
        <v>6609</v>
      </c>
      <c r="C6236" s="43" t="s">
        <v>289</v>
      </c>
      <c r="D6236" s="43" t="s">
        <v>327</v>
      </c>
      <c r="E6236" s="43" t="s">
        <v>864</v>
      </c>
    </row>
    <row r="6237" spans="1:5" x14ac:dyDescent="0.25">
      <c r="A6237" s="41">
        <v>19388</v>
      </c>
      <c r="B6237" s="42" t="s">
        <v>6610</v>
      </c>
      <c r="C6237" s="43" t="s">
        <v>289</v>
      </c>
      <c r="D6237" s="43" t="s">
        <v>316</v>
      </c>
      <c r="E6237" s="43" t="s">
        <v>531</v>
      </c>
    </row>
    <row r="6238" spans="1:5" x14ac:dyDescent="0.25">
      <c r="A6238" s="41">
        <v>19389</v>
      </c>
      <c r="B6238" s="42" t="s">
        <v>6611</v>
      </c>
      <c r="C6238" s="43" t="s">
        <v>289</v>
      </c>
      <c r="D6238" s="43" t="s">
        <v>316</v>
      </c>
      <c r="E6238" s="43" t="s">
        <v>217</v>
      </c>
    </row>
    <row r="6239" spans="1:5" x14ac:dyDescent="0.25">
      <c r="A6239" s="41">
        <v>19390</v>
      </c>
      <c r="B6239" s="42" t="s">
        <v>6612</v>
      </c>
      <c r="C6239" s="43" t="s">
        <v>289</v>
      </c>
      <c r="D6239" s="43" t="s">
        <v>316</v>
      </c>
      <c r="E6239" s="43" t="s">
        <v>531</v>
      </c>
    </row>
    <row r="6240" spans="1:5" x14ac:dyDescent="0.25">
      <c r="A6240" s="41">
        <v>19391</v>
      </c>
      <c r="B6240" s="42" t="s">
        <v>6613</v>
      </c>
      <c r="C6240" s="43" t="s">
        <v>289</v>
      </c>
      <c r="D6240" s="43" t="s">
        <v>316</v>
      </c>
      <c r="E6240" s="43" t="s">
        <v>531</v>
      </c>
    </row>
    <row r="6241" spans="1:5" x14ac:dyDescent="0.25">
      <c r="A6241" s="41">
        <v>19392</v>
      </c>
      <c r="B6241" s="42" t="s">
        <v>6614</v>
      </c>
      <c r="C6241" s="43" t="s">
        <v>289</v>
      </c>
      <c r="D6241" s="43" t="s">
        <v>316</v>
      </c>
      <c r="E6241" s="43" t="s">
        <v>230</v>
      </c>
    </row>
    <row r="6242" spans="1:5" x14ac:dyDescent="0.25">
      <c r="A6242" s="41">
        <v>19394</v>
      </c>
      <c r="B6242" s="42" t="s">
        <v>6615</v>
      </c>
      <c r="C6242" s="43" t="s">
        <v>289</v>
      </c>
      <c r="D6242" s="43" t="s">
        <v>1112</v>
      </c>
      <c r="E6242" s="43" t="s">
        <v>230</v>
      </c>
    </row>
    <row r="6243" spans="1:5" x14ac:dyDescent="0.25">
      <c r="A6243" s="41">
        <v>19395</v>
      </c>
      <c r="B6243" s="42" t="s">
        <v>6616</v>
      </c>
      <c r="C6243" s="43" t="s">
        <v>289</v>
      </c>
      <c r="D6243" s="43" t="s">
        <v>1112</v>
      </c>
      <c r="E6243" s="43" t="s">
        <v>230</v>
      </c>
    </row>
    <row r="6244" spans="1:5" x14ac:dyDescent="0.25">
      <c r="A6244" s="41">
        <v>19396</v>
      </c>
      <c r="B6244" s="42" t="s">
        <v>6617</v>
      </c>
      <c r="C6244" s="43" t="s">
        <v>289</v>
      </c>
      <c r="D6244" s="43" t="s">
        <v>1112</v>
      </c>
      <c r="E6244" s="43" t="s">
        <v>230</v>
      </c>
    </row>
    <row r="6245" spans="1:5" x14ac:dyDescent="0.25">
      <c r="A6245" s="41">
        <v>19397</v>
      </c>
      <c r="B6245" s="42" t="s">
        <v>6618</v>
      </c>
      <c r="C6245" s="43" t="s">
        <v>289</v>
      </c>
      <c r="D6245" s="43" t="s">
        <v>1112</v>
      </c>
      <c r="E6245" s="43" t="s">
        <v>230</v>
      </c>
    </row>
    <row r="6246" spans="1:5" x14ac:dyDescent="0.25">
      <c r="A6246" s="41">
        <v>19398</v>
      </c>
      <c r="B6246" s="42" t="s">
        <v>6619</v>
      </c>
      <c r="C6246" s="43" t="s">
        <v>289</v>
      </c>
      <c r="D6246" s="43" t="s">
        <v>1112</v>
      </c>
      <c r="E6246" s="43" t="s">
        <v>230</v>
      </c>
    </row>
    <row r="6247" spans="1:5" x14ac:dyDescent="0.25">
      <c r="A6247" s="41">
        <v>19399</v>
      </c>
      <c r="B6247" s="42" t="s">
        <v>6620</v>
      </c>
      <c r="C6247" s="43" t="s">
        <v>289</v>
      </c>
      <c r="D6247" s="43" t="s">
        <v>5570</v>
      </c>
      <c r="E6247" s="43" t="s">
        <v>230</v>
      </c>
    </row>
    <row r="6248" spans="1:5" x14ac:dyDescent="0.25">
      <c r="A6248" s="41">
        <v>19401</v>
      </c>
      <c r="B6248" s="42" t="s">
        <v>6621</v>
      </c>
      <c r="C6248" s="43" t="s">
        <v>289</v>
      </c>
      <c r="D6248" s="43" t="s">
        <v>316</v>
      </c>
      <c r="E6248" s="43" t="s">
        <v>531</v>
      </c>
    </row>
    <row r="6249" spans="1:5" x14ac:dyDescent="0.25">
      <c r="A6249" s="41">
        <v>19402</v>
      </c>
      <c r="B6249" s="42" t="s">
        <v>6622</v>
      </c>
      <c r="C6249" s="43" t="s">
        <v>289</v>
      </c>
      <c r="D6249" s="43" t="s">
        <v>316</v>
      </c>
      <c r="E6249" s="43" t="s">
        <v>354</v>
      </c>
    </row>
    <row r="6250" spans="1:5" x14ac:dyDescent="0.25">
      <c r="A6250" s="41">
        <v>19403</v>
      </c>
      <c r="B6250" s="42" t="s">
        <v>6623</v>
      </c>
      <c r="C6250" s="43" t="s">
        <v>289</v>
      </c>
      <c r="D6250" s="43" t="s">
        <v>316</v>
      </c>
      <c r="E6250" s="43" t="s">
        <v>230</v>
      </c>
    </row>
    <row r="6251" spans="1:5" x14ac:dyDescent="0.25">
      <c r="A6251" s="41">
        <v>19404</v>
      </c>
      <c r="B6251" s="42" t="s">
        <v>6624</v>
      </c>
      <c r="C6251" s="43" t="s">
        <v>289</v>
      </c>
      <c r="D6251" s="43" t="s">
        <v>316</v>
      </c>
      <c r="E6251" s="43" t="s">
        <v>230</v>
      </c>
    </row>
    <row r="6252" spans="1:5" x14ac:dyDescent="0.25">
      <c r="A6252" s="41">
        <v>19405</v>
      </c>
      <c r="B6252" s="42" t="s">
        <v>6625</v>
      </c>
      <c r="C6252" s="43" t="s">
        <v>289</v>
      </c>
      <c r="D6252" s="43" t="s">
        <v>316</v>
      </c>
      <c r="E6252" s="43" t="s">
        <v>230</v>
      </c>
    </row>
    <row r="6253" spans="1:5" x14ac:dyDescent="0.25">
      <c r="A6253" s="41">
        <v>19406</v>
      </c>
      <c r="B6253" s="42" t="s">
        <v>6626</v>
      </c>
      <c r="C6253" s="43" t="s">
        <v>289</v>
      </c>
      <c r="D6253" s="43" t="s">
        <v>316</v>
      </c>
      <c r="E6253" s="43" t="s">
        <v>230</v>
      </c>
    </row>
    <row r="6254" spans="1:5" x14ac:dyDescent="0.25">
      <c r="A6254" s="41">
        <v>19407</v>
      </c>
      <c r="B6254" s="42" t="s">
        <v>6627</v>
      </c>
      <c r="C6254" s="43" t="s">
        <v>289</v>
      </c>
      <c r="D6254" s="43" t="s">
        <v>316</v>
      </c>
      <c r="E6254" s="43" t="s">
        <v>230</v>
      </c>
    </row>
    <row r="6255" spans="1:5" x14ac:dyDescent="0.25">
      <c r="A6255" s="41">
        <v>19408</v>
      </c>
      <c r="B6255" s="42" t="s">
        <v>6628</v>
      </c>
      <c r="C6255" s="43" t="s">
        <v>289</v>
      </c>
      <c r="D6255" s="43" t="s">
        <v>316</v>
      </c>
      <c r="E6255" s="43" t="s">
        <v>354</v>
      </c>
    </row>
    <row r="6256" spans="1:5" x14ac:dyDescent="0.25">
      <c r="A6256" s="41">
        <v>19409</v>
      </c>
      <c r="B6256" s="42" t="s">
        <v>6629</v>
      </c>
      <c r="C6256" s="43" t="s">
        <v>289</v>
      </c>
      <c r="D6256" s="43" t="s">
        <v>316</v>
      </c>
      <c r="E6256" s="43" t="s">
        <v>170</v>
      </c>
    </row>
    <row r="6257" spans="1:5" x14ac:dyDescent="0.25">
      <c r="A6257" s="41">
        <v>19410</v>
      </c>
      <c r="B6257" s="42" t="s">
        <v>6630</v>
      </c>
      <c r="C6257" s="43" t="s">
        <v>289</v>
      </c>
      <c r="D6257" s="43" t="s">
        <v>316</v>
      </c>
      <c r="E6257" s="43" t="s">
        <v>230</v>
      </c>
    </row>
    <row r="6258" spans="1:5" x14ac:dyDescent="0.25">
      <c r="A6258" s="41">
        <v>19411</v>
      </c>
      <c r="B6258" s="42" t="s">
        <v>6631</v>
      </c>
      <c r="C6258" s="43" t="s">
        <v>289</v>
      </c>
      <c r="D6258" s="43" t="s">
        <v>316</v>
      </c>
      <c r="E6258" s="43" t="s">
        <v>230</v>
      </c>
    </row>
    <row r="6259" spans="1:5" x14ac:dyDescent="0.25">
      <c r="A6259" s="41">
        <v>19412</v>
      </c>
      <c r="B6259" s="42" t="s">
        <v>6632</v>
      </c>
      <c r="C6259" s="43" t="s">
        <v>289</v>
      </c>
      <c r="D6259" s="43" t="s">
        <v>316</v>
      </c>
      <c r="E6259" s="43" t="s">
        <v>230</v>
      </c>
    </row>
    <row r="6260" spans="1:5" x14ac:dyDescent="0.25">
      <c r="A6260" s="41">
        <v>19413</v>
      </c>
      <c r="B6260" s="42" t="s">
        <v>6633</v>
      </c>
      <c r="C6260" s="43" t="s">
        <v>289</v>
      </c>
      <c r="D6260" s="43" t="s">
        <v>316</v>
      </c>
      <c r="E6260" s="43" t="s">
        <v>230</v>
      </c>
    </row>
    <row r="6261" spans="1:5" x14ac:dyDescent="0.25">
      <c r="A6261" s="41">
        <v>19415</v>
      </c>
      <c r="B6261" s="42" t="s">
        <v>6634</v>
      </c>
      <c r="C6261" s="43" t="s">
        <v>289</v>
      </c>
      <c r="D6261" s="43" t="s">
        <v>316</v>
      </c>
      <c r="E6261" s="43" t="s">
        <v>230</v>
      </c>
    </row>
    <row r="6262" spans="1:5" x14ac:dyDescent="0.25">
      <c r="A6262" s="41">
        <v>19416</v>
      </c>
      <c r="B6262" s="42" t="s">
        <v>6635</v>
      </c>
      <c r="C6262" s="43" t="s">
        <v>289</v>
      </c>
      <c r="D6262" s="43" t="s">
        <v>316</v>
      </c>
      <c r="E6262" s="43" t="s">
        <v>230</v>
      </c>
    </row>
    <row r="6263" spans="1:5" x14ac:dyDescent="0.25">
      <c r="A6263" s="41">
        <v>19417</v>
      </c>
      <c r="B6263" s="42" t="s">
        <v>6636</v>
      </c>
      <c r="C6263" s="43" t="s">
        <v>289</v>
      </c>
      <c r="D6263" s="43" t="s">
        <v>316</v>
      </c>
      <c r="E6263" s="43" t="s">
        <v>230</v>
      </c>
    </row>
    <row r="6264" spans="1:5" x14ac:dyDescent="0.25">
      <c r="A6264" s="41">
        <v>19418</v>
      </c>
      <c r="B6264" s="42" t="s">
        <v>6637</v>
      </c>
      <c r="C6264" s="43" t="s">
        <v>289</v>
      </c>
      <c r="D6264" s="43" t="s">
        <v>316</v>
      </c>
      <c r="E6264" s="43" t="s">
        <v>230</v>
      </c>
    </row>
    <row r="6265" spans="1:5" x14ac:dyDescent="0.25">
      <c r="A6265" s="41">
        <v>19419</v>
      </c>
      <c r="B6265" s="42" t="s">
        <v>6638</v>
      </c>
      <c r="C6265" s="43" t="s">
        <v>289</v>
      </c>
      <c r="D6265" s="43" t="s">
        <v>316</v>
      </c>
      <c r="E6265" s="43" t="s">
        <v>230</v>
      </c>
    </row>
    <row r="6266" spans="1:5" x14ac:dyDescent="0.25">
      <c r="A6266" s="41">
        <v>19420</v>
      </c>
      <c r="B6266" s="42" t="s">
        <v>6639</v>
      </c>
      <c r="C6266" s="43" t="s">
        <v>289</v>
      </c>
      <c r="D6266" s="43" t="s">
        <v>316</v>
      </c>
      <c r="E6266" s="43" t="s">
        <v>230</v>
      </c>
    </row>
    <row r="6267" spans="1:5" x14ac:dyDescent="0.25">
      <c r="A6267" s="41">
        <v>19421</v>
      </c>
      <c r="B6267" s="42" t="s">
        <v>6640</v>
      </c>
      <c r="C6267" s="43" t="s">
        <v>289</v>
      </c>
      <c r="D6267" s="43" t="s">
        <v>316</v>
      </c>
      <c r="E6267" s="43" t="s">
        <v>230</v>
      </c>
    </row>
    <row r="6268" spans="1:5" x14ac:dyDescent="0.25">
      <c r="A6268" s="41">
        <v>19422</v>
      </c>
      <c r="B6268" s="42" t="s">
        <v>6641</v>
      </c>
      <c r="C6268" s="43" t="s">
        <v>289</v>
      </c>
      <c r="D6268" s="43" t="s">
        <v>316</v>
      </c>
      <c r="E6268" s="43" t="s">
        <v>230</v>
      </c>
    </row>
    <row r="6269" spans="1:5" x14ac:dyDescent="0.25">
      <c r="A6269" s="41">
        <v>19423</v>
      </c>
      <c r="B6269" s="42" t="s">
        <v>6642</v>
      </c>
      <c r="C6269" s="43" t="s">
        <v>289</v>
      </c>
      <c r="D6269" s="43" t="s">
        <v>316</v>
      </c>
      <c r="E6269" s="43" t="s">
        <v>230</v>
      </c>
    </row>
    <row r="6270" spans="1:5" x14ac:dyDescent="0.25">
      <c r="A6270" s="41">
        <v>19424</v>
      </c>
      <c r="B6270" s="42" t="s">
        <v>6643</v>
      </c>
      <c r="C6270" s="43" t="s">
        <v>289</v>
      </c>
      <c r="D6270" s="43" t="s">
        <v>316</v>
      </c>
      <c r="E6270" s="43" t="s">
        <v>170</v>
      </c>
    </row>
    <row r="6271" spans="1:5" x14ac:dyDescent="0.25">
      <c r="A6271" s="41">
        <v>19425</v>
      </c>
      <c r="B6271" s="42" t="s">
        <v>6644</v>
      </c>
      <c r="C6271" s="43" t="s">
        <v>289</v>
      </c>
      <c r="D6271" s="43" t="s">
        <v>316</v>
      </c>
      <c r="E6271" s="43" t="s">
        <v>230</v>
      </c>
    </row>
    <row r="6272" spans="1:5" x14ac:dyDescent="0.25">
      <c r="A6272" s="41">
        <v>19426</v>
      </c>
      <c r="B6272" s="42" t="s">
        <v>6645</v>
      </c>
      <c r="C6272" s="43" t="s">
        <v>289</v>
      </c>
      <c r="D6272" s="43" t="s">
        <v>316</v>
      </c>
      <c r="E6272" s="43" t="s">
        <v>531</v>
      </c>
    </row>
    <row r="6273" spans="1:5" x14ac:dyDescent="0.25">
      <c r="A6273" s="41">
        <v>19427</v>
      </c>
      <c r="B6273" s="42" t="s">
        <v>6646</v>
      </c>
      <c r="C6273" s="43" t="s">
        <v>289</v>
      </c>
      <c r="D6273" s="43" t="s">
        <v>316</v>
      </c>
      <c r="E6273" s="43" t="s">
        <v>230</v>
      </c>
    </row>
    <row r="6274" spans="1:5" x14ac:dyDescent="0.25">
      <c r="A6274" s="41">
        <v>19428</v>
      </c>
      <c r="B6274" s="42" t="s">
        <v>6647</v>
      </c>
      <c r="C6274" s="43" t="s">
        <v>289</v>
      </c>
      <c r="D6274" s="43" t="s">
        <v>316</v>
      </c>
      <c r="E6274" s="43" t="s">
        <v>170</v>
      </c>
    </row>
    <row r="6275" spans="1:5" x14ac:dyDescent="0.25">
      <c r="A6275" s="41">
        <v>19429</v>
      </c>
      <c r="B6275" s="42" t="s">
        <v>6648</v>
      </c>
      <c r="C6275" s="43" t="s">
        <v>289</v>
      </c>
      <c r="D6275" s="43" t="s">
        <v>316</v>
      </c>
      <c r="E6275" s="43" t="s">
        <v>170</v>
      </c>
    </row>
    <row r="6276" spans="1:5" x14ac:dyDescent="0.25">
      <c r="A6276" s="41">
        <v>19430</v>
      </c>
      <c r="B6276" s="42" t="s">
        <v>6649</v>
      </c>
      <c r="C6276" s="43" t="s">
        <v>289</v>
      </c>
      <c r="D6276" s="43" t="s">
        <v>316</v>
      </c>
      <c r="E6276" s="43" t="s">
        <v>170</v>
      </c>
    </row>
    <row r="6277" spans="1:5" x14ac:dyDescent="0.25">
      <c r="A6277" s="41">
        <v>19431</v>
      </c>
      <c r="B6277" s="42" t="s">
        <v>6650</v>
      </c>
      <c r="C6277" s="43" t="s">
        <v>289</v>
      </c>
      <c r="D6277" s="43" t="s">
        <v>835</v>
      </c>
      <c r="E6277" s="43" t="s">
        <v>230</v>
      </c>
    </row>
    <row r="6278" spans="1:5" x14ac:dyDescent="0.25">
      <c r="A6278" s="41">
        <v>19432</v>
      </c>
      <c r="B6278" s="42" t="s">
        <v>6651</v>
      </c>
      <c r="C6278" s="43" t="s">
        <v>289</v>
      </c>
      <c r="D6278" s="43" t="s">
        <v>410</v>
      </c>
      <c r="E6278" s="43" t="s">
        <v>230</v>
      </c>
    </row>
    <row r="6279" spans="1:5" x14ac:dyDescent="0.25">
      <c r="A6279" s="41">
        <v>19433</v>
      </c>
      <c r="B6279" s="42" t="s">
        <v>6652</v>
      </c>
      <c r="C6279" s="43" t="s">
        <v>289</v>
      </c>
      <c r="D6279" s="43" t="s">
        <v>410</v>
      </c>
      <c r="E6279" s="43" t="s">
        <v>230</v>
      </c>
    </row>
    <row r="6280" spans="1:5" x14ac:dyDescent="0.25">
      <c r="A6280" s="41">
        <v>19434</v>
      </c>
      <c r="B6280" s="42" t="s">
        <v>6653</v>
      </c>
      <c r="C6280" s="43" t="s">
        <v>289</v>
      </c>
      <c r="D6280" s="43" t="s">
        <v>633</v>
      </c>
      <c r="E6280" s="43" t="s">
        <v>464</v>
      </c>
    </row>
    <row r="6281" spans="1:5" x14ac:dyDescent="0.25">
      <c r="A6281" s="41">
        <v>19435</v>
      </c>
      <c r="B6281" s="42" t="s">
        <v>6654</v>
      </c>
      <c r="C6281" s="43" t="s">
        <v>289</v>
      </c>
      <c r="D6281" s="43" t="s">
        <v>633</v>
      </c>
      <c r="E6281" s="43" t="s">
        <v>464</v>
      </c>
    </row>
    <row r="6282" spans="1:5" x14ac:dyDescent="0.25">
      <c r="A6282" s="41">
        <v>19436</v>
      </c>
      <c r="B6282" s="42" t="s">
        <v>6655</v>
      </c>
      <c r="C6282" s="43" t="s">
        <v>289</v>
      </c>
      <c r="D6282" s="43" t="s">
        <v>633</v>
      </c>
      <c r="E6282" s="43" t="s">
        <v>464</v>
      </c>
    </row>
    <row r="6283" spans="1:5" x14ac:dyDescent="0.25">
      <c r="A6283" s="41">
        <v>19437</v>
      </c>
      <c r="B6283" s="42" t="s">
        <v>6656</v>
      </c>
      <c r="C6283" s="43" t="s">
        <v>289</v>
      </c>
      <c r="D6283" s="43" t="s">
        <v>633</v>
      </c>
      <c r="E6283" s="43" t="s">
        <v>464</v>
      </c>
    </row>
    <row r="6284" spans="1:5" x14ac:dyDescent="0.25">
      <c r="A6284" s="41">
        <v>19438</v>
      </c>
      <c r="B6284" s="42" t="s">
        <v>6657</v>
      </c>
      <c r="C6284" s="43" t="s">
        <v>289</v>
      </c>
      <c r="D6284" s="43" t="s">
        <v>633</v>
      </c>
      <c r="E6284" s="43" t="s">
        <v>464</v>
      </c>
    </row>
    <row r="6285" spans="1:5" x14ac:dyDescent="0.25">
      <c r="A6285" s="41">
        <v>19439</v>
      </c>
      <c r="B6285" s="42" t="s">
        <v>6658</v>
      </c>
      <c r="C6285" s="43" t="s">
        <v>289</v>
      </c>
      <c r="D6285" s="43" t="s">
        <v>633</v>
      </c>
      <c r="E6285" s="43" t="s">
        <v>464</v>
      </c>
    </row>
    <row r="6286" spans="1:5" x14ac:dyDescent="0.25">
      <c r="A6286" s="41">
        <v>19440</v>
      </c>
      <c r="B6286" s="42" t="s">
        <v>6659</v>
      </c>
      <c r="C6286" s="43" t="s">
        <v>289</v>
      </c>
      <c r="D6286" s="43" t="s">
        <v>633</v>
      </c>
      <c r="E6286" s="43" t="s">
        <v>464</v>
      </c>
    </row>
    <row r="6287" spans="1:5" x14ac:dyDescent="0.25">
      <c r="A6287" s="41">
        <v>19441</v>
      </c>
      <c r="B6287" s="42" t="s">
        <v>6660</v>
      </c>
      <c r="C6287" s="43" t="s">
        <v>289</v>
      </c>
      <c r="D6287" s="43" t="s">
        <v>633</v>
      </c>
      <c r="E6287" s="43" t="s">
        <v>464</v>
      </c>
    </row>
    <row r="6288" spans="1:5" x14ac:dyDescent="0.25">
      <c r="A6288" s="41">
        <v>19442</v>
      </c>
      <c r="B6288" s="42" t="s">
        <v>6661</v>
      </c>
      <c r="C6288" s="43" t="s">
        <v>289</v>
      </c>
      <c r="D6288" s="43" t="s">
        <v>633</v>
      </c>
      <c r="E6288" s="43" t="s">
        <v>464</v>
      </c>
    </row>
    <row r="6289" spans="1:5" x14ac:dyDescent="0.25">
      <c r="A6289" s="41">
        <v>19445</v>
      </c>
      <c r="B6289" s="42" t="s">
        <v>6662</v>
      </c>
      <c r="C6289" s="43" t="s">
        <v>289</v>
      </c>
      <c r="D6289" s="43" t="s">
        <v>433</v>
      </c>
      <c r="E6289" s="43" t="s">
        <v>230</v>
      </c>
    </row>
    <row r="6290" spans="1:5" x14ac:dyDescent="0.25">
      <c r="A6290" s="41">
        <v>19446</v>
      </c>
      <c r="B6290" s="42" t="s">
        <v>6663</v>
      </c>
      <c r="C6290" s="43" t="s">
        <v>289</v>
      </c>
      <c r="D6290" s="43" t="s">
        <v>316</v>
      </c>
      <c r="E6290" s="43" t="s">
        <v>230</v>
      </c>
    </row>
    <row r="6291" spans="1:5" x14ac:dyDescent="0.25">
      <c r="A6291" s="41">
        <v>19447</v>
      </c>
      <c r="B6291" s="42" t="s">
        <v>6664</v>
      </c>
      <c r="C6291" s="43" t="s">
        <v>289</v>
      </c>
      <c r="D6291" s="43" t="s">
        <v>633</v>
      </c>
      <c r="E6291" s="43" t="s">
        <v>464</v>
      </c>
    </row>
    <row r="6292" spans="1:5" x14ac:dyDescent="0.25">
      <c r="A6292" s="41">
        <v>19448</v>
      </c>
      <c r="B6292" s="42" t="s">
        <v>6665</v>
      </c>
      <c r="C6292" s="43" t="s">
        <v>289</v>
      </c>
      <c r="D6292" s="43" t="s">
        <v>633</v>
      </c>
      <c r="E6292" s="43" t="s">
        <v>464</v>
      </c>
    </row>
    <row r="6293" spans="1:5" x14ac:dyDescent="0.25">
      <c r="A6293" s="41">
        <v>19449</v>
      </c>
      <c r="B6293" s="42" t="s">
        <v>6666</v>
      </c>
      <c r="C6293" s="43" t="s">
        <v>289</v>
      </c>
      <c r="D6293" s="43" t="s">
        <v>633</v>
      </c>
      <c r="E6293" s="43" t="s">
        <v>464</v>
      </c>
    </row>
    <row r="6294" spans="1:5" x14ac:dyDescent="0.25">
      <c r="A6294" s="41">
        <v>19450</v>
      </c>
      <c r="B6294" s="42" t="s">
        <v>6667</v>
      </c>
      <c r="C6294" s="43" t="s">
        <v>289</v>
      </c>
      <c r="D6294" s="43" t="s">
        <v>633</v>
      </c>
      <c r="E6294" s="43" t="s">
        <v>464</v>
      </c>
    </row>
    <row r="6295" spans="1:5" x14ac:dyDescent="0.25">
      <c r="A6295" s="41">
        <v>19451</v>
      </c>
      <c r="B6295" s="42" t="s">
        <v>6668</v>
      </c>
      <c r="C6295" s="43" t="s">
        <v>289</v>
      </c>
      <c r="D6295" s="43" t="s">
        <v>410</v>
      </c>
      <c r="E6295" s="43" t="s">
        <v>769</v>
      </c>
    </row>
    <row r="6296" spans="1:5" x14ac:dyDescent="0.25">
      <c r="A6296" s="41">
        <v>19452</v>
      </c>
      <c r="B6296" s="42" t="s">
        <v>6669</v>
      </c>
      <c r="C6296" s="43" t="s">
        <v>289</v>
      </c>
      <c r="D6296" s="43" t="s">
        <v>314</v>
      </c>
      <c r="E6296" s="43" t="s">
        <v>769</v>
      </c>
    </row>
    <row r="6297" spans="1:5" x14ac:dyDescent="0.25">
      <c r="A6297" s="41">
        <v>19453</v>
      </c>
      <c r="B6297" s="42" t="s">
        <v>6670</v>
      </c>
      <c r="C6297" s="43" t="s">
        <v>289</v>
      </c>
      <c r="D6297" s="43" t="s">
        <v>1112</v>
      </c>
      <c r="E6297" s="43" t="s">
        <v>230</v>
      </c>
    </row>
    <row r="6298" spans="1:5" x14ac:dyDescent="0.25">
      <c r="A6298" s="41">
        <v>19454</v>
      </c>
      <c r="B6298" s="42" t="s">
        <v>6671</v>
      </c>
      <c r="C6298" s="43" t="s">
        <v>289</v>
      </c>
      <c r="D6298" s="43" t="s">
        <v>1112</v>
      </c>
      <c r="E6298" s="43" t="s">
        <v>230</v>
      </c>
    </row>
    <row r="6299" spans="1:5" x14ac:dyDescent="0.25">
      <c r="A6299" s="41">
        <v>19455</v>
      </c>
      <c r="B6299" s="42" t="s">
        <v>6672</v>
      </c>
      <c r="C6299" s="43" t="s">
        <v>289</v>
      </c>
      <c r="D6299" s="43" t="s">
        <v>1112</v>
      </c>
      <c r="E6299" s="43" t="s">
        <v>230</v>
      </c>
    </row>
    <row r="6300" spans="1:5" x14ac:dyDescent="0.25">
      <c r="A6300" s="41">
        <v>19456</v>
      </c>
      <c r="B6300" s="42" t="s">
        <v>6673</v>
      </c>
      <c r="C6300" s="43" t="s">
        <v>289</v>
      </c>
      <c r="D6300" s="43" t="s">
        <v>1112</v>
      </c>
      <c r="E6300" s="43" t="s">
        <v>230</v>
      </c>
    </row>
    <row r="6301" spans="1:5" x14ac:dyDescent="0.25">
      <c r="A6301" s="41">
        <v>19457</v>
      </c>
      <c r="B6301" s="42" t="s">
        <v>6674</v>
      </c>
      <c r="C6301" s="43" t="s">
        <v>289</v>
      </c>
      <c r="D6301" s="43" t="s">
        <v>1112</v>
      </c>
      <c r="E6301" s="43" t="s">
        <v>230</v>
      </c>
    </row>
    <row r="6302" spans="1:5" x14ac:dyDescent="0.25">
      <c r="A6302" s="41">
        <v>19458</v>
      </c>
      <c r="B6302" s="42" t="s">
        <v>6675</v>
      </c>
      <c r="C6302" s="43" t="s">
        <v>289</v>
      </c>
      <c r="D6302" s="43" t="s">
        <v>327</v>
      </c>
      <c r="E6302" s="43" t="s">
        <v>217</v>
      </c>
    </row>
    <row r="6303" spans="1:5" x14ac:dyDescent="0.25">
      <c r="A6303" s="41">
        <v>19459</v>
      </c>
      <c r="B6303" s="42" t="s">
        <v>6676</v>
      </c>
      <c r="C6303" s="43" t="s">
        <v>289</v>
      </c>
      <c r="D6303" s="43" t="s">
        <v>327</v>
      </c>
      <c r="E6303" s="43" t="s">
        <v>230</v>
      </c>
    </row>
    <row r="6304" spans="1:5" x14ac:dyDescent="0.25">
      <c r="A6304" s="41">
        <v>19460</v>
      </c>
      <c r="B6304" s="42" t="s">
        <v>6677</v>
      </c>
      <c r="C6304" s="43" t="s">
        <v>289</v>
      </c>
      <c r="D6304" s="43" t="s">
        <v>327</v>
      </c>
      <c r="E6304" s="43" t="s">
        <v>217</v>
      </c>
    </row>
    <row r="6305" spans="1:5" x14ac:dyDescent="0.25">
      <c r="A6305" s="41">
        <v>19461</v>
      </c>
      <c r="B6305" s="42" t="s">
        <v>6678</v>
      </c>
      <c r="C6305" s="43" t="s">
        <v>289</v>
      </c>
      <c r="D6305" s="43" t="s">
        <v>327</v>
      </c>
      <c r="E6305" s="43" t="s">
        <v>404</v>
      </c>
    </row>
    <row r="6306" spans="1:5" x14ac:dyDescent="0.25">
      <c r="A6306" s="41">
        <v>19462</v>
      </c>
      <c r="B6306" s="42" t="s">
        <v>6679</v>
      </c>
      <c r="C6306" s="43" t="s">
        <v>289</v>
      </c>
      <c r="D6306" s="43" t="s">
        <v>327</v>
      </c>
      <c r="E6306" s="43" t="s">
        <v>336</v>
      </c>
    </row>
    <row r="6307" spans="1:5" x14ac:dyDescent="0.25">
      <c r="A6307" s="41">
        <v>19463</v>
      </c>
      <c r="B6307" s="42" t="s">
        <v>6680</v>
      </c>
      <c r="C6307" s="43" t="s">
        <v>289</v>
      </c>
      <c r="D6307" s="43" t="s">
        <v>996</v>
      </c>
      <c r="E6307" s="43" t="s">
        <v>230</v>
      </c>
    </row>
    <row r="6308" spans="1:5" x14ac:dyDescent="0.25">
      <c r="A6308" s="41">
        <v>19464</v>
      </c>
      <c r="B6308" s="42" t="s">
        <v>6681</v>
      </c>
      <c r="C6308" s="43" t="s">
        <v>289</v>
      </c>
      <c r="D6308" s="43" t="s">
        <v>996</v>
      </c>
      <c r="E6308" s="43" t="s">
        <v>230</v>
      </c>
    </row>
    <row r="6309" spans="1:5" x14ac:dyDescent="0.25">
      <c r="A6309" s="41">
        <v>19465</v>
      </c>
      <c r="B6309" s="42" t="s">
        <v>6682</v>
      </c>
      <c r="C6309" s="43" t="s">
        <v>289</v>
      </c>
      <c r="D6309" s="43" t="s">
        <v>996</v>
      </c>
      <c r="E6309" s="43" t="s">
        <v>230</v>
      </c>
    </row>
    <row r="6310" spans="1:5" x14ac:dyDescent="0.25">
      <c r="A6310" s="41">
        <v>19466</v>
      </c>
      <c r="B6310" s="42" t="s">
        <v>6683</v>
      </c>
      <c r="C6310" s="43" t="s">
        <v>289</v>
      </c>
      <c r="D6310" s="43" t="s">
        <v>6141</v>
      </c>
      <c r="E6310" s="43" t="s">
        <v>230</v>
      </c>
    </row>
    <row r="6311" spans="1:5" x14ac:dyDescent="0.25">
      <c r="A6311" s="41">
        <v>19467</v>
      </c>
      <c r="B6311" s="42" t="s">
        <v>6684</v>
      </c>
      <c r="C6311" s="43" t="s">
        <v>289</v>
      </c>
      <c r="D6311" s="43" t="s">
        <v>835</v>
      </c>
      <c r="E6311" s="43" t="s">
        <v>230</v>
      </c>
    </row>
    <row r="6312" spans="1:5" x14ac:dyDescent="0.25">
      <c r="A6312" s="41">
        <v>19468</v>
      </c>
      <c r="B6312" s="42" t="s">
        <v>6685</v>
      </c>
      <c r="C6312" s="43" t="s">
        <v>289</v>
      </c>
      <c r="D6312" s="43" t="s">
        <v>835</v>
      </c>
      <c r="E6312" s="43" t="s">
        <v>230</v>
      </c>
    </row>
    <row r="6313" spans="1:5" x14ac:dyDescent="0.25">
      <c r="A6313" s="41">
        <v>19469</v>
      </c>
      <c r="B6313" s="42" t="s">
        <v>6686</v>
      </c>
      <c r="C6313" s="43" t="s">
        <v>289</v>
      </c>
      <c r="D6313" s="43" t="s">
        <v>440</v>
      </c>
      <c r="E6313" s="43" t="s">
        <v>230</v>
      </c>
    </row>
    <row r="6314" spans="1:5" x14ac:dyDescent="0.25">
      <c r="A6314" s="41">
        <v>19470</v>
      </c>
      <c r="B6314" s="42" t="s">
        <v>6687</v>
      </c>
      <c r="C6314" s="43" t="s">
        <v>289</v>
      </c>
      <c r="D6314" s="43" t="s">
        <v>1041</v>
      </c>
      <c r="E6314" s="43" t="s">
        <v>230</v>
      </c>
    </row>
    <row r="6315" spans="1:5" x14ac:dyDescent="0.25">
      <c r="A6315" s="41">
        <v>19471</v>
      </c>
      <c r="B6315" s="42" t="s">
        <v>6688</v>
      </c>
      <c r="C6315" s="43" t="s">
        <v>289</v>
      </c>
      <c r="D6315" s="43" t="s">
        <v>1041</v>
      </c>
      <c r="E6315" s="43" t="s">
        <v>230</v>
      </c>
    </row>
    <row r="6316" spans="1:5" x14ac:dyDescent="0.25">
      <c r="A6316" s="41">
        <v>19472</v>
      </c>
      <c r="B6316" s="42" t="s">
        <v>6689</v>
      </c>
      <c r="C6316" s="43" t="s">
        <v>289</v>
      </c>
      <c r="D6316" s="43" t="s">
        <v>1041</v>
      </c>
      <c r="E6316" s="43" t="s">
        <v>230</v>
      </c>
    </row>
    <row r="6317" spans="1:5" x14ac:dyDescent="0.25">
      <c r="A6317" s="41">
        <v>19473</v>
      </c>
      <c r="B6317" s="42" t="s">
        <v>6690</v>
      </c>
      <c r="C6317" s="43" t="s">
        <v>289</v>
      </c>
      <c r="D6317" s="43" t="s">
        <v>1112</v>
      </c>
      <c r="E6317" s="43" t="s">
        <v>230</v>
      </c>
    </row>
    <row r="6318" spans="1:5" x14ac:dyDescent="0.25">
      <c r="A6318" s="41">
        <v>19474</v>
      </c>
      <c r="B6318" s="42" t="s">
        <v>6691</v>
      </c>
      <c r="C6318" s="43" t="s">
        <v>289</v>
      </c>
      <c r="D6318" s="43" t="s">
        <v>1112</v>
      </c>
      <c r="E6318" s="43" t="s">
        <v>230</v>
      </c>
    </row>
    <row r="6319" spans="1:5" x14ac:dyDescent="0.25">
      <c r="A6319" s="41">
        <v>19476</v>
      </c>
      <c r="B6319" s="42" t="s">
        <v>6692</v>
      </c>
      <c r="C6319" s="43" t="s">
        <v>289</v>
      </c>
      <c r="D6319" s="43" t="s">
        <v>6693</v>
      </c>
      <c r="E6319" s="43" t="s">
        <v>454</v>
      </c>
    </row>
    <row r="6320" spans="1:5" x14ac:dyDescent="0.25">
      <c r="A6320" s="41">
        <v>19477</v>
      </c>
      <c r="B6320" s="42" t="s">
        <v>6694</v>
      </c>
      <c r="C6320" s="43" t="s">
        <v>289</v>
      </c>
      <c r="D6320" s="43" t="s">
        <v>314</v>
      </c>
      <c r="E6320" s="43" t="s">
        <v>464</v>
      </c>
    </row>
    <row r="6321" spans="1:5" x14ac:dyDescent="0.25">
      <c r="A6321" s="41">
        <v>19478</v>
      </c>
      <c r="B6321" s="42" t="s">
        <v>6695</v>
      </c>
      <c r="C6321" s="43" t="s">
        <v>289</v>
      </c>
      <c r="D6321" s="43" t="s">
        <v>1112</v>
      </c>
      <c r="E6321" s="43" t="s">
        <v>230</v>
      </c>
    </row>
    <row r="6322" spans="1:5" x14ac:dyDescent="0.25">
      <c r="A6322" s="41">
        <v>19480</v>
      </c>
      <c r="B6322" s="42" t="s">
        <v>6696</v>
      </c>
      <c r="C6322" s="43" t="s">
        <v>289</v>
      </c>
      <c r="D6322" s="43" t="s">
        <v>996</v>
      </c>
      <c r="E6322" s="43" t="s">
        <v>454</v>
      </c>
    </row>
    <row r="6323" spans="1:5" x14ac:dyDescent="0.25">
      <c r="A6323" s="41">
        <v>19481</v>
      </c>
      <c r="B6323" s="42" t="s">
        <v>6697</v>
      </c>
      <c r="C6323" s="43" t="s">
        <v>289</v>
      </c>
      <c r="D6323" s="43" t="s">
        <v>996</v>
      </c>
      <c r="E6323" s="43" t="s">
        <v>454</v>
      </c>
    </row>
    <row r="6324" spans="1:5" x14ac:dyDescent="0.25">
      <c r="A6324" s="41">
        <v>19482</v>
      </c>
      <c r="B6324" s="42" t="s">
        <v>6698</v>
      </c>
      <c r="C6324" s="43" t="s">
        <v>289</v>
      </c>
      <c r="D6324" s="43" t="s">
        <v>996</v>
      </c>
      <c r="E6324" s="43" t="s">
        <v>454</v>
      </c>
    </row>
    <row r="6325" spans="1:5" x14ac:dyDescent="0.25">
      <c r="A6325" s="41">
        <v>19483</v>
      </c>
      <c r="B6325" s="42" t="s">
        <v>6699</v>
      </c>
      <c r="C6325" s="43" t="s">
        <v>289</v>
      </c>
      <c r="D6325" s="43" t="s">
        <v>996</v>
      </c>
      <c r="E6325" s="43" t="s">
        <v>454</v>
      </c>
    </row>
    <row r="6326" spans="1:5" x14ac:dyDescent="0.25">
      <c r="A6326" s="41">
        <v>19484</v>
      </c>
      <c r="B6326" s="42" t="s">
        <v>6700</v>
      </c>
      <c r="C6326" s="43" t="s">
        <v>289</v>
      </c>
      <c r="D6326" s="43" t="s">
        <v>996</v>
      </c>
      <c r="E6326" s="43" t="s">
        <v>454</v>
      </c>
    </row>
    <row r="6327" spans="1:5" x14ac:dyDescent="0.25">
      <c r="A6327" s="41">
        <v>19485</v>
      </c>
      <c r="B6327" s="42" t="s">
        <v>6701</v>
      </c>
      <c r="C6327" s="43" t="s">
        <v>289</v>
      </c>
      <c r="D6327" s="43" t="s">
        <v>996</v>
      </c>
      <c r="E6327" s="43" t="s">
        <v>454</v>
      </c>
    </row>
    <row r="6328" spans="1:5" x14ac:dyDescent="0.25">
      <c r="A6328" s="41">
        <v>19486</v>
      </c>
      <c r="B6328" s="42" t="s">
        <v>6702</v>
      </c>
      <c r="C6328" s="43" t="s">
        <v>289</v>
      </c>
      <c r="D6328" s="43" t="s">
        <v>5014</v>
      </c>
      <c r="E6328" s="43" t="s">
        <v>230</v>
      </c>
    </row>
    <row r="6329" spans="1:5" x14ac:dyDescent="0.25">
      <c r="A6329" s="41">
        <v>19487</v>
      </c>
      <c r="B6329" s="42" t="s">
        <v>6703</v>
      </c>
      <c r="C6329" s="43" t="s">
        <v>289</v>
      </c>
      <c r="D6329" s="43" t="s">
        <v>5014</v>
      </c>
      <c r="E6329" s="43" t="s">
        <v>230</v>
      </c>
    </row>
    <row r="6330" spans="1:5" x14ac:dyDescent="0.25">
      <c r="A6330" s="41">
        <v>19488</v>
      </c>
      <c r="B6330" s="42" t="s">
        <v>6704</v>
      </c>
      <c r="C6330" s="43" t="s">
        <v>289</v>
      </c>
      <c r="D6330" s="43" t="s">
        <v>996</v>
      </c>
      <c r="E6330" s="43" t="s">
        <v>454</v>
      </c>
    </row>
    <row r="6331" spans="1:5" x14ac:dyDescent="0.25">
      <c r="A6331" s="41">
        <v>19489</v>
      </c>
      <c r="B6331" s="42" t="s">
        <v>6705</v>
      </c>
      <c r="C6331" s="43" t="s">
        <v>289</v>
      </c>
      <c r="D6331" s="43" t="s">
        <v>996</v>
      </c>
      <c r="E6331" s="43" t="s">
        <v>454</v>
      </c>
    </row>
    <row r="6332" spans="1:5" x14ac:dyDescent="0.25">
      <c r="A6332" s="41">
        <v>19490</v>
      </c>
      <c r="B6332" s="42" t="s">
        <v>6706</v>
      </c>
      <c r="C6332" s="43" t="s">
        <v>289</v>
      </c>
      <c r="D6332" s="43" t="s">
        <v>996</v>
      </c>
      <c r="E6332" s="43" t="s">
        <v>454</v>
      </c>
    </row>
    <row r="6333" spans="1:5" x14ac:dyDescent="0.25">
      <c r="A6333" s="41">
        <v>19491</v>
      </c>
      <c r="B6333" s="42" t="s">
        <v>6707</v>
      </c>
      <c r="C6333" s="43" t="s">
        <v>289</v>
      </c>
      <c r="D6333" s="43" t="s">
        <v>327</v>
      </c>
      <c r="E6333" s="43" t="s">
        <v>230</v>
      </c>
    </row>
    <row r="6334" spans="1:5" x14ac:dyDescent="0.25">
      <c r="A6334" s="41">
        <v>19492</v>
      </c>
      <c r="B6334" s="42" t="s">
        <v>6708</v>
      </c>
      <c r="C6334" s="43" t="s">
        <v>289</v>
      </c>
      <c r="D6334" s="43" t="s">
        <v>327</v>
      </c>
      <c r="E6334" s="43" t="s">
        <v>230</v>
      </c>
    </row>
    <row r="6335" spans="1:5" x14ac:dyDescent="0.25">
      <c r="A6335" s="41">
        <v>19493</v>
      </c>
      <c r="B6335" s="42" t="s">
        <v>6709</v>
      </c>
      <c r="C6335" s="43" t="s">
        <v>289</v>
      </c>
      <c r="D6335" s="43" t="s">
        <v>327</v>
      </c>
      <c r="E6335" s="43" t="s">
        <v>230</v>
      </c>
    </row>
    <row r="6336" spans="1:5" x14ac:dyDescent="0.25">
      <c r="A6336" s="41">
        <v>19494</v>
      </c>
      <c r="B6336" s="42" t="s">
        <v>6710</v>
      </c>
      <c r="C6336" s="43" t="s">
        <v>289</v>
      </c>
      <c r="D6336" s="43" t="s">
        <v>499</v>
      </c>
      <c r="E6336" s="43" t="s">
        <v>472</v>
      </c>
    </row>
    <row r="6337" spans="1:5" x14ac:dyDescent="0.25">
      <c r="A6337" s="41">
        <v>19495</v>
      </c>
      <c r="B6337" s="42" t="s">
        <v>6711</v>
      </c>
      <c r="C6337" s="43" t="s">
        <v>289</v>
      </c>
      <c r="D6337" s="43" t="s">
        <v>499</v>
      </c>
      <c r="E6337" s="43" t="s">
        <v>472</v>
      </c>
    </row>
    <row r="6338" spans="1:5" x14ac:dyDescent="0.25">
      <c r="A6338" s="41">
        <v>19496</v>
      </c>
      <c r="B6338" s="42" t="s">
        <v>6712</v>
      </c>
      <c r="C6338" s="43" t="s">
        <v>289</v>
      </c>
      <c r="D6338" s="43" t="s">
        <v>499</v>
      </c>
      <c r="E6338" s="43" t="s">
        <v>472</v>
      </c>
    </row>
    <row r="6339" spans="1:5" x14ac:dyDescent="0.25">
      <c r="A6339" s="41">
        <v>19497</v>
      </c>
      <c r="B6339" s="42" t="s">
        <v>6713</v>
      </c>
      <c r="C6339" s="43" t="s">
        <v>289</v>
      </c>
      <c r="D6339" s="43" t="s">
        <v>499</v>
      </c>
      <c r="E6339" s="43" t="s">
        <v>472</v>
      </c>
    </row>
    <row r="6340" spans="1:5" x14ac:dyDescent="0.25">
      <c r="A6340" s="41">
        <v>19498</v>
      </c>
      <c r="B6340" s="42" t="s">
        <v>6714</v>
      </c>
      <c r="C6340" s="43" t="s">
        <v>289</v>
      </c>
      <c r="D6340" s="43" t="s">
        <v>499</v>
      </c>
      <c r="E6340" s="43" t="s">
        <v>472</v>
      </c>
    </row>
    <row r="6341" spans="1:5" x14ac:dyDescent="0.25">
      <c r="A6341" s="41">
        <v>19499</v>
      </c>
      <c r="B6341" s="42" t="s">
        <v>6715</v>
      </c>
      <c r="C6341" s="43" t="s">
        <v>289</v>
      </c>
      <c r="D6341" s="43" t="s">
        <v>499</v>
      </c>
      <c r="E6341" s="43" t="s">
        <v>472</v>
      </c>
    </row>
    <row r="6342" spans="1:5" x14ac:dyDescent="0.25">
      <c r="A6342" s="41">
        <v>19500</v>
      </c>
      <c r="B6342" s="42" t="s">
        <v>6716</v>
      </c>
      <c r="C6342" s="43" t="s">
        <v>289</v>
      </c>
      <c r="D6342" s="43" t="s">
        <v>499</v>
      </c>
      <c r="E6342" s="43" t="s">
        <v>472</v>
      </c>
    </row>
    <row r="6343" spans="1:5" x14ac:dyDescent="0.25">
      <c r="A6343" s="41">
        <v>19501</v>
      </c>
      <c r="B6343" s="42" t="s">
        <v>6717</v>
      </c>
      <c r="C6343" s="43" t="s">
        <v>289</v>
      </c>
      <c r="D6343" s="43" t="s">
        <v>499</v>
      </c>
      <c r="E6343" s="43" t="s">
        <v>472</v>
      </c>
    </row>
    <row r="6344" spans="1:5" x14ac:dyDescent="0.25">
      <c r="A6344" s="41">
        <v>19502</v>
      </c>
      <c r="B6344" s="42" t="s">
        <v>6718</v>
      </c>
      <c r="C6344" s="43" t="s">
        <v>289</v>
      </c>
      <c r="D6344" s="43" t="s">
        <v>499</v>
      </c>
      <c r="E6344" s="43" t="s">
        <v>472</v>
      </c>
    </row>
    <row r="6345" spans="1:5" x14ac:dyDescent="0.25">
      <c r="A6345" s="41">
        <v>19504</v>
      </c>
      <c r="B6345" s="42" t="s">
        <v>6719</v>
      </c>
      <c r="C6345" s="43" t="s">
        <v>289</v>
      </c>
      <c r="D6345" s="43" t="s">
        <v>433</v>
      </c>
      <c r="E6345" s="43" t="s">
        <v>230</v>
      </c>
    </row>
    <row r="6346" spans="1:5" x14ac:dyDescent="0.25">
      <c r="A6346" s="41">
        <v>19505</v>
      </c>
      <c r="B6346" s="42" t="s">
        <v>6720</v>
      </c>
      <c r="C6346" s="43" t="s">
        <v>289</v>
      </c>
      <c r="D6346" s="43" t="s">
        <v>327</v>
      </c>
      <c r="E6346" s="43" t="s">
        <v>230</v>
      </c>
    </row>
    <row r="6347" spans="1:5" x14ac:dyDescent="0.25">
      <c r="A6347" s="41">
        <v>19506</v>
      </c>
      <c r="B6347" s="42" t="s">
        <v>6721</v>
      </c>
      <c r="C6347" s="43" t="s">
        <v>289</v>
      </c>
      <c r="D6347" s="43" t="s">
        <v>316</v>
      </c>
      <c r="E6347" s="43" t="s">
        <v>230</v>
      </c>
    </row>
    <row r="6348" spans="1:5" x14ac:dyDescent="0.25">
      <c r="A6348" s="41">
        <v>19507</v>
      </c>
      <c r="B6348" s="42" t="s">
        <v>6722</v>
      </c>
      <c r="C6348" s="43" t="s">
        <v>289</v>
      </c>
      <c r="D6348" s="43" t="s">
        <v>316</v>
      </c>
      <c r="E6348" s="43" t="s">
        <v>230</v>
      </c>
    </row>
    <row r="6349" spans="1:5" x14ac:dyDescent="0.25">
      <c r="A6349" s="41">
        <v>19508</v>
      </c>
      <c r="B6349" s="42" t="s">
        <v>6723</v>
      </c>
      <c r="C6349" s="43" t="s">
        <v>289</v>
      </c>
      <c r="D6349" s="43" t="s">
        <v>316</v>
      </c>
      <c r="E6349" s="43" t="s">
        <v>230</v>
      </c>
    </row>
    <row r="6350" spans="1:5" x14ac:dyDescent="0.25">
      <c r="A6350" s="41">
        <v>19509</v>
      </c>
      <c r="B6350" s="42" t="s">
        <v>6724</v>
      </c>
      <c r="C6350" s="43" t="s">
        <v>289</v>
      </c>
      <c r="D6350" s="43" t="s">
        <v>996</v>
      </c>
      <c r="E6350" s="43" t="s">
        <v>230</v>
      </c>
    </row>
    <row r="6351" spans="1:5" x14ac:dyDescent="0.25">
      <c r="A6351" s="41">
        <v>19510</v>
      </c>
      <c r="B6351" s="42" t="s">
        <v>6725</v>
      </c>
      <c r="C6351" s="43" t="s">
        <v>289</v>
      </c>
      <c r="D6351" s="43" t="s">
        <v>996</v>
      </c>
      <c r="E6351" s="43" t="s">
        <v>230</v>
      </c>
    </row>
    <row r="6352" spans="1:5" x14ac:dyDescent="0.25">
      <c r="A6352" s="41">
        <v>19511</v>
      </c>
      <c r="B6352" s="42" t="s">
        <v>6726</v>
      </c>
      <c r="C6352" s="43" t="s">
        <v>289</v>
      </c>
      <c r="D6352" s="43" t="s">
        <v>996</v>
      </c>
      <c r="E6352" s="43" t="s">
        <v>230</v>
      </c>
    </row>
    <row r="6353" spans="1:5" x14ac:dyDescent="0.25">
      <c r="A6353" s="41">
        <v>19512</v>
      </c>
      <c r="B6353" s="42" t="s">
        <v>6727</v>
      </c>
      <c r="C6353" s="43" t="s">
        <v>289</v>
      </c>
      <c r="D6353" s="43" t="s">
        <v>333</v>
      </c>
      <c r="E6353" s="43" t="s">
        <v>230</v>
      </c>
    </row>
    <row r="6354" spans="1:5" x14ac:dyDescent="0.25">
      <c r="A6354" s="41">
        <v>19513</v>
      </c>
      <c r="B6354" s="42" t="s">
        <v>6728</v>
      </c>
      <c r="C6354" s="43" t="s">
        <v>289</v>
      </c>
      <c r="D6354" s="43" t="s">
        <v>333</v>
      </c>
      <c r="E6354" s="43" t="s">
        <v>230</v>
      </c>
    </row>
    <row r="6355" spans="1:5" x14ac:dyDescent="0.25">
      <c r="A6355" s="41">
        <v>19514</v>
      </c>
      <c r="B6355" s="42" t="s">
        <v>6729</v>
      </c>
      <c r="C6355" s="43" t="s">
        <v>289</v>
      </c>
      <c r="D6355" s="43" t="s">
        <v>327</v>
      </c>
      <c r="E6355" s="43" t="s">
        <v>230</v>
      </c>
    </row>
    <row r="6356" spans="1:5" x14ac:dyDescent="0.25">
      <c r="A6356" s="41">
        <v>19515</v>
      </c>
      <c r="B6356" s="42" t="s">
        <v>6730</v>
      </c>
      <c r="C6356" s="43" t="s">
        <v>289</v>
      </c>
      <c r="D6356" s="43" t="s">
        <v>314</v>
      </c>
      <c r="E6356" s="43" t="s">
        <v>230</v>
      </c>
    </row>
    <row r="6357" spans="1:5" x14ac:dyDescent="0.25">
      <c r="A6357" s="41">
        <v>19516</v>
      </c>
      <c r="B6357" s="42" t="s">
        <v>6731</v>
      </c>
      <c r="C6357" s="43" t="s">
        <v>289</v>
      </c>
      <c r="D6357" s="43" t="s">
        <v>314</v>
      </c>
      <c r="E6357" s="43" t="s">
        <v>230</v>
      </c>
    </row>
    <row r="6358" spans="1:5" x14ac:dyDescent="0.25">
      <c r="A6358" s="41">
        <v>19517</v>
      </c>
      <c r="B6358" s="42" t="s">
        <v>6732</v>
      </c>
      <c r="C6358" s="43" t="s">
        <v>289</v>
      </c>
      <c r="D6358" s="43" t="s">
        <v>1112</v>
      </c>
      <c r="E6358" s="43" t="s">
        <v>230</v>
      </c>
    </row>
    <row r="6359" spans="1:5" x14ac:dyDescent="0.25">
      <c r="A6359" s="41">
        <v>19518</v>
      </c>
      <c r="B6359" s="42" t="s">
        <v>6733</v>
      </c>
      <c r="C6359" s="43" t="s">
        <v>289</v>
      </c>
      <c r="D6359" s="43" t="s">
        <v>327</v>
      </c>
      <c r="E6359" s="43" t="s">
        <v>230</v>
      </c>
    </row>
    <row r="6360" spans="1:5" x14ac:dyDescent="0.25">
      <c r="A6360" s="41">
        <v>19519</v>
      </c>
      <c r="B6360" s="42" t="s">
        <v>6734</v>
      </c>
      <c r="C6360" s="43" t="s">
        <v>289</v>
      </c>
      <c r="D6360" s="43" t="s">
        <v>327</v>
      </c>
      <c r="E6360" s="43" t="s">
        <v>230</v>
      </c>
    </row>
    <row r="6361" spans="1:5" x14ac:dyDescent="0.25">
      <c r="A6361" s="41">
        <v>19520</v>
      </c>
      <c r="B6361" s="42" t="s">
        <v>6735</v>
      </c>
      <c r="C6361" s="43" t="s">
        <v>289</v>
      </c>
      <c r="D6361" s="43" t="s">
        <v>327</v>
      </c>
      <c r="E6361" s="43" t="s">
        <v>230</v>
      </c>
    </row>
    <row r="6362" spans="1:5" x14ac:dyDescent="0.25">
      <c r="A6362" s="41">
        <v>19521</v>
      </c>
      <c r="B6362" s="42" t="s">
        <v>6736</v>
      </c>
      <c r="C6362" s="43" t="s">
        <v>289</v>
      </c>
      <c r="D6362" s="43" t="s">
        <v>327</v>
      </c>
      <c r="E6362" s="43" t="s">
        <v>230</v>
      </c>
    </row>
    <row r="6363" spans="1:5" x14ac:dyDescent="0.25">
      <c r="A6363" s="41">
        <v>19522</v>
      </c>
      <c r="B6363" s="42" t="s">
        <v>6737</v>
      </c>
      <c r="C6363" s="43" t="s">
        <v>289</v>
      </c>
      <c r="D6363" s="43" t="s">
        <v>327</v>
      </c>
      <c r="E6363" s="43" t="s">
        <v>230</v>
      </c>
    </row>
    <row r="6364" spans="1:5" x14ac:dyDescent="0.25">
      <c r="A6364" s="41">
        <v>19523</v>
      </c>
      <c r="B6364" s="42" t="s">
        <v>6738</v>
      </c>
      <c r="C6364" s="43" t="s">
        <v>289</v>
      </c>
      <c r="D6364" s="43" t="s">
        <v>327</v>
      </c>
      <c r="E6364" s="43" t="s">
        <v>230</v>
      </c>
    </row>
    <row r="6365" spans="1:5" x14ac:dyDescent="0.25">
      <c r="A6365" s="41">
        <v>19524</v>
      </c>
      <c r="B6365" s="42" t="s">
        <v>6739</v>
      </c>
      <c r="C6365" s="43" t="s">
        <v>289</v>
      </c>
      <c r="D6365" s="43" t="s">
        <v>327</v>
      </c>
      <c r="E6365" s="43" t="s">
        <v>230</v>
      </c>
    </row>
    <row r="6366" spans="1:5" x14ac:dyDescent="0.25">
      <c r="A6366" s="41">
        <v>19525</v>
      </c>
      <c r="B6366" s="42" t="s">
        <v>6740</v>
      </c>
      <c r="C6366" s="43" t="s">
        <v>289</v>
      </c>
      <c r="D6366" s="43" t="s">
        <v>327</v>
      </c>
      <c r="E6366" s="43" t="s">
        <v>230</v>
      </c>
    </row>
    <row r="6367" spans="1:5" x14ac:dyDescent="0.25">
      <c r="A6367" s="41">
        <v>19526</v>
      </c>
      <c r="B6367" s="42" t="s">
        <v>6741</v>
      </c>
      <c r="C6367" s="43" t="s">
        <v>289</v>
      </c>
      <c r="D6367" s="43" t="s">
        <v>327</v>
      </c>
      <c r="E6367" s="43" t="s">
        <v>230</v>
      </c>
    </row>
    <row r="6368" spans="1:5" x14ac:dyDescent="0.25">
      <c r="A6368" s="41">
        <v>19527</v>
      </c>
      <c r="B6368" s="42" t="s">
        <v>6742</v>
      </c>
      <c r="C6368" s="43" t="s">
        <v>289</v>
      </c>
      <c r="D6368" s="43" t="s">
        <v>327</v>
      </c>
      <c r="E6368" s="43" t="s">
        <v>230</v>
      </c>
    </row>
    <row r="6369" spans="1:5" x14ac:dyDescent="0.25">
      <c r="A6369" s="41">
        <v>19528</v>
      </c>
      <c r="B6369" s="42" t="s">
        <v>6743</v>
      </c>
      <c r="C6369" s="43" t="s">
        <v>289</v>
      </c>
      <c r="D6369" s="43" t="s">
        <v>327</v>
      </c>
      <c r="E6369" s="43" t="s">
        <v>230</v>
      </c>
    </row>
    <row r="6370" spans="1:5" x14ac:dyDescent="0.25">
      <c r="A6370" s="41">
        <v>19529</v>
      </c>
      <c r="B6370" s="42" t="s">
        <v>6744</v>
      </c>
      <c r="C6370" s="43" t="s">
        <v>289</v>
      </c>
      <c r="D6370" s="43" t="s">
        <v>327</v>
      </c>
      <c r="E6370" s="43" t="s">
        <v>230</v>
      </c>
    </row>
    <row r="6371" spans="1:5" x14ac:dyDescent="0.25">
      <c r="A6371" s="41">
        <v>19530</v>
      </c>
      <c r="B6371" s="42" t="s">
        <v>6745</v>
      </c>
      <c r="C6371" s="43" t="s">
        <v>289</v>
      </c>
      <c r="D6371" s="43" t="s">
        <v>327</v>
      </c>
      <c r="E6371" s="43" t="s">
        <v>230</v>
      </c>
    </row>
    <row r="6372" spans="1:5" x14ac:dyDescent="0.25">
      <c r="A6372" s="41">
        <v>19531</v>
      </c>
      <c r="B6372" s="42" t="s">
        <v>6746</v>
      </c>
      <c r="C6372" s="43" t="s">
        <v>289</v>
      </c>
      <c r="D6372" s="43" t="s">
        <v>327</v>
      </c>
      <c r="E6372" s="43" t="s">
        <v>230</v>
      </c>
    </row>
    <row r="6373" spans="1:5" x14ac:dyDescent="0.25">
      <c r="A6373" s="41">
        <v>19532</v>
      </c>
      <c r="B6373" s="42" t="s">
        <v>6747</v>
      </c>
      <c r="C6373" s="43" t="s">
        <v>289</v>
      </c>
      <c r="D6373" s="43" t="s">
        <v>6748</v>
      </c>
      <c r="E6373" s="43" t="s">
        <v>769</v>
      </c>
    </row>
    <row r="6374" spans="1:5" x14ac:dyDescent="0.25">
      <c r="A6374" s="41">
        <v>19533</v>
      </c>
      <c r="B6374" s="42" t="s">
        <v>6749</v>
      </c>
      <c r="C6374" s="43" t="s">
        <v>289</v>
      </c>
      <c r="D6374" s="43" t="s">
        <v>6748</v>
      </c>
      <c r="E6374" s="43" t="s">
        <v>769</v>
      </c>
    </row>
    <row r="6375" spans="1:5" x14ac:dyDescent="0.25">
      <c r="A6375" s="41">
        <v>19534</v>
      </c>
      <c r="B6375" s="42" t="s">
        <v>6750</v>
      </c>
      <c r="C6375" s="43" t="s">
        <v>289</v>
      </c>
      <c r="D6375" s="43" t="s">
        <v>6748</v>
      </c>
      <c r="E6375" s="43" t="s">
        <v>769</v>
      </c>
    </row>
    <row r="6376" spans="1:5" x14ac:dyDescent="0.25">
      <c r="A6376" s="41">
        <v>19535</v>
      </c>
      <c r="B6376" s="42" t="s">
        <v>6751</v>
      </c>
      <c r="C6376" s="43" t="s">
        <v>289</v>
      </c>
      <c r="D6376" s="43" t="s">
        <v>316</v>
      </c>
      <c r="E6376" s="43" t="s">
        <v>230</v>
      </c>
    </row>
    <row r="6377" spans="1:5" x14ac:dyDescent="0.25">
      <c r="A6377" s="41">
        <v>19536</v>
      </c>
      <c r="B6377" s="42" t="s">
        <v>6752</v>
      </c>
      <c r="C6377" s="43" t="s">
        <v>289</v>
      </c>
      <c r="D6377" s="43" t="s">
        <v>327</v>
      </c>
      <c r="E6377" s="43" t="s">
        <v>230</v>
      </c>
    </row>
    <row r="6378" spans="1:5" x14ac:dyDescent="0.25">
      <c r="A6378" s="41">
        <v>19537</v>
      </c>
      <c r="B6378" s="42" t="s">
        <v>6753</v>
      </c>
      <c r="C6378" s="43" t="s">
        <v>289</v>
      </c>
      <c r="D6378" s="43" t="s">
        <v>327</v>
      </c>
      <c r="E6378" s="43" t="s">
        <v>230</v>
      </c>
    </row>
    <row r="6379" spans="1:5" x14ac:dyDescent="0.25">
      <c r="A6379" s="41">
        <v>19538</v>
      </c>
      <c r="B6379" s="42" t="s">
        <v>6754</v>
      </c>
      <c r="C6379" s="43" t="s">
        <v>289</v>
      </c>
      <c r="D6379" s="43" t="s">
        <v>996</v>
      </c>
      <c r="E6379" s="43" t="s">
        <v>230</v>
      </c>
    </row>
    <row r="6380" spans="1:5" x14ac:dyDescent="0.25">
      <c r="A6380" s="41">
        <v>19539</v>
      </c>
      <c r="B6380" s="42" t="s">
        <v>6755</v>
      </c>
      <c r="C6380" s="43" t="s">
        <v>289</v>
      </c>
      <c r="D6380" s="43" t="s">
        <v>996</v>
      </c>
      <c r="E6380" s="43" t="s">
        <v>230</v>
      </c>
    </row>
    <row r="6381" spans="1:5" x14ac:dyDescent="0.25">
      <c r="A6381" s="41">
        <v>19540</v>
      </c>
      <c r="B6381" s="42" t="s">
        <v>6756</v>
      </c>
      <c r="C6381" s="43" t="s">
        <v>289</v>
      </c>
      <c r="D6381" s="43" t="s">
        <v>996</v>
      </c>
      <c r="E6381" s="43" t="s">
        <v>230</v>
      </c>
    </row>
    <row r="6382" spans="1:5" x14ac:dyDescent="0.25">
      <c r="A6382" s="41">
        <v>19541</v>
      </c>
      <c r="B6382" s="42" t="s">
        <v>6757</v>
      </c>
      <c r="C6382" s="43" t="s">
        <v>289</v>
      </c>
      <c r="D6382" s="43" t="s">
        <v>996</v>
      </c>
      <c r="E6382" s="43" t="s">
        <v>230</v>
      </c>
    </row>
    <row r="6383" spans="1:5" x14ac:dyDescent="0.25">
      <c r="A6383" s="41">
        <v>19542</v>
      </c>
      <c r="B6383" s="42" t="s">
        <v>6758</v>
      </c>
      <c r="C6383" s="43" t="s">
        <v>289</v>
      </c>
      <c r="D6383" s="43" t="s">
        <v>6035</v>
      </c>
      <c r="E6383" s="43" t="s">
        <v>769</v>
      </c>
    </row>
    <row r="6384" spans="1:5" x14ac:dyDescent="0.25">
      <c r="A6384" s="41">
        <v>19544</v>
      </c>
      <c r="B6384" s="42" t="s">
        <v>6759</v>
      </c>
      <c r="C6384" s="43" t="s">
        <v>289</v>
      </c>
      <c r="D6384" s="43" t="s">
        <v>1112</v>
      </c>
      <c r="E6384" s="43" t="s">
        <v>230</v>
      </c>
    </row>
    <row r="6385" spans="1:5" x14ac:dyDescent="0.25">
      <c r="A6385" s="41">
        <v>19545</v>
      </c>
      <c r="B6385" s="42" t="s">
        <v>6760</v>
      </c>
      <c r="C6385" s="43" t="s">
        <v>289</v>
      </c>
      <c r="D6385" s="43" t="s">
        <v>996</v>
      </c>
      <c r="E6385" s="43" t="s">
        <v>230</v>
      </c>
    </row>
    <row r="6386" spans="1:5" x14ac:dyDescent="0.25">
      <c r="A6386" s="41">
        <v>19546</v>
      </c>
      <c r="B6386" s="42" t="s">
        <v>6761</v>
      </c>
      <c r="C6386" s="43" t="s">
        <v>289</v>
      </c>
      <c r="D6386" s="43" t="s">
        <v>941</v>
      </c>
      <c r="E6386" s="43" t="s">
        <v>230</v>
      </c>
    </row>
    <row r="6387" spans="1:5" x14ac:dyDescent="0.25">
      <c r="A6387" s="41">
        <v>19547</v>
      </c>
      <c r="B6387" s="42" t="s">
        <v>6762</v>
      </c>
      <c r="C6387" s="43" t="s">
        <v>289</v>
      </c>
      <c r="D6387" s="43" t="s">
        <v>6141</v>
      </c>
      <c r="E6387" s="43" t="s">
        <v>230</v>
      </c>
    </row>
    <row r="6388" spans="1:5" x14ac:dyDescent="0.25">
      <c r="A6388" s="41">
        <v>19548</v>
      </c>
      <c r="B6388" s="42" t="s">
        <v>6763</v>
      </c>
      <c r="C6388" s="43" t="s">
        <v>289</v>
      </c>
      <c r="D6388" s="43" t="s">
        <v>6141</v>
      </c>
      <c r="E6388" s="43" t="s">
        <v>230</v>
      </c>
    </row>
    <row r="6389" spans="1:5" x14ac:dyDescent="0.25">
      <c r="A6389" s="41">
        <v>19549</v>
      </c>
      <c r="B6389" s="42" t="s">
        <v>6764</v>
      </c>
      <c r="C6389" s="43" t="s">
        <v>289</v>
      </c>
      <c r="D6389" s="43" t="s">
        <v>6141</v>
      </c>
      <c r="E6389" s="43" t="s">
        <v>230</v>
      </c>
    </row>
    <row r="6390" spans="1:5" x14ac:dyDescent="0.25">
      <c r="A6390" s="41">
        <v>19551</v>
      </c>
      <c r="B6390" s="42" t="s">
        <v>6765</v>
      </c>
      <c r="C6390" s="43" t="s">
        <v>289</v>
      </c>
      <c r="D6390" s="43" t="s">
        <v>1138</v>
      </c>
      <c r="E6390" s="43" t="s">
        <v>230</v>
      </c>
    </row>
    <row r="6391" spans="1:5" x14ac:dyDescent="0.25">
      <c r="A6391" s="41">
        <v>19552</v>
      </c>
      <c r="B6391" s="42" t="s">
        <v>6766</v>
      </c>
      <c r="C6391" s="43" t="s">
        <v>289</v>
      </c>
      <c r="D6391" s="43" t="s">
        <v>1138</v>
      </c>
      <c r="E6391" s="43" t="s">
        <v>230</v>
      </c>
    </row>
    <row r="6392" spans="1:5" x14ac:dyDescent="0.25">
      <c r="A6392" s="41">
        <v>19553</v>
      </c>
      <c r="B6392" s="42" t="s">
        <v>6767</v>
      </c>
      <c r="C6392" s="43" t="s">
        <v>289</v>
      </c>
      <c r="D6392" s="43" t="s">
        <v>1138</v>
      </c>
      <c r="E6392" s="43" t="s">
        <v>230</v>
      </c>
    </row>
    <row r="6393" spans="1:5" x14ac:dyDescent="0.25">
      <c r="A6393" s="41">
        <v>19554</v>
      </c>
      <c r="B6393" s="42" t="s">
        <v>6768</v>
      </c>
      <c r="C6393" s="43" t="s">
        <v>289</v>
      </c>
      <c r="D6393" s="43" t="s">
        <v>1138</v>
      </c>
      <c r="E6393" s="43" t="s">
        <v>230</v>
      </c>
    </row>
    <row r="6394" spans="1:5" x14ac:dyDescent="0.25">
      <c r="A6394" s="41">
        <v>19556</v>
      </c>
      <c r="B6394" s="42" t="s">
        <v>6769</v>
      </c>
      <c r="C6394" s="43" t="s">
        <v>289</v>
      </c>
      <c r="D6394" s="43" t="s">
        <v>1138</v>
      </c>
      <c r="E6394" s="43" t="s">
        <v>230</v>
      </c>
    </row>
    <row r="6395" spans="1:5" x14ac:dyDescent="0.25">
      <c r="A6395" s="41">
        <v>19557</v>
      </c>
      <c r="B6395" s="42" t="s">
        <v>6770</v>
      </c>
      <c r="C6395" s="43" t="s">
        <v>289</v>
      </c>
      <c r="D6395" s="43" t="s">
        <v>1138</v>
      </c>
      <c r="E6395" s="43" t="s">
        <v>454</v>
      </c>
    </row>
    <row r="6396" spans="1:5" x14ac:dyDescent="0.25">
      <c r="A6396" s="41">
        <v>19561</v>
      </c>
      <c r="B6396" s="42" t="s">
        <v>6771</v>
      </c>
      <c r="C6396" s="43" t="s">
        <v>289</v>
      </c>
      <c r="D6396" s="43" t="s">
        <v>316</v>
      </c>
      <c r="E6396" s="43" t="s">
        <v>230</v>
      </c>
    </row>
    <row r="6397" spans="1:5" x14ac:dyDescent="0.25">
      <c r="A6397" s="41">
        <v>19562</v>
      </c>
      <c r="B6397" s="42" t="s">
        <v>6772</v>
      </c>
      <c r="C6397" s="43" t="s">
        <v>289</v>
      </c>
      <c r="D6397" s="43" t="s">
        <v>316</v>
      </c>
      <c r="E6397" s="43" t="s">
        <v>230</v>
      </c>
    </row>
    <row r="6398" spans="1:5" x14ac:dyDescent="0.25">
      <c r="A6398" s="41">
        <v>19563</v>
      </c>
      <c r="B6398" s="42" t="s">
        <v>6773</v>
      </c>
      <c r="C6398" s="43" t="s">
        <v>289</v>
      </c>
      <c r="D6398" s="43" t="s">
        <v>635</v>
      </c>
      <c r="E6398" s="43" t="s">
        <v>230</v>
      </c>
    </row>
    <row r="6399" spans="1:5" x14ac:dyDescent="0.25">
      <c r="A6399" s="41">
        <v>19564</v>
      </c>
      <c r="B6399" s="42" t="s">
        <v>6774</v>
      </c>
      <c r="C6399" s="43" t="s">
        <v>289</v>
      </c>
      <c r="D6399" s="43" t="s">
        <v>1112</v>
      </c>
      <c r="E6399" s="43" t="s">
        <v>464</v>
      </c>
    </row>
    <row r="6400" spans="1:5" x14ac:dyDescent="0.25">
      <c r="A6400" s="41">
        <v>19565</v>
      </c>
      <c r="B6400" s="42" t="s">
        <v>6775</v>
      </c>
      <c r="C6400" s="43" t="s">
        <v>289</v>
      </c>
      <c r="D6400" s="43" t="s">
        <v>1112</v>
      </c>
      <c r="E6400" s="43" t="s">
        <v>464</v>
      </c>
    </row>
    <row r="6401" spans="1:5" x14ac:dyDescent="0.25">
      <c r="A6401" s="41">
        <v>19566</v>
      </c>
      <c r="B6401" s="42" t="s">
        <v>6776</v>
      </c>
      <c r="C6401" s="43" t="s">
        <v>289</v>
      </c>
      <c r="D6401" s="43" t="s">
        <v>327</v>
      </c>
      <c r="E6401" s="43" t="s">
        <v>230</v>
      </c>
    </row>
    <row r="6402" spans="1:5" x14ac:dyDescent="0.25">
      <c r="A6402" s="41">
        <v>19567</v>
      </c>
      <c r="B6402" s="42" t="s">
        <v>6777</v>
      </c>
      <c r="C6402" s="43" t="s">
        <v>289</v>
      </c>
      <c r="D6402" s="43" t="s">
        <v>327</v>
      </c>
      <c r="E6402" s="43" t="s">
        <v>230</v>
      </c>
    </row>
    <row r="6403" spans="1:5" x14ac:dyDescent="0.25">
      <c r="A6403" s="41">
        <v>19568</v>
      </c>
      <c r="B6403" s="42" t="s">
        <v>6778</v>
      </c>
      <c r="C6403" s="43" t="s">
        <v>289</v>
      </c>
      <c r="D6403" s="43" t="s">
        <v>327</v>
      </c>
      <c r="E6403" s="43" t="s">
        <v>230</v>
      </c>
    </row>
    <row r="6404" spans="1:5" x14ac:dyDescent="0.25">
      <c r="A6404" s="41">
        <v>19569</v>
      </c>
      <c r="B6404" s="42" t="s">
        <v>6779</v>
      </c>
      <c r="C6404" s="43" t="s">
        <v>289</v>
      </c>
      <c r="D6404" s="43" t="s">
        <v>316</v>
      </c>
      <c r="E6404" s="43" t="s">
        <v>230</v>
      </c>
    </row>
    <row r="6405" spans="1:5" x14ac:dyDescent="0.25">
      <c r="A6405" s="41">
        <v>19570</v>
      </c>
      <c r="B6405" s="42" t="s">
        <v>6780</v>
      </c>
      <c r="C6405" s="43" t="s">
        <v>289</v>
      </c>
      <c r="D6405" s="43" t="s">
        <v>316</v>
      </c>
      <c r="E6405" s="43" t="s">
        <v>230</v>
      </c>
    </row>
    <row r="6406" spans="1:5" x14ac:dyDescent="0.25">
      <c r="A6406" s="41">
        <v>19571</v>
      </c>
      <c r="B6406" s="42" t="s">
        <v>6781</v>
      </c>
      <c r="C6406" s="43" t="s">
        <v>289</v>
      </c>
      <c r="D6406" s="43" t="s">
        <v>694</v>
      </c>
      <c r="E6406" s="43" t="s">
        <v>531</v>
      </c>
    </row>
    <row r="6407" spans="1:5" x14ac:dyDescent="0.25">
      <c r="A6407" s="41">
        <v>19572</v>
      </c>
      <c r="B6407" s="42" t="s">
        <v>6782</v>
      </c>
      <c r="C6407" s="43" t="s">
        <v>289</v>
      </c>
      <c r="D6407" s="43" t="s">
        <v>316</v>
      </c>
      <c r="E6407" s="43" t="s">
        <v>230</v>
      </c>
    </row>
    <row r="6408" spans="1:5" x14ac:dyDescent="0.25">
      <c r="A6408" s="41">
        <v>19573</v>
      </c>
      <c r="B6408" s="42" t="s">
        <v>6783</v>
      </c>
      <c r="C6408" s="43" t="s">
        <v>289</v>
      </c>
      <c r="D6408" s="43" t="s">
        <v>316</v>
      </c>
      <c r="E6408" s="43" t="s">
        <v>230</v>
      </c>
    </row>
    <row r="6409" spans="1:5" x14ac:dyDescent="0.25">
      <c r="A6409" s="41">
        <v>19574</v>
      </c>
      <c r="B6409" s="42" t="s">
        <v>6784</v>
      </c>
      <c r="C6409" s="43" t="s">
        <v>289</v>
      </c>
      <c r="D6409" s="43" t="s">
        <v>333</v>
      </c>
      <c r="E6409" s="43" t="s">
        <v>464</v>
      </c>
    </row>
    <row r="6410" spans="1:5" x14ac:dyDescent="0.25">
      <c r="A6410" s="41">
        <v>19575</v>
      </c>
      <c r="B6410" s="42" t="s">
        <v>6785</v>
      </c>
      <c r="C6410" s="43" t="s">
        <v>289</v>
      </c>
      <c r="D6410" s="43" t="s">
        <v>5833</v>
      </c>
      <c r="E6410" s="43" t="s">
        <v>373</v>
      </c>
    </row>
    <row r="6411" spans="1:5" x14ac:dyDescent="0.25">
      <c r="A6411" s="41">
        <v>19576</v>
      </c>
      <c r="B6411" s="42" t="s">
        <v>6786</v>
      </c>
      <c r="C6411" s="43" t="s">
        <v>289</v>
      </c>
      <c r="D6411" s="43" t="s">
        <v>333</v>
      </c>
      <c r="E6411" s="43" t="s">
        <v>170</v>
      </c>
    </row>
    <row r="6412" spans="1:5" x14ac:dyDescent="0.25">
      <c r="A6412" s="41">
        <v>19577</v>
      </c>
      <c r="B6412" s="42" t="s">
        <v>6787</v>
      </c>
      <c r="C6412" s="43" t="s">
        <v>289</v>
      </c>
      <c r="D6412" s="43" t="s">
        <v>290</v>
      </c>
      <c r="E6412" s="43" t="s">
        <v>170</v>
      </c>
    </row>
    <row r="6413" spans="1:5" x14ac:dyDescent="0.25">
      <c r="A6413" s="41">
        <v>19578</v>
      </c>
      <c r="B6413" s="42" t="s">
        <v>6788</v>
      </c>
      <c r="C6413" s="43" t="s">
        <v>289</v>
      </c>
      <c r="D6413" s="43" t="s">
        <v>5833</v>
      </c>
      <c r="E6413" s="43" t="s">
        <v>230</v>
      </c>
    </row>
    <row r="6414" spans="1:5" x14ac:dyDescent="0.25">
      <c r="A6414" s="41">
        <v>19579</v>
      </c>
      <c r="B6414" s="42" t="s">
        <v>6789</v>
      </c>
      <c r="C6414" s="43" t="s">
        <v>289</v>
      </c>
      <c r="D6414" s="43" t="s">
        <v>333</v>
      </c>
      <c r="E6414" s="43" t="s">
        <v>230</v>
      </c>
    </row>
    <row r="6415" spans="1:5" x14ac:dyDescent="0.25">
      <c r="A6415" s="41">
        <v>19581</v>
      </c>
      <c r="B6415" s="42" t="s">
        <v>6790</v>
      </c>
      <c r="C6415" s="43" t="s">
        <v>289</v>
      </c>
      <c r="D6415" s="43" t="s">
        <v>316</v>
      </c>
      <c r="E6415" s="43" t="s">
        <v>170</v>
      </c>
    </row>
    <row r="6416" spans="1:5" x14ac:dyDescent="0.25">
      <c r="A6416" s="41">
        <v>19582</v>
      </c>
      <c r="B6416" s="42" t="s">
        <v>6791</v>
      </c>
      <c r="C6416" s="43" t="s">
        <v>289</v>
      </c>
      <c r="D6416" s="43" t="s">
        <v>316</v>
      </c>
      <c r="E6416" s="43" t="s">
        <v>454</v>
      </c>
    </row>
    <row r="6417" spans="1:5" x14ac:dyDescent="0.25">
      <c r="A6417" s="41">
        <v>19583</v>
      </c>
      <c r="B6417" s="42" t="s">
        <v>6792</v>
      </c>
      <c r="C6417" s="43" t="s">
        <v>289</v>
      </c>
      <c r="D6417" s="43" t="s">
        <v>1112</v>
      </c>
      <c r="E6417" s="43" t="s">
        <v>230</v>
      </c>
    </row>
    <row r="6418" spans="1:5" x14ac:dyDescent="0.25">
      <c r="A6418" s="41">
        <v>19584</v>
      </c>
      <c r="B6418" s="42" t="s">
        <v>6793</v>
      </c>
      <c r="C6418" s="43" t="s">
        <v>289</v>
      </c>
      <c r="D6418" s="43" t="s">
        <v>1112</v>
      </c>
      <c r="E6418" s="43" t="s">
        <v>230</v>
      </c>
    </row>
    <row r="6419" spans="1:5" x14ac:dyDescent="0.25">
      <c r="A6419" s="41">
        <v>19586</v>
      </c>
      <c r="B6419" s="42" t="s">
        <v>6794</v>
      </c>
      <c r="C6419" s="43" t="s">
        <v>289</v>
      </c>
      <c r="D6419" s="43" t="s">
        <v>1112</v>
      </c>
      <c r="E6419" s="43" t="s">
        <v>230</v>
      </c>
    </row>
    <row r="6420" spans="1:5" x14ac:dyDescent="0.25">
      <c r="A6420" s="41">
        <v>19587</v>
      </c>
      <c r="B6420" s="42" t="s">
        <v>6795</v>
      </c>
      <c r="C6420" s="43" t="s">
        <v>289</v>
      </c>
      <c r="D6420" s="43" t="s">
        <v>314</v>
      </c>
      <c r="E6420" s="43" t="s">
        <v>230</v>
      </c>
    </row>
    <row r="6421" spans="1:5" x14ac:dyDescent="0.25">
      <c r="A6421" s="41">
        <v>19594</v>
      </c>
      <c r="B6421" s="42" t="s">
        <v>6796</v>
      </c>
      <c r="C6421" s="43" t="s">
        <v>289</v>
      </c>
      <c r="D6421" s="43" t="s">
        <v>633</v>
      </c>
      <c r="E6421" s="43" t="s">
        <v>454</v>
      </c>
    </row>
    <row r="6422" spans="1:5" x14ac:dyDescent="0.25">
      <c r="A6422" s="41">
        <v>19595</v>
      </c>
      <c r="B6422" s="42" t="s">
        <v>6797</v>
      </c>
      <c r="C6422" s="43" t="s">
        <v>289</v>
      </c>
      <c r="D6422" s="43" t="s">
        <v>633</v>
      </c>
      <c r="E6422" s="43" t="s">
        <v>464</v>
      </c>
    </row>
    <row r="6423" spans="1:5" x14ac:dyDescent="0.25">
      <c r="A6423" s="41">
        <v>19596</v>
      </c>
      <c r="B6423" s="42" t="s">
        <v>6798</v>
      </c>
      <c r="C6423" s="43" t="s">
        <v>289</v>
      </c>
      <c r="D6423" s="43" t="s">
        <v>6141</v>
      </c>
      <c r="E6423" s="43" t="s">
        <v>230</v>
      </c>
    </row>
    <row r="6424" spans="1:5" x14ac:dyDescent="0.25">
      <c r="A6424" s="41">
        <v>19597</v>
      </c>
      <c r="B6424" s="42" t="s">
        <v>6799</v>
      </c>
      <c r="C6424" s="43" t="s">
        <v>289</v>
      </c>
      <c r="D6424" s="43" t="s">
        <v>633</v>
      </c>
      <c r="E6424" s="43" t="s">
        <v>464</v>
      </c>
    </row>
    <row r="6425" spans="1:5" x14ac:dyDescent="0.25">
      <c r="A6425" s="41">
        <v>19598</v>
      </c>
      <c r="B6425" s="42" t="s">
        <v>6800</v>
      </c>
      <c r="C6425" s="43" t="s">
        <v>289</v>
      </c>
      <c r="D6425" s="43" t="s">
        <v>633</v>
      </c>
      <c r="E6425" s="43" t="s">
        <v>464</v>
      </c>
    </row>
    <row r="6426" spans="1:5" x14ac:dyDescent="0.25">
      <c r="A6426" s="41">
        <v>19601</v>
      </c>
      <c r="B6426" s="42" t="s">
        <v>6801</v>
      </c>
      <c r="C6426" s="43" t="s">
        <v>289</v>
      </c>
      <c r="D6426" s="43" t="s">
        <v>633</v>
      </c>
      <c r="E6426" s="43" t="s">
        <v>464</v>
      </c>
    </row>
    <row r="6427" spans="1:5" x14ac:dyDescent="0.25">
      <c r="A6427" s="41">
        <v>19602</v>
      </c>
      <c r="B6427" s="42" t="s">
        <v>6802</v>
      </c>
      <c r="C6427" s="43" t="s">
        <v>289</v>
      </c>
      <c r="D6427" s="43" t="s">
        <v>633</v>
      </c>
      <c r="E6427" s="43" t="s">
        <v>464</v>
      </c>
    </row>
    <row r="6428" spans="1:5" x14ac:dyDescent="0.25">
      <c r="A6428" s="41">
        <v>19603</v>
      </c>
      <c r="B6428" s="42" t="s">
        <v>6803</v>
      </c>
      <c r="C6428" s="43" t="s">
        <v>289</v>
      </c>
      <c r="D6428" s="43" t="s">
        <v>633</v>
      </c>
      <c r="E6428" s="43" t="s">
        <v>230</v>
      </c>
    </row>
    <row r="6429" spans="1:5" x14ac:dyDescent="0.25">
      <c r="A6429" s="41">
        <v>19604</v>
      </c>
      <c r="B6429" s="42" t="s">
        <v>6804</v>
      </c>
      <c r="C6429" s="43" t="s">
        <v>289</v>
      </c>
      <c r="D6429" s="43" t="s">
        <v>316</v>
      </c>
      <c r="E6429" s="43" t="s">
        <v>230</v>
      </c>
    </row>
    <row r="6430" spans="1:5" x14ac:dyDescent="0.25">
      <c r="A6430" s="41">
        <v>19605</v>
      </c>
      <c r="B6430" s="42" t="s">
        <v>6805</v>
      </c>
      <c r="C6430" s="43" t="s">
        <v>289</v>
      </c>
      <c r="D6430" s="43" t="s">
        <v>633</v>
      </c>
      <c r="E6430" s="43" t="s">
        <v>464</v>
      </c>
    </row>
    <row r="6431" spans="1:5" x14ac:dyDescent="0.25">
      <c r="A6431" s="41">
        <v>19606</v>
      </c>
      <c r="B6431" s="42" t="s">
        <v>6806</v>
      </c>
      <c r="C6431" s="43" t="s">
        <v>289</v>
      </c>
      <c r="D6431" s="43" t="s">
        <v>327</v>
      </c>
      <c r="E6431" s="43" t="s">
        <v>230</v>
      </c>
    </row>
    <row r="6432" spans="1:5" x14ac:dyDescent="0.25">
      <c r="A6432" s="41">
        <v>19607</v>
      </c>
      <c r="B6432" s="42" t="s">
        <v>6807</v>
      </c>
      <c r="C6432" s="43" t="s">
        <v>289</v>
      </c>
      <c r="D6432" s="43" t="s">
        <v>316</v>
      </c>
      <c r="E6432" s="43" t="s">
        <v>464</v>
      </c>
    </row>
    <row r="6433" spans="1:5" x14ac:dyDescent="0.25">
      <c r="A6433" s="41">
        <v>19608</v>
      </c>
      <c r="B6433" s="42" t="s">
        <v>6808</v>
      </c>
      <c r="C6433" s="43" t="s">
        <v>289</v>
      </c>
      <c r="D6433" s="43" t="s">
        <v>316</v>
      </c>
      <c r="E6433" s="43" t="s">
        <v>464</v>
      </c>
    </row>
    <row r="6434" spans="1:5" x14ac:dyDescent="0.25">
      <c r="A6434" s="41">
        <v>19609</v>
      </c>
      <c r="B6434" s="42" t="s">
        <v>6809</v>
      </c>
      <c r="C6434" s="43" t="s">
        <v>289</v>
      </c>
      <c r="D6434" s="43" t="s">
        <v>316</v>
      </c>
      <c r="E6434" s="43" t="s">
        <v>464</v>
      </c>
    </row>
    <row r="6435" spans="1:5" x14ac:dyDescent="0.25">
      <c r="A6435" s="41">
        <v>19610</v>
      </c>
      <c r="B6435" s="42" t="s">
        <v>6810</v>
      </c>
      <c r="C6435" s="43" t="s">
        <v>289</v>
      </c>
      <c r="D6435" s="43" t="s">
        <v>316</v>
      </c>
      <c r="E6435" s="43" t="s">
        <v>464</v>
      </c>
    </row>
    <row r="6436" spans="1:5" x14ac:dyDescent="0.25">
      <c r="A6436" s="41">
        <v>19611</v>
      </c>
      <c r="B6436" s="42" t="s">
        <v>6811</v>
      </c>
      <c r="C6436" s="43" t="s">
        <v>289</v>
      </c>
      <c r="D6436" s="43" t="s">
        <v>316</v>
      </c>
      <c r="E6436" s="43" t="s">
        <v>464</v>
      </c>
    </row>
    <row r="6437" spans="1:5" x14ac:dyDescent="0.25">
      <c r="A6437" s="41">
        <v>19612</v>
      </c>
      <c r="B6437" s="42" t="s">
        <v>6812</v>
      </c>
      <c r="C6437" s="43" t="s">
        <v>289</v>
      </c>
      <c r="D6437" s="43" t="s">
        <v>316</v>
      </c>
      <c r="E6437" s="43" t="s">
        <v>464</v>
      </c>
    </row>
    <row r="6438" spans="1:5" x14ac:dyDescent="0.25">
      <c r="A6438" s="41">
        <v>19613</v>
      </c>
      <c r="B6438" s="42" t="s">
        <v>6813</v>
      </c>
      <c r="C6438" s="43" t="s">
        <v>289</v>
      </c>
      <c r="D6438" s="43" t="s">
        <v>316</v>
      </c>
      <c r="E6438" s="43" t="s">
        <v>464</v>
      </c>
    </row>
    <row r="6439" spans="1:5" x14ac:dyDescent="0.25">
      <c r="A6439" s="41">
        <v>19614</v>
      </c>
      <c r="B6439" s="42" t="s">
        <v>6814</v>
      </c>
      <c r="C6439" s="43" t="s">
        <v>289</v>
      </c>
      <c r="D6439" s="43" t="s">
        <v>635</v>
      </c>
      <c r="E6439" s="43" t="s">
        <v>464</v>
      </c>
    </row>
    <row r="6440" spans="1:5" x14ac:dyDescent="0.25">
      <c r="A6440" s="41">
        <v>19615</v>
      </c>
      <c r="B6440" s="42" t="s">
        <v>6815</v>
      </c>
      <c r="C6440" s="43" t="s">
        <v>289</v>
      </c>
      <c r="D6440" s="43" t="s">
        <v>633</v>
      </c>
      <c r="E6440" s="43" t="s">
        <v>464</v>
      </c>
    </row>
    <row r="6441" spans="1:5" x14ac:dyDescent="0.25">
      <c r="A6441" s="41">
        <v>19616</v>
      </c>
      <c r="B6441" s="42" t="s">
        <v>6816</v>
      </c>
      <c r="C6441" s="43" t="s">
        <v>289</v>
      </c>
      <c r="D6441" s="43" t="s">
        <v>633</v>
      </c>
      <c r="E6441" s="43" t="s">
        <v>464</v>
      </c>
    </row>
    <row r="6442" spans="1:5" x14ac:dyDescent="0.25">
      <c r="A6442" s="41">
        <v>19617</v>
      </c>
      <c r="B6442" s="42" t="s">
        <v>6817</v>
      </c>
      <c r="C6442" s="43" t="s">
        <v>289</v>
      </c>
      <c r="D6442" s="43" t="s">
        <v>1112</v>
      </c>
      <c r="E6442" s="43" t="s">
        <v>230</v>
      </c>
    </row>
    <row r="6443" spans="1:5" x14ac:dyDescent="0.25">
      <c r="A6443" s="41">
        <v>19618</v>
      </c>
      <c r="B6443" s="42" t="s">
        <v>6818</v>
      </c>
      <c r="C6443" s="43" t="s">
        <v>289</v>
      </c>
      <c r="D6443" s="43" t="s">
        <v>941</v>
      </c>
      <c r="E6443" s="43" t="s">
        <v>230</v>
      </c>
    </row>
    <row r="6444" spans="1:5" x14ac:dyDescent="0.25">
      <c r="A6444" s="41">
        <v>19619</v>
      </c>
      <c r="B6444" s="42" t="s">
        <v>6819</v>
      </c>
      <c r="C6444" s="43" t="s">
        <v>289</v>
      </c>
      <c r="D6444" s="43" t="s">
        <v>996</v>
      </c>
      <c r="E6444" s="43" t="s">
        <v>230</v>
      </c>
    </row>
    <row r="6445" spans="1:5" x14ac:dyDescent="0.25">
      <c r="A6445" s="41">
        <v>19620</v>
      </c>
      <c r="B6445" s="42" t="s">
        <v>6820</v>
      </c>
      <c r="C6445" s="43" t="s">
        <v>289</v>
      </c>
      <c r="D6445" s="43" t="s">
        <v>996</v>
      </c>
      <c r="E6445" s="43" t="s">
        <v>230</v>
      </c>
    </row>
    <row r="6446" spans="1:5" x14ac:dyDescent="0.25">
      <c r="A6446" s="41">
        <v>19621</v>
      </c>
      <c r="B6446" s="42" t="s">
        <v>6821</v>
      </c>
      <c r="C6446" s="43" t="s">
        <v>289</v>
      </c>
      <c r="D6446" s="43" t="s">
        <v>996</v>
      </c>
      <c r="E6446" s="43" t="s">
        <v>230</v>
      </c>
    </row>
    <row r="6447" spans="1:5" x14ac:dyDescent="0.25">
      <c r="A6447" s="41">
        <v>19622</v>
      </c>
      <c r="B6447" s="42" t="s">
        <v>6822</v>
      </c>
      <c r="C6447" s="43" t="s">
        <v>289</v>
      </c>
      <c r="D6447" s="43" t="s">
        <v>996</v>
      </c>
      <c r="E6447" s="43" t="s">
        <v>230</v>
      </c>
    </row>
    <row r="6448" spans="1:5" x14ac:dyDescent="0.25">
      <c r="A6448" s="41">
        <v>19623</v>
      </c>
      <c r="B6448" s="42" t="s">
        <v>6823</v>
      </c>
      <c r="C6448" s="43" t="s">
        <v>289</v>
      </c>
      <c r="D6448" s="43" t="s">
        <v>996</v>
      </c>
      <c r="E6448" s="43" t="s">
        <v>230</v>
      </c>
    </row>
    <row r="6449" spans="1:5" x14ac:dyDescent="0.25">
      <c r="A6449" s="41">
        <v>19624</v>
      </c>
      <c r="B6449" s="42" t="s">
        <v>6824</v>
      </c>
      <c r="C6449" s="43" t="s">
        <v>289</v>
      </c>
      <c r="D6449" s="43" t="s">
        <v>996</v>
      </c>
      <c r="E6449" s="43" t="s">
        <v>230</v>
      </c>
    </row>
    <row r="6450" spans="1:5" x14ac:dyDescent="0.25">
      <c r="A6450" s="41">
        <v>19625</v>
      </c>
      <c r="B6450" s="42" t="s">
        <v>6825</v>
      </c>
      <c r="C6450" s="43" t="s">
        <v>289</v>
      </c>
      <c r="D6450" s="43" t="s">
        <v>996</v>
      </c>
      <c r="E6450" s="43" t="s">
        <v>230</v>
      </c>
    </row>
    <row r="6451" spans="1:5" x14ac:dyDescent="0.25">
      <c r="A6451" s="41">
        <v>19627</v>
      </c>
      <c r="B6451" s="42" t="s">
        <v>6826</v>
      </c>
      <c r="C6451" s="43" t="s">
        <v>289</v>
      </c>
      <c r="D6451" s="43" t="s">
        <v>996</v>
      </c>
      <c r="E6451" s="43" t="s">
        <v>230</v>
      </c>
    </row>
    <row r="6452" spans="1:5" x14ac:dyDescent="0.25">
      <c r="A6452" s="41">
        <v>19628</v>
      </c>
      <c r="B6452" s="42" t="s">
        <v>6827</v>
      </c>
      <c r="C6452" s="43" t="s">
        <v>289</v>
      </c>
      <c r="D6452" s="43" t="s">
        <v>996</v>
      </c>
      <c r="E6452" s="43" t="s">
        <v>230</v>
      </c>
    </row>
    <row r="6453" spans="1:5" x14ac:dyDescent="0.25">
      <c r="A6453" s="41">
        <v>19630</v>
      </c>
      <c r="B6453" s="42" t="s">
        <v>6828</v>
      </c>
      <c r="C6453" s="43" t="s">
        <v>289</v>
      </c>
      <c r="D6453" s="43" t="s">
        <v>996</v>
      </c>
      <c r="E6453" s="43" t="s">
        <v>230</v>
      </c>
    </row>
    <row r="6454" spans="1:5" x14ac:dyDescent="0.25">
      <c r="A6454" s="41">
        <v>19631</v>
      </c>
      <c r="B6454" s="42" t="s">
        <v>6829</v>
      </c>
      <c r="C6454" s="43" t="s">
        <v>289</v>
      </c>
      <c r="D6454" s="43" t="s">
        <v>996</v>
      </c>
      <c r="E6454" s="43" t="s">
        <v>230</v>
      </c>
    </row>
    <row r="6455" spans="1:5" x14ac:dyDescent="0.25">
      <c r="A6455" s="41">
        <v>19632</v>
      </c>
      <c r="B6455" s="42" t="s">
        <v>6830</v>
      </c>
      <c r="C6455" s="43" t="s">
        <v>289</v>
      </c>
      <c r="D6455" s="43" t="s">
        <v>996</v>
      </c>
      <c r="E6455" s="43" t="s">
        <v>230</v>
      </c>
    </row>
    <row r="6456" spans="1:5" x14ac:dyDescent="0.25">
      <c r="A6456" s="41">
        <v>19633</v>
      </c>
      <c r="B6456" s="42" t="s">
        <v>6831</v>
      </c>
      <c r="C6456" s="43" t="s">
        <v>289</v>
      </c>
      <c r="D6456" s="43" t="s">
        <v>996</v>
      </c>
      <c r="E6456" s="43" t="s">
        <v>230</v>
      </c>
    </row>
    <row r="6457" spans="1:5" x14ac:dyDescent="0.25">
      <c r="A6457" s="41">
        <v>19634</v>
      </c>
      <c r="B6457" s="42" t="s">
        <v>6832</v>
      </c>
      <c r="C6457" s="43" t="s">
        <v>289</v>
      </c>
      <c r="D6457" s="43" t="s">
        <v>996</v>
      </c>
      <c r="E6457" s="43" t="s">
        <v>230</v>
      </c>
    </row>
    <row r="6458" spans="1:5" x14ac:dyDescent="0.25">
      <c r="A6458" s="41">
        <v>19635</v>
      </c>
      <c r="B6458" s="42" t="s">
        <v>6833</v>
      </c>
      <c r="C6458" s="43" t="s">
        <v>289</v>
      </c>
      <c r="D6458" s="43" t="s">
        <v>996</v>
      </c>
      <c r="E6458" s="43" t="s">
        <v>230</v>
      </c>
    </row>
    <row r="6459" spans="1:5" x14ac:dyDescent="0.25">
      <c r="A6459" s="41">
        <v>19637</v>
      </c>
      <c r="B6459" s="42" t="s">
        <v>6834</v>
      </c>
      <c r="C6459" s="43" t="s">
        <v>289</v>
      </c>
      <c r="D6459" s="43" t="s">
        <v>811</v>
      </c>
      <c r="E6459" s="43" t="s">
        <v>230</v>
      </c>
    </row>
    <row r="6460" spans="1:5" x14ac:dyDescent="0.25">
      <c r="A6460" s="41">
        <v>19638</v>
      </c>
      <c r="B6460" s="42" t="s">
        <v>6835</v>
      </c>
      <c r="C6460" s="43" t="s">
        <v>289</v>
      </c>
      <c r="D6460" s="43" t="s">
        <v>694</v>
      </c>
      <c r="E6460" s="43" t="s">
        <v>230</v>
      </c>
    </row>
    <row r="6461" spans="1:5" x14ac:dyDescent="0.25">
      <c r="A6461" s="41">
        <v>19639</v>
      </c>
      <c r="B6461" s="42" t="s">
        <v>6836</v>
      </c>
      <c r="C6461" s="43" t="s">
        <v>289</v>
      </c>
      <c r="D6461" s="43" t="s">
        <v>845</v>
      </c>
      <c r="E6461" s="43" t="s">
        <v>230</v>
      </c>
    </row>
    <row r="6462" spans="1:5" x14ac:dyDescent="0.25">
      <c r="A6462" s="41">
        <v>19640</v>
      </c>
      <c r="B6462" s="42" t="s">
        <v>6837</v>
      </c>
      <c r="C6462" s="43" t="s">
        <v>289</v>
      </c>
      <c r="D6462" s="43" t="s">
        <v>327</v>
      </c>
      <c r="E6462" s="43" t="s">
        <v>230</v>
      </c>
    </row>
    <row r="6463" spans="1:5" x14ac:dyDescent="0.25">
      <c r="A6463" s="41">
        <v>19641</v>
      </c>
      <c r="B6463" s="42" t="s">
        <v>6838</v>
      </c>
      <c r="C6463" s="43" t="s">
        <v>289</v>
      </c>
      <c r="D6463" s="43" t="s">
        <v>316</v>
      </c>
      <c r="E6463" s="43" t="s">
        <v>230</v>
      </c>
    </row>
    <row r="6464" spans="1:5" x14ac:dyDescent="0.25">
      <c r="A6464" s="41">
        <v>19642</v>
      </c>
      <c r="B6464" s="42" t="s">
        <v>6839</v>
      </c>
      <c r="C6464" s="43" t="s">
        <v>289</v>
      </c>
      <c r="D6464" s="43" t="s">
        <v>633</v>
      </c>
      <c r="E6464" s="43" t="s">
        <v>464</v>
      </c>
    </row>
    <row r="6465" spans="1:5" x14ac:dyDescent="0.25">
      <c r="A6465" s="41">
        <v>19643</v>
      </c>
      <c r="B6465" s="42" t="s">
        <v>6840</v>
      </c>
      <c r="C6465" s="43" t="s">
        <v>289</v>
      </c>
      <c r="D6465" s="43" t="s">
        <v>633</v>
      </c>
      <c r="E6465" s="43" t="s">
        <v>464</v>
      </c>
    </row>
    <row r="6466" spans="1:5" x14ac:dyDescent="0.25">
      <c r="A6466" s="41">
        <v>19644</v>
      </c>
      <c r="B6466" s="42" t="s">
        <v>6841</v>
      </c>
      <c r="C6466" s="43" t="s">
        <v>289</v>
      </c>
      <c r="D6466" s="43" t="s">
        <v>316</v>
      </c>
      <c r="E6466" s="43" t="s">
        <v>230</v>
      </c>
    </row>
    <row r="6467" spans="1:5" x14ac:dyDescent="0.25">
      <c r="A6467" s="41">
        <v>19645</v>
      </c>
      <c r="B6467" s="42" t="s">
        <v>6842</v>
      </c>
      <c r="C6467" s="43" t="s">
        <v>289</v>
      </c>
      <c r="D6467" s="43" t="s">
        <v>3754</v>
      </c>
      <c r="E6467" s="43" t="s">
        <v>769</v>
      </c>
    </row>
    <row r="6468" spans="1:5" x14ac:dyDescent="0.25">
      <c r="A6468" s="41">
        <v>19646</v>
      </c>
      <c r="B6468" s="42" t="s">
        <v>6843</v>
      </c>
      <c r="C6468" s="43" t="s">
        <v>289</v>
      </c>
      <c r="D6468" s="43" t="s">
        <v>3754</v>
      </c>
      <c r="E6468" s="43" t="s">
        <v>769</v>
      </c>
    </row>
    <row r="6469" spans="1:5" x14ac:dyDescent="0.25">
      <c r="A6469" s="41">
        <v>19647</v>
      </c>
      <c r="B6469" s="42" t="s">
        <v>6844</v>
      </c>
      <c r="C6469" s="43" t="s">
        <v>289</v>
      </c>
      <c r="D6469" s="43" t="s">
        <v>633</v>
      </c>
      <c r="E6469" s="43" t="s">
        <v>464</v>
      </c>
    </row>
    <row r="6470" spans="1:5" x14ac:dyDescent="0.25">
      <c r="A6470" s="41">
        <v>19648</v>
      </c>
      <c r="B6470" s="42" t="s">
        <v>6845</v>
      </c>
      <c r="C6470" s="43" t="s">
        <v>289</v>
      </c>
      <c r="D6470" s="43" t="s">
        <v>1112</v>
      </c>
      <c r="E6470" s="43" t="s">
        <v>230</v>
      </c>
    </row>
    <row r="6471" spans="1:5" x14ac:dyDescent="0.25">
      <c r="A6471" s="41">
        <v>19649</v>
      </c>
      <c r="B6471" s="42" t="s">
        <v>6846</v>
      </c>
      <c r="C6471" s="43" t="s">
        <v>289</v>
      </c>
      <c r="D6471" s="43" t="s">
        <v>811</v>
      </c>
      <c r="E6471" s="43" t="s">
        <v>230</v>
      </c>
    </row>
    <row r="6472" spans="1:5" x14ac:dyDescent="0.25">
      <c r="A6472" s="41">
        <v>19650</v>
      </c>
      <c r="B6472" s="42" t="s">
        <v>6847</v>
      </c>
      <c r="C6472" s="43" t="s">
        <v>289</v>
      </c>
      <c r="D6472" s="43" t="s">
        <v>1112</v>
      </c>
      <c r="E6472" s="43" t="s">
        <v>230</v>
      </c>
    </row>
    <row r="6473" spans="1:5" x14ac:dyDescent="0.25">
      <c r="A6473" s="41">
        <v>19651</v>
      </c>
      <c r="B6473" s="42" t="s">
        <v>6848</v>
      </c>
      <c r="C6473" s="43" t="s">
        <v>289</v>
      </c>
      <c r="D6473" s="43" t="s">
        <v>314</v>
      </c>
      <c r="E6473" s="43" t="s">
        <v>230</v>
      </c>
    </row>
    <row r="6474" spans="1:5" x14ac:dyDescent="0.25">
      <c r="A6474" s="41">
        <v>19652</v>
      </c>
      <c r="B6474" s="42" t="s">
        <v>6849</v>
      </c>
      <c r="C6474" s="43" t="s">
        <v>289</v>
      </c>
      <c r="D6474" s="43" t="s">
        <v>433</v>
      </c>
      <c r="E6474" s="43" t="s">
        <v>454</v>
      </c>
    </row>
    <row r="6475" spans="1:5" x14ac:dyDescent="0.25">
      <c r="A6475" s="41">
        <v>19653</v>
      </c>
      <c r="B6475" s="42" t="s">
        <v>6850</v>
      </c>
      <c r="C6475" s="43" t="s">
        <v>289</v>
      </c>
      <c r="D6475" s="43" t="s">
        <v>440</v>
      </c>
      <c r="E6475" s="43" t="s">
        <v>230</v>
      </c>
    </row>
    <row r="6476" spans="1:5" x14ac:dyDescent="0.25">
      <c r="A6476" s="41">
        <v>19654</v>
      </c>
      <c r="B6476" s="42" t="s">
        <v>6851</v>
      </c>
      <c r="C6476" s="43" t="s">
        <v>289</v>
      </c>
      <c r="D6476" s="43" t="s">
        <v>635</v>
      </c>
      <c r="E6476" s="43" t="s">
        <v>230</v>
      </c>
    </row>
    <row r="6477" spans="1:5" x14ac:dyDescent="0.25">
      <c r="A6477" s="41">
        <v>19655</v>
      </c>
      <c r="B6477" s="42" t="s">
        <v>6852</v>
      </c>
      <c r="C6477" s="43" t="s">
        <v>289</v>
      </c>
      <c r="D6477" s="43" t="s">
        <v>635</v>
      </c>
      <c r="E6477" s="43" t="s">
        <v>230</v>
      </c>
    </row>
    <row r="6478" spans="1:5" x14ac:dyDescent="0.25">
      <c r="A6478" s="41">
        <v>19656</v>
      </c>
      <c r="B6478" s="42" t="s">
        <v>6853</v>
      </c>
      <c r="C6478" s="43" t="s">
        <v>289</v>
      </c>
      <c r="D6478" s="43" t="s">
        <v>327</v>
      </c>
      <c r="E6478" s="43" t="s">
        <v>170</v>
      </c>
    </row>
    <row r="6479" spans="1:5" x14ac:dyDescent="0.25">
      <c r="A6479" s="41">
        <v>19657</v>
      </c>
      <c r="B6479" s="42" t="s">
        <v>6854</v>
      </c>
      <c r="C6479" s="43" t="s">
        <v>289</v>
      </c>
      <c r="D6479" s="43" t="s">
        <v>1112</v>
      </c>
      <c r="E6479" s="43" t="s">
        <v>230</v>
      </c>
    </row>
    <row r="6480" spans="1:5" x14ac:dyDescent="0.25">
      <c r="A6480" s="41">
        <v>19658</v>
      </c>
      <c r="B6480" s="42" t="s">
        <v>6855</v>
      </c>
      <c r="C6480" s="43" t="s">
        <v>289</v>
      </c>
      <c r="D6480" s="43" t="s">
        <v>996</v>
      </c>
      <c r="E6480" s="43" t="s">
        <v>230</v>
      </c>
    </row>
    <row r="6481" spans="1:5" x14ac:dyDescent="0.25">
      <c r="A6481" s="41">
        <v>19659</v>
      </c>
      <c r="B6481" s="42" t="s">
        <v>6856</v>
      </c>
      <c r="C6481" s="43" t="s">
        <v>289</v>
      </c>
      <c r="D6481" s="43" t="s">
        <v>996</v>
      </c>
      <c r="E6481" s="43" t="s">
        <v>230</v>
      </c>
    </row>
    <row r="6482" spans="1:5" x14ac:dyDescent="0.25">
      <c r="A6482" s="41">
        <v>19660</v>
      </c>
      <c r="B6482" s="42" t="s">
        <v>6857</v>
      </c>
      <c r="C6482" s="43" t="s">
        <v>289</v>
      </c>
      <c r="D6482" s="43" t="s">
        <v>996</v>
      </c>
      <c r="E6482" s="43" t="s">
        <v>230</v>
      </c>
    </row>
    <row r="6483" spans="1:5" x14ac:dyDescent="0.25">
      <c r="A6483" s="41">
        <v>19661</v>
      </c>
      <c r="B6483" s="42" t="s">
        <v>6858</v>
      </c>
      <c r="C6483" s="43" t="s">
        <v>289</v>
      </c>
      <c r="D6483" s="43" t="s">
        <v>996</v>
      </c>
      <c r="E6483" s="43" t="s">
        <v>230</v>
      </c>
    </row>
    <row r="6484" spans="1:5" x14ac:dyDescent="0.25">
      <c r="A6484" s="41">
        <v>19662</v>
      </c>
      <c r="B6484" s="42" t="s">
        <v>6859</v>
      </c>
      <c r="C6484" s="43" t="s">
        <v>289</v>
      </c>
      <c r="D6484" s="43" t="s">
        <v>813</v>
      </c>
      <c r="E6484" s="43" t="s">
        <v>230</v>
      </c>
    </row>
    <row r="6485" spans="1:5" x14ac:dyDescent="0.25">
      <c r="A6485" s="41">
        <v>19664</v>
      </c>
      <c r="B6485" s="42" t="s">
        <v>6860</v>
      </c>
      <c r="C6485" s="43" t="s">
        <v>289</v>
      </c>
      <c r="D6485" s="43" t="s">
        <v>442</v>
      </c>
      <c r="E6485" s="43" t="s">
        <v>464</v>
      </c>
    </row>
    <row r="6486" spans="1:5" x14ac:dyDescent="0.25">
      <c r="A6486" s="41">
        <v>19665</v>
      </c>
      <c r="B6486" s="42" t="s">
        <v>6861</v>
      </c>
      <c r="C6486" s="43" t="s">
        <v>289</v>
      </c>
      <c r="D6486" s="43" t="s">
        <v>442</v>
      </c>
      <c r="E6486" s="43" t="s">
        <v>464</v>
      </c>
    </row>
    <row r="6487" spans="1:5" x14ac:dyDescent="0.25">
      <c r="A6487" s="41">
        <v>19666</v>
      </c>
      <c r="B6487" s="42" t="s">
        <v>6862</v>
      </c>
      <c r="C6487" s="43" t="s">
        <v>289</v>
      </c>
      <c r="D6487" s="43" t="s">
        <v>2334</v>
      </c>
      <c r="E6487" s="43" t="s">
        <v>464</v>
      </c>
    </row>
    <row r="6488" spans="1:5" x14ac:dyDescent="0.25">
      <c r="A6488" s="41">
        <v>19667</v>
      </c>
      <c r="B6488" s="42" t="s">
        <v>6863</v>
      </c>
      <c r="C6488" s="43" t="s">
        <v>289</v>
      </c>
      <c r="D6488" s="43" t="s">
        <v>1112</v>
      </c>
      <c r="E6488" s="43" t="s">
        <v>230</v>
      </c>
    </row>
    <row r="6489" spans="1:5" x14ac:dyDescent="0.25">
      <c r="A6489" s="41">
        <v>19668</v>
      </c>
      <c r="B6489" s="42" t="s">
        <v>6864</v>
      </c>
      <c r="C6489" s="43" t="s">
        <v>289</v>
      </c>
      <c r="D6489" s="43" t="s">
        <v>3754</v>
      </c>
      <c r="E6489" s="43" t="s">
        <v>769</v>
      </c>
    </row>
    <row r="6490" spans="1:5" x14ac:dyDescent="0.25">
      <c r="A6490" s="41">
        <v>19671</v>
      </c>
      <c r="B6490" s="42" t="s">
        <v>6865</v>
      </c>
      <c r="C6490" s="43" t="s">
        <v>289</v>
      </c>
      <c r="D6490" s="43" t="s">
        <v>333</v>
      </c>
      <c r="E6490" s="43" t="s">
        <v>230</v>
      </c>
    </row>
    <row r="6491" spans="1:5" x14ac:dyDescent="0.25">
      <c r="A6491" s="41">
        <v>19672</v>
      </c>
      <c r="B6491" s="42" t="s">
        <v>6866</v>
      </c>
      <c r="C6491" s="43" t="s">
        <v>289</v>
      </c>
      <c r="D6491" s="43" t="s">
        <v>333</v>
      </c>
      <c r="E6491" s="43" t="s">
        <v>230</v>
      </c>
    </row>
    <row r="6492" spans="1:5" x14ac:dyDescent="0.25">
      <c r="A6492" s="41">
        <v>19673</v>
      </c>
      <c r="B6492" s="42" t="s">
        <v>6867</v>
      </c>
      <c r="C6492" s="43" t="s">
        <v>289</v>
      </c>
      <c r="D6492" s="43" t="s">
        <v>333</v>
      </c>
      <c r="E6492" s="43" t="s">
        <v>230</v>
      </c>
    </row>
    <row r="6493" spans="1:5" x14ac:dyDescent="0.25">
      <c r="A6493" s="41">
        <v>19681</v>
      </c>
      <c r="B6493" s="42" t="s">
        <v>6868</v>
      </c>
      <c r="C6493" s="43" t="s">
        <v>289</v>
      </c>
      <c r="D6493" s="43" t="s">
        <v>682</v>
      </c>
      <c r="E6493" s="43" t="s">
        <v>464</v>
      </c>
    </row>
    <row r="6494" spans="1:5" x14ac:dyDescent="0.25">
      <c r="A6494" s="41">
        <v>19682</v>
      </c>
      <c r="B6494" s="42" t="s">
        <v>6869</v>
      </c>
      <c r="C6494" s="43" t="s">
        <v>289</v>
      </c>
      <c r="D6494" s="43" t="s">
        <v>682</v>
      </c>
      <c r="E6494" s="43" t="s">
        <v>464</v>
      </c>
    </row>
    <row r="6495" spans="1:5" x14ac:dyDescent="0.25">
      <c r="A6495" s="41">
        <v>19683</v>
      </c>
      <c r="B6495" s="42" t="s">
        <v>6870</v>
      </c>
      <c r="C6495" s="43" t="s">
        <v>289</v>
      </c>
      <c r="D6495" s="43" t="s">
        <v>682</v>
      </c>
      <c r="E6495" s="43" t="s">
        <v>464</v>
      </c>
    </row>
    <row r="6496" spans="1:5" x14ac:dyDescent="0.25">
      <c r="A6496" s="41">
        <v>19684</v>
      </c>
      <c r="B6496" s="42" t="s">
        <v>6871</v>
      </c>
      <c r="C6496" s="43" t="s">
        <v>289</v>
      </c>
      <c r="D6496" s="43" t="s">
        <v>682</v>
      </c>
      <c r="E6496" s="43" t="s">
        <v>464</v>
      </c>
    </row>
    <row r="6497" spans="1:5" x14ac:dyDescent="0.25">
      <c r="A6497" s="41">
        <v>19687</v>
      </c>
      <c r="B6497" s="42" t="s">
        <v>6872</v>
      </c>
      <c r="C6497" s="43" t="s">
        <v>289</v>
      </c>
      <c r="D6497" s="43" t="s">
        <v>327</v>
      </c>
      <c r="E6497" s="43" t="s">
        <v>230</v>
      </c>
    </row>
    <row r="6498" spans="1:5" x14ac:dyDescent="0.25">
      <c r="A6498" s="41">
        <v>19688</v>
      </c>
      <c r="B6498" s="42" t="s">
        <v>6873</v>
      </c>
      <c r="C6498" s="43" t="s">
        <v>289</v>
      </c>
      <c r="D6498" s="43" t="s">
        <v>316</v>
      </c>
      <c r="E6498" s="43" t="s">
        <v>230</v>
      </c>
    </row>
    <row r="6499" spans="1:5" x14ac:dyDescent="0.25">
      <c r="A6499" s="41">
        <v>19689</v>
      </c>
      <c r="B6499" s="42" t="s">
        <v>6874</v>
      </c>
      <c r="C6499" s="43" t="s">
        <v>289</v>
      </c>
      <c r="D6499" s="43" t="s">
        <v>316</v>
      </c>
      <c r="E6499" s="43" t="s">
        <v>230</v>
      </c>
    </row>
    <row r="6500" spans="1:5" x14ac:dyDescent="0.25">
      <c r="A6500" s="41">
        <v>19690</v>
      </c>
      <c r="B6500" s="42" t="s">
        <v>6875</v>
      </c>
      <c r="C6500" s="43" t="s">
        <v>289</v>
      </c>
      <c r="D6500" s="43" t="s">
        <v>316</v>
      </c>
      <c r="E6500" s="43" t="s">
        <v>230</v>
      </c>
    </row>
    <row r="6501" spans="1:5" x14ac:dyDescent="0.25">
      <c r="A6501" s="41">
        <v>19691</v>
      </c>
      <c r="B6501" s="42" t="s">
        <v>6876</v>
      </c>
      <c r="C6501" s="43" t="s">
        <v>289</v>
      </c>
      <c r="D6501" s="43" t="s">
        <v>5570</v>
      </c>
      <c r="E6501" s="43" t="s">
        <v>230</v>
      </c>
    </row>
    <row r="6502" spans="1:5" x14ac:dyDescent="0.25">
      <c r="A6502" s="41">
        <v>19692</v>
      </c>
      <c r="B6502" s="42" t="s">
        <v>6877</v>
      </c>
      <c r="C6502" s="43" t="s">
        <v>289</v>
      </c>
      <c r="D6502" s="43" t="s">
        <v>499</v>
      </c>
      <c r="E6502" s="43" t="s">
        <v>472</v>
      </c>
    </row>
    <row r="6503" spans="1:5" x14ac:dyDescent="0.25">
      <c r="A6503" s="41">
        <v>19701</v>
      </c>
      <c r="B6503" s="42" t="s">
        <v>6878</v>
      </c>
      <c r="C6503" s="43" t="s">
        <v>289</v>
      </c>
      <c r="D6503" s="43" t="s">
        <v>316</v>
      </c>
      <c r="E6503" s="43" t="s">
        <v>230</v>
      </c>
    </row>
    <row r="6504" spans="1:5" x14ac:dyDescent="0.25">
      <c r="A6504" s="41">
        <v>19702</v>
      </c>
      <c r="B6504" s="42" t="s">
        <v>6879</v>
      </c>
      <c r="C6504" s="43" t="s">
        <v>289</v>
      </c>
      <c r="D6504" s="43" t="s">
        <v>633</v>
      </c>
      <c r="E6504" s="43" t="s">
        <v>464</v>
      </c>
    </row>
    <row r="6505" spans="1:5" x14ac:dyDescent="0.25">
      <c r="A6505" s="41">
        <v>19703</v>
      </c>
      <c r="B6505" s="42" t="s">
        <v>6880</v>
      </c>
      <c r="C6505" s="43" t="s">
        <v>289</v>
      </c>
      <c r="D6505" s="43" t="s">
        <v>316</v>
      </c>
      <c r="E6505" s="43" t="s">
        <v>230</v>
      </c>
    </row>
    <row r="6506" spans="1:5" x14ac:dyDescent="0.25">
      <c r="A6506" s="41">
        <v>19706</v>
      </c>
      <c r="B6506" s="42" t="s">
        <v>6881</v>
      </c>
      <c r="C6506" s="43" t="s">
        <v>289</v>
      </c>
      <c r="D6506" s="43" t="s">
        <v>633</v>
      </c>
      <c r="E6506" s="43" t="s">
        <v>464</v>
      </c>
    </row>
    <row r="6507" spans="1:5" x14ac:dyDescent="0.25">
      <c r="A6507" s="41">
        <v>19707</v>
      </c>
      <c r="B6507" s="42" t="s">
        <v>6882</v>
      </c>
      <c r="C6507" s="43" t="s">
        <v>289</v>
      </c>
      <c r="D6507" s="43" t="s">
        <v>633</v>
      </c>
      <c r="E6507" s="43" t="s">
        <v>464</v>
      </c>
    </row>
    <row r="6508" spans="1:5" x14ac:dyDescent="0.25">
      <c r="A6508" s="41">
        <v>19708</v>
      </c>
      <c r="B6508" s="42" t="s">
        <v>6883</v>
      </c>
      <c r="C6508" s="43" t="s">
        <v>289</v>
      </c>
      <c r="D6508" s="43" t="s">
        <v>633</v>
      </c>
      <c r="E6508" s="43" t="s">
        <v>464</v>
      </c>
    </row>
    <row r="6509" spans="1:5" x14ac:dyDescent="0.25">
      <c r="A6509" s="41">
        <v>19709</v>
      </c>
      <c r="B6509" s="42" t="s">
        <v>6884</v>
      </c>
      <c r="C6509" s="43" t="s">
        <v>289</v>
      </c>
      <c r="D6509" s="43" t="s">
        <v>1112</v>
      </c>
      <c r="E6509" s="43" t="s">
        <v>230</v>
      </c>
    </row>
    <row r="6510" spans="1:5" x14ac:dyDescent="0.25">
      <c r="A6510" s="41">
        <v>19710</v>
      </c>
      <c r="B6510" s="42" t="s">
        <v>6885</v>
      </c>
      <c r="C6510" s="43" t="s">
        <v>289</v>
      </c>
      <c r="D6510" s="43" t="s">
        <v>1112</v>
      </c>
      <c r="E6510" s="43" t="s">
        <v>230</v>
      </c>
    </row>
    <row r="6511" spans="1:5" x14ac:dyDescent="0.25">
      <c r="A6511" s="41">
        <v>19711</v>
      </c>
      <c r="B6511" s="42" t="s">
        <v>6886</v>
      </c>
      <c r="C6511" s="43" t="s">
        <v>289</v>
      </c>
      <c r="D6511" s="43" t="s">
        <v>1112</v>
      </c>
      <c r="E6511" s="43" t="s">
        <v>230</v>
      </c>
    </row>
    <row r="6512" spans="1:5" x14ac:dyDescent="0.25">
      <c r="A6512" s="41">
        <v>19712</v>
      </c>
      <c r="B6512" s="42" t="s">
        <v>6887</v>
      </c>
      <c r="C6512" s="43" t="s">
        <v>289</v>
      </c>
      <c r="D6512" s="43" t="s">
        <v>3754</v>
      </c>
      <c r="E6512" s="43" t="s">
        <v>230</v>
      </c>
    </row>
    <row r="6513" spans="1:5" x14ac:dyDescent="0.25">
      <c r="A6513" s="41">
        <v>19715</v>
      </c>
      <c r="B6513" s="42" t="s">
        <v>6888</v>
      </c>
      <c r="C6513" s="43" t="s">
        <v>289</v>
      </c>
      <c r="D6513" s="43" t="s">
        <v>633</v>
      </c>
      <c r="E6513" s="43" t="s">
        <v>464</v>
      </c>
    </row>
    <row r="6514" spans="1:5" x14ac:dyDescent="0.25">
      <c r="A6514" s="41">
        <v>19718</v>
      </c>
      <c r="B6514" s="42" t="s">
        <v>6889</v>
      </c>
      <c r="C6514" s="43" t="s">
        <v>289</v>
      </c>
      <c r="D6514" s="43" t="s">
        <v>633</v>
      </c>
      <c r="E6514" s="43" t="s">
        <v>464</v>
      </c>
    </row>
    <row r="6515" spans="1:5" x14ac:dyDescent="0.25">
      <c r="A6515" s="41">
        <v>19720</v>
      </c>
      <c r="B6515" s="42" t="s">
        <v>6890</v>
      </c>
      <c r="C6515" s="43" t="s">
        <v>289</v>
      </c>
      <c r="D6515" s="43" t="s">
        <v>633</v>
      </c>
      <c r="E6515" s="43" t="s">
        <v>464</v>
      </c>
    </row>
    <row r="6516" spans="1:5" x14ac:dyDescent="0.25">
      <c r="A6516" s="41">
        <v>19721</v>
      </c>
      <c r="B6516" s="42" t="s">
        <v>6891</v>
      </c>
      <c r="C6516" s="43" t="s">
        <v>289</v>
      </c>
      <c r="D6516" s="43" t="s">
        <v>633</v>
      </c>
      <c r="E6516" s="43" t="s">
        <v>464</v>
      </c>
    </row>
    <row r="6517" spans="1:5" x14ac:dyDescent="0.25">
      <c r="A6517" s="41">
        <v>19722</v>
      </c>
      <c r="B6517" s="42" t="s">
        <v>6892</v>
      </c>
      <c r="C6517" s="43" t="s">
        <v>289</v>
      </c>
      <c r="D6517" s="43" t="s">
        <v>633</v>
      </c>
      <c r="E6517" s="43" t="s">
        <v>464</v>
      </c>
    </row>
    <row r="6518" spans="1:5" x14ac:dyDescent="0.25">
      <c r="A6518" s="41">
        <v>19726</v>
      </c>
      <c r="B6518" s="42" t="s">
        <v>6893</v>
      </c>
      <c r="C6518" s="43" t="s">
        <v>289</v>
      </c>
      <c r="D6518" s="43" t="s">
        <v>333</v>
      </c>
      <c r="E6518" s="43" t="s">
        <v>230</v>
      </c>
    </row>
    <row r="6519" spans="1:5" x14ac:dyDescent="0.25">
      <c r="A6519" s="41">
        <v>19727</v>
      </c>
      <c r="B6519" s="42" t="s">
        <v>6894</v>
      </c>
      <c r="C6519" s="43" t="s">
        <v>289</v>
      </c>
      <c r="D6519" s="43" t="s">
        <v>1526</v>
      </c>
      <c r="E6519" s="43" t="s">
        <v>769</v>
      </c>
    </row>
    <row r="6520" spans="1:5" x14ac:dyDescent="0.25">
      <c r="A6520" s="41">
        <v>19728</v>
      </c>
      <c r="B6520" s="42" t="s">
        <v>6895</v>
      </c>
      <c r="C6520" s="43" t="s">
        <v>289</v>
      </c>
      <c r="D6520" s="43" t="s">
        <v>327</v>
      </c>
      <c r="E6520" s="43" t="s">
        <v>336</v>
      </c>
    </row>
    <row r="6521" spans="1:5" x14ac:dyDescent="0.25">
      <c r="A6521" s="41">
        <v>19729</v>
      </c>
      <c r="B6521" s="42" t="s">
        <v>6896</v>
      </c>
      <c r="C6521" s="43" t="s">
        <v>289</v>
      </c>
      <c r="D6521" s="43" t="s">
        <v>1141</v>
      </c>
      <c r="E6521" s="43" t="s">
        <v>230</v>
      </c>
    </row>
    <row r="6522" spans="1:5" x14ac:dyDescent="0.25">
      <c r="A6522" s="41">
        <v>19730</v>
      </c>
      <c r="B6522" s="42" t="s">
        <v>6897</v>
      </c>
      <c r="C6522" s="43" t="s">
        <v>289</v>
      </c>
      <c r="D6522" s="43" t="s">
        <v>499</v>
      </c>
      <c r="E6522" s="43" t="s">
        <v>230</v>
      </c>
    </row>
    <row r="6523" spans="1:5" x14ac:dyDescent="0.25">
      <c r="A6523" s="41">
        <v>19731</v>
      </c>
      <c r="B6523" s="42" t="s">
        <v>6898</v>
      </c>
      <c r="C6523" s="43" t="s">
        <v>289</v>
      </c>
      <c r="D6523" s="43" t="s">
        <v>499</v>
      </c>
      <c r="E6523" s="43" t="s">
        <v>230</v>
      </c>
    </row>
    <row r="6524" spans="1:5" x14ac:dyDescent="0.25">
      <c r="A6524" s="41">
        <v>19732</v>
      </c>
      <c r="B6524" s="42" t="s">
        <v>6899</v>
      </c>
      <c r="C6524" s="43" t="s">
        <v>289</v>
      </c>
      <c r="D6524" s="43" t="s">
        <v>499</v>
      </c>
      <c r="E6524" s="43" t="s">
        <v>230</v>
      </c>
    </row>
    <row r="6525" spans="1:5" x14ac:dyDescent="0.25">
      <c r="A6525" s="41">
        <v>19733</v>
      </c>
      <c r="B6525" s="42" t="s">
        <v>6900</v>
      </c>
      <c r="C6525" s="43" t="s">
        <v>289</v>
      </c>
      <c r="D6525" s="43" t="s">
        <v>499</v>
      </c>
      <c r="E6525" s="43" t="s">
        <v>230</v>
      </c>
    </row>
    <row r="6526" spans="1:5" x14ac:dyDescent="0.25">
      <c r="A6526" s="41">
        <v>19734</v>
      </c>
      <c r="B6526" s="42" t="s">
        <v>6901</v>
      </c>
      <c r="C6526" s="43" t="s">
        <v>289</v>
      </c>
      <c r="D6526" s="43" t="s">
        <v>941</v>
      </c>
      <c r="E6526" s="43" t="s">
        <v>454</v>
      </c>
    </row>
    <row r="6527" spans="1:5" x14ac:dyDescent="0.25">
      <c r="A6527" s="41">
        <v>19735</v>
      </c>
      <c r="B6527" s="42" t="s">
        <v>6902</v>
      </c>
      <c r="C6527" s="43" t="s">
        <v>289</v>
      </c>
      <c r="D6527" s="43" t="s">
        <v>1112</v>
      </c>
      <c r="E6527" s="43" t="s">
        <v>769</v>
      </c>
    </row>
    <row r="6528" spans="1:5" x14ac:dyDescent="0.25">
      <c r="A6528" s="41">
        <v>19736</v>
      </c>
      <c r="B6528" s="42" t="s">
        <v>6903</v>
      </c>
      <c r="C6528" s="43" t="s">
        <v>289</v>
      </c>
      <c r="D6528" s="43" t="s">
        <v>316</v>
      </c>
      <c r="E6528" s="43" t="s">
        <v>769</v>
      </c>
    </row>
    <row r="6529" spans="1:5" x14ac:dyDescent="0.25">
      <c r="A6529" s="41">
        <v>19737</v>
      </c>
      <c r="B6529" s="42" t="s">
        <v>6904</v>
      </c>
      <c r="C6529" s="43" t="s">
        <v>289</v>
      </c>
      <c r="D6529" s="43" t="s">
        <v>6905</v>
      </c>
      <c r="E6529" s="43" t="s">
        <v>769</v>
      </c>
    </row>
    <row r="6530" spans="1:5" x14ac:dyDescent="0.25">
      <c r="A6530" s="41">
        <v>19738</v>
      </c>
      <c r="B6530" s="42" t="s">
        <v>6906</v>
      </c>
      <c r="C6530" s="43" t="s">
        <v>289</v>
      </c>
      <c r="D6530" s="43" t="s">
        <v>1141</v>
      </c>
      <c r="E6530" s="43" t="s">
        <v>769</v>
      </c>
    </row>
    <row r="6531" spans="1:5" x14ac:dyDescent="0.25">
      <c r="A6531" s="41">
        <v>19739</v>
      </c>
      <c r="B6531" s="42" t="s">
        <v>6907</v>
      </c>
      <c r="C6531" s="43" t="s">
        <v>289</v>
      </c>
      <c r="D6531" s="43" t="s">
        <v>440</v>
      </c>
      <c r="E6531" s="43" t="s">
        <v>769</v>
      </c>
    </row>
    <row r="6532" spans="1:5" x14ac:dyDescent="0.25">
      <c r="A6532" s="41">
        <v>19740</v>
      </c>
      <c r="B6532" s="42" t="s">
        <v>6908</v>
      </c>
      <c r="C6532" s="43" t="s">
        <v>289</v>
      </c>
      <c r="D6532" s="43" t="s">
        <v>474</v>
      </c>
      <c r="E6532" s="43" t="s">
        <v>769</v>
      </c>
    </row>
    <row r="6533" spans="1:5" x14ac:dyDescent="0.25">
      <c r="A6533" s="41">
        <v>19741</v>
      </c>
      <c r="B6533" s="42" t="s">
        <v>6909</v>
      </c>
      <c r="C6533" s="43" t="s">
        <v>289</v>
      </c>
      <c r="D6533" s="43" t="s">
        <v>316</v>
      </c>
      <c r="E6533" s="43" t="s">
        <v>769</v>
      </c>
    </row>
    <row r="6534" spans="1:5" x14ac:dyDescent="0.25">
      <c r="A6534" s="41">
        <v>19742</v>
      </c>
      <c r="B6534" s="42" t="s">
        <v>6910</v>
      </c>
      <c r="C6534" s="43" t="s">
        <v>289</v>
      </c>
      <c r="D6534" s="43" t="s">
        <v>6905</v>
      </c>
      <c r="E6534" s="43" t="s">
        <v>769</v>
      </c>
    </row>
    <row r="6535" spans="1:5" x14ac:dyDescent="0.25">
      <c r="A6535" s="41">
        <v>19743</v>
      </c>
      <c r="B6535" s="42" t="s">
        <v>6911</v>
      </c>
      <c r="C6535" s="43" t="s">
        <v>289</v>
      </c>
      <c r="D6535" s="43" t="s">
        <v>1141</v>
      </c>
      <c r="E6535" s="43" t="s">
        <v>769</v>
      </c>
    </row>
    <row r="6536" spans="1:5" x14ac:dyDescent="0.25">
      <c r="A6536" s="41">
        <v>19745</v>
      </c>
      <c r="B6536" s="42" t="s">
        <v>6912</v>
      </c>
      <c r="C6536" s="43" t="s">
        <v>289</v>
      </c>
      <c r="D6536" s="43" t="s">
        <v>1141</v>
      </c>
      <c r="E6536" s="43" t="s">
        <v>769</v>
      </c>
    </row>
    <row r="6537" spans="1:5" x14ac:dyDescent="0.25">
      <c r="A6537" s="41">
        <v>19746</v>
      </c>
      <c r="B6537" s="42" t="s">
        <v>6913</v>
      </c>
      <c r="C6537" s="43" t="s">
        <v>289</v>
      </c>
      <c r="D6537" s="43" t="s">
        <v>5570</v>
      </c>
      <c r="E6537" s="43" t="s">
        <v>769</v>
      </c>
    </row>
    <row r="6538" spans="1:5" x14ac:dyDescent="0.25">
      <c r="A6538" s="41">
        <v>19748</v>
      </c>
      <c r="B6538" s="42" t="s">
        <v>6914</v>
      </c>
      <c r="C6538" s="43" t="s">
        <v>289</v>
      </c>
      <c r="D6538" s="43" t="s">
        <v>633</v>
      </c>
      <c r="E6538" s="43" t="s">
        <v>230</v>
      </c>
    </row>
    <row r="6539" spans="1:5" x14ac:dyDescent="0.25">
      <c r="A6539" s="41">
        <v>19749</v>
      </c>
      <c r="B6539" s="42" t="s">
        <v>6915</v>
      </c>
      <c r="C6539" s="43" t="s">
        <v>289</v>
      </c>
      <c r="D6539" s="43" t="s">
        <v>633</v>
      </c>
      <c r="E6539" s="43" t="s">
        <v>230</v>
      </c>
    </row>
    <row r="6540" spans="1:5" x14ac:dyDescent="0.25">
      <c r="A6540" s="41">
        <v>19750</v>
      </c>
      <c r="B6540" s="42" t="s">
        <v>6916</v>
      </c>
      <c r="C6540" s="43" t="s">
        <v>289</v>
      </c>
      <c r="D6540" s="43" t="s">
        <v>316</v>
      </c>
      <c r="E6540" s="43" t="s">
        <v>230</v>
      </c>
    </row>
    <row r="6541" spans="1:5" x14ac:dyDescent="0.25">
      <c r="A6541" s="41">
        <v>19751</v>
      </c>
      <c r="B6541" s="42" t="s">
        <v>6917</v>
      </c>
      <c r="C6541" s="43" t="s">
        <v>289</v>
      </c>
      <c r="D6541" s="43" t="s">
        <v>316</v>
      </c>
      <c r="E6541" s="43" t="s">
        <v>230</v>
      </c>
    </row>
    <row r="6542" spans="1:5" x14ac:dyDescent="0.25">
      <c r="A6542" s="41">
        <v>19752</v>
      </c>
      <c r="B6542" s="42" t="s">
        <v>6918</v>
      </c>
      <c r="C6542" s="43" t="s">
        <v>289</v>
      </c>
      <c r="D6542" s="43" t="s">
        <v>316</v>
      </c>
      <c r="E6542" s="43" t="s">
        <v>230</v>
      </c>
    </row>
    <row r="6543" spans="1:5" x14ac:dyDescent="0.25">
      <c r="A6543" s="41">
        <v>19753</v>
      </c>
      <c r="B6543" s="42" t="s">
        <v>6919</v>
      </c>
      <c r="C6543" s="43" t="s">
        <v>289</v>
      </c>
      <c r="D6543" s="43" t="s">
        <v>1141</v>
      </c>
      <c r="E6543" s="43" t="s">
        <v>230</v>
      </c>
    </row>
    <row r="6544" spans="1:5" x14ac:dyDescent="0.25">
      <c r="A6544" s="41">
        <v>19754</v>
      </c>
      <c r="B6544" s="42" t="s">
        <v>6920</v>
      </c>
      <c r="C6544" s="43" t="s">
        <v>289</v>
      </c>
      <c r="D6544" s="43" t="s">
        <v>1112</v>
      </c>
      <c r="E6544" s="43" t="s">
        <v>230</v>
      </c>
    </row>
    <row r="6545" spans="1:5" x14ac:dyDescent="0.25">
      <c r="A6545" s="41">
        <v>19755</v>
      </c>
      <c r="B6545" s="42" t="s">
        <v>6921</v>
      </c>
      <c r="C6545" s="43" t="s">
        <v>289</v>
      </c>
      <c r="D6545" s="43" t="s">
        <v>1112</v>
      </c>
      <c r="E6545" s="43" t="s">
        <v>230</v>
      </c>
    </row>
    <row r="6546" spans="1:5" x14ac:dyDescent="0.25">
      <c r="A6546" s="41">
        <v>19756</v>
      </c>
      <c r="B6546" s="42" t="s">
        <v>6922</v>
      </c>
      <c r="C6546" s="43" t="s">
        <v>289</v>
      </c>
      <c r="D6546" s="43" t="s">
        <v>1112</v>
      </c>
      <c r="E6546" s="43" t="s">
        <v>230</v>
      </c>
    </row>
    <row r="6547" spans="1:5" x14ac:dyDescent="0.25">
      <c r="A6547" s="41">
        <v>19757</v>
      </c>
      <c r="B6547" s="42" t="s">
        <v>6923</v>
      </c>
      <c r="C6547" s="43" t="s">
        <v>289</v>
      </c>
      <c r="D6547" s="43" t="s">
        <v>996</v>
      </c>
      <c r="E6547" s="43" t="s">
        <v>230</v>
      </c>
    </row>
    <row r="6548" spans="1:5" x14ac:dyDescent="0.25">
      <c r="A6548" s="41">
        <v>19759</v>
      </c>
      <c r="B6548" s="42" t="s">
        <v>6924</v>
      </c>
      <c r="C6548" s="43" t="s">
        <v>289</v>
      </c>
      <c r="D6548" s="43" t="s">
        <v>6141</v>
      </c>
      <c r="E6548" s="43" t="s">
        <v>230</v>
      </c>
    </row>
    <row r="6549" spans="1:5" x14ac:dyDescent="0.25">
      <c r="A6549" s="41">
        <v>19760</v>
      </c>
      <c r="B6549" s="42" t="s">
        <v>6925</v>
      </c>
      <c r="C6549" s="43" t="s">
        <v>289</v>
      </c>
      <c r="D6549" s="43" t="s">
        <v>6141</v>
      </c>
      <c r="E6549" s="43" t="s">
        <v>230</v>
      </c>
    </row>
    <row r="6550" spans="1:5" x14ac:dyDescent="0.25">
      <c r="A6550" s="41">
        <v>19761</v>
      </c>
      <c r="B6550" s="42" t="s">
        <v>6926</v>
      </c>
      <c r="C6550" s="43" t="s">
        <v>289</v>
      </c>
      <c r="D6550" s="43" t="s">
        <v>327</v>
      </c>
      <c r="E6550" s="43" t="s">
        <v>230</v>
      </c>
    </row>
    <row r="6551" spans="1:5" x14ac:dyDescent="0.25">
      <c r="A6551" s="41">
        <v>19762</v>
      </c>
      <c r="B6551" s="42" t="s">
        <v>6927</v>
      </c>
      <c r="C6551" s="43" t="s">
        <v>289</v>
      </c>
      <c r="D6551" s="43" t="s">
        <v>996</v>
      </c>
      <c r="E6551" s="43" t="s">
        <v>230</v>
      </c>
    </row>
    <row r="6552" spans="1:5" x14ac:dyDescent="0.25">
      <c r="A6552" s="41">
        <v>19763</v>
      </c>
      <c r="B6552" s="42" t="s">
        <v>6928</v>
      </c>
      <c r="C6552" s="43" t="s">
        <v>289</v>
      </c>
      <c r="D6552" s="43" t="s">
        <v>996</v>
      </c>
      <c r="E6552" s="43" t="s">
        <v>230</v>
      </c>
    </row>
    <row r="6553" spans="1:5" x14ac:dyDescent="0.25">
      <c r="A6553" s="41">
        <v>19765</v>
      </c>
      <c r="B6553" s="42" t="s">
        <v>6929</v>
      </c>
      <c r="C6553" s="43" t="s">
        <v>289</v>
      </c>
      <c r="D6553" s="43" t="s">
        <v>633</v>
      </c>
      <c r="E6553" s="43" t="s">
        <v>230</v>
      </c>
    </row>
    <row r="6554" spans="1:5" x14ac:dyDescent="0.25">
      <c r="A6554" s="41">
        <v>19766</v>
      </c>
      <c r="B6554" s="42" t="s">
        <v>6930</v>
      </c>
      <c r="C6554" s="43" t="s">
        <v>289</v>
      </c>
      <c r="D6554" s="43" t="s">
        <v>314</v>
      </c>
      <c r="E6554" s="43" t="s">
        <v>230</v>
      </c>
    </row>
    <row r="6555" spans="1:5" x14ac:dyDescent="0.25">
      <c r="A6555" s="41">
        <v>19769</v>
      </c>
      <c r="B6555" s="42" t="s">
        <v>6931</v>
      </c>
      <c r="C6555" s="43" t="s">
        <v>289</v>
      </c>
      <c r="D6555" s="43" t="s">
        <v>633</v>
      </c>
      <c r="E6555" s="43" t="s">
        <v>230</v>
      </c>
    </row>
    <row r="6556" spans="1:5" x14ac:dyDescent="0.25">
      <c r="A6556" s="41">
        <v>19770</v>
      </c>
      <c r="B6556" s="42" t="s">
        <v>6932</v>
      </c>
      <c r="C6556" s="43" t="s">
        <v>289</v>
      </c>
      <c r="D6556" s="43" t="s">
        <v>633</v>
      </c>
      <c r="E6556" s="43" t="s">
        <v>230</v>
      </c>
    </row>
    <row r="6557" spans="1:5" x14ac:dyDescent="0.25">
      <c r="A6557" s="41">
        <v>19772</v>
      </c>
      <c r="B6557" s="42" t="s">
        <v>6933</v>
      </c>
      <c r="C6557" s="43" t="s">
        <v>289</v>
      </c>
      <c r="D6557" s="43" t="s">
        <v>633</v>
      </c>
      <c r="E6557" s="43" t="s">
        <v>230</v>
      </c>
    </row>
    <row r="6558" spans="1:5" x14ac:dyDescent="0.25">
      <c r="A6558" s="41">
        <v>19773</v>
      </c>
      <c r="B6558" s="42" t="s">
        <v>6934</v>
      </c>
      <c r="C6558" s="43" t="s">
        <v>289</v>
      </c>
      <c r="D6558" s="43" t="s">
        <v>633</v>
      </c>
      <c r="E6558" s="43" t="s">
        <v>230</v>
      </c>
    </row>
    <row r="6559" spans="1:5" x14ac:dyDescent="0.25">
      <c r="A6559" s="41">
        <v>19774</v>
      </c>
      <c r="B6559" s="42" t="s">
        <v>6935</v>
      </c>
      <c r="C6559" s="43" t="s">
        <v>289</v>
      </c>
      <c r="D6559" s="43" t="s">
        <v>327</v>
      </c>
      <c r="E6559" s="43" t="s">
        <v>230</v>
      </c>
    </row>
    <row r="6560" spans="1:5" x14ac:dyDescent="0.25">
      <c r="A6560" s="41">
        <v>19781</v>
      </c>
      <c r="B6560" s="42" t="s">
        <v>6936</v>
      </c>
      <c r="C6560" s="43" t="s">
        <v>289</v>
      </c>
      <c r="D6560" s="43" t="s">
        <v>474</v>
      </c>
      <c r="E6560" s="43" t="s">
        <v>230</v>
      </c>
    </row>
    <row r="6561" spans="1:5" x14ac:dyDescent="0.25">
      <c r="A6561" s="41">
        <v>19782</v>
      </c>
      <c r="B6561" s="42" t="s">
        <v>6937</v>
      </c>
      <c r="C6561" s="43" t="s">
        <v>289</v>
      </c>
      <c r="D6561" s="43" t="s">
        <v>290</v>
      </c>
      <c r="E6561" s="43" t="s">
        <v>230</v>
      </c>
    </row>
    <row r="6562" spans="1:5" x14ac:dyDescent="0.25">
      <c r="A6562" s="41">
        <v>19783</v>
      </c>
      <c r="B6562" s="42" t="s">
        <v>6938</v>
      </c>
      <c r="C6562" s="43" t="s">
        <v>289</v>
      </c>
      <c r="D6562" s="43" t="s">
        <v>941</v>
      </c>
      <c r="E6562" s="43" t="s">
        <v>454</v>
      </c>
    </row>
    <row r="6563" spans="1:5" x14ac:dyDescent="0.25">
      <c r="A6563" s="41">
        <v>19784</v>
      </c>
      <c r="B6563" s="42" t="s">
        <v>6939</v>
      </c>
      <c r="C6563" s="43" t="s">
        <v>289</v>
      </c>
      <c r="D6563" s="43" t="s">
        <v>941</v>
      </c>
      <c r="E6563" s="43" t="s">
        <v>454</v>
      </c>
    </row>
    <row r="6564" spans="1:5" x14ac:dyDescent="0.25">
      <c r="A6564" s="41">
        <v>19785</v>
      </c>
      <c r="B6564" s="42" t="s">
        <v>6940</v>
      </c>
      <c r="C6564" s="43" t="s">
        <v>289</v>
      </c>
      <c r="D6564" s="43" t="s">
        <v>966</v>
      </c>
      <c r="E6564" s="43" t="s">
        <v>230</v>
      </c>
    </row>
    <row r="6565" spans="1:5" x14ac:dyDescent="0.25">
      <c r="A6565" s="41">
        <v>19786</v>
      </c>
      <c r="B6565" s="42" t="s">
        <v>6941</v>
      </c>
      <c r="C6565" s="43" t="s">
        <v>289</v>
      </c>
      <c r="D6565" s="43" t="s">
        <v>633</v>
      </c>
      <c r="E6565" s="43" t="s">
        <v>230</v>
      </c>
    </row>
    <row r="6566" spans="1:5" x14ac:dyDescent="0.25">
      <c r="A6566" s="41">
        <v>19787</v>
      </c>
      <c r="B6566" s="42" t="s">
        <v>6942</v>
      </c>
      <c r="C6566" s="43" t="s">
        <v>289</v>
      </c>
      <c r="D6566" s="43" t="s">
        <v>633</v>
      </c>
      <c r="E6566" s="43" t="s">
        <v>464</v>
      </c>
    </row>
    <row r="6567" spans="1:5" x14ac:dyDescent="0.25">
      <c r="A6567" s="41">
        <v>19788</v>
      </c>
      <c r="B6567" s="42" t="s">
        <v>6943</v>
      </c>
      <c r="C6567" s="43" t="s">
        <v>289</v>
      </c>
      <c r="D6567" s="43" t="s">
        <v>633</v>
      </c>
      <c r="E6567" s="43" t="s">
        <v>464</v>
      </c>
    </row>
    <row r="6568" spans="1:5" x14ac:dyDescent="0.25">
      <c r="A6568" s="41">
        <v>19789</v>
      </c>
      <c r="B6568" s="42" t="s">
        <v>6944</v>
      </c>
      <c r="C6568" s="43" t="s">
        <v>289</v>
      </c>
      <c r="D6568" s="43" t="s">
        <v>1112</v>
      </c>
      <c r="E6568" s="43" t="s">
        <v>464</v>
      </c>
    </row>
    <row r="6569" spans="1:5" x14ac:dyDescent="0.25">
      <c r="A6569" s="41">
        <v>19790</v>
      </c>
      <c r="B6569" s="42" t="s">
        <v>6945</v>
      </c>
      <c r="C6569" s="43" t="s">
        <v>289</v>
      </c>
      <c r="D6569" s="43" t="s">
        <v>1112</v>
      </c>
      <c r="E6569" s="43" t="s">
        <v>464</v>
      </c>
    </row>
    <row r="6570" spans="1:5" x14ac:dyDescent="0.25">
      <c r="A6570" s="41">
        <v>19792</v>
      </c>
      <c r="B6570" s="42" t="s">
        <v>6946</v>
      </c>
      <c r="C6570" s="43" t="s">
        <v>289</v>
      </c>
      <c r="D6570" s="43" t="s">
        <v>795</v>
      </c>
      <c r="E6570" s="43" t="s">
        <v>764</v>
      </c>
    </row>
    <row r="6571" spans="1:5" x14ac:dyDescent="0.25">
      <c r="A6571" s="41">
        <v>19793</v>
      </c>
      <c r="B6571" s="42" t="s">
        <v>6947</v>
      </c>
      <c r="C6571" s="43" t="s">
        <v>289</v>
      </c>
      <c r="D6571" s="43" t="s">
        <v>1100</v>
      </c>
      <c r="E6571" s="43" t="s">
        <v>170</v>
      </c>
    </row>
    <row r="6572" spans="1:5" x14ac:dyDescent="0.25">
      <c r="A6572" s="41">
        <v>19794</v>
      </c>
      <c r="B6572" s="42" t="s">
        <v>6948</v>
      </c>
      <c r="C6572" s="43" t="s">
        <v>289</v>
      </c>
      <c r="D6572" s="43" t="s">
        <v>333</v>
      </c>
      <c r="E6572" s="43" t="s">
        <v>230</v>
      </c>
    </row>
    <row r="6573" spans="1:5" x14ac:dyDescent="0.25">
      <c r="A6573" s="41">
        <v>19795</v>
      </c>
      <c r="B6573" s="42" t="s">
        <v>6949</v>
      </c>
      <c r="C6573" s="43" t="s">
        <v>289</v>
      </c>
      <c r="D6573" s="43" t="s">
        <v>333</v>
      </c>
      <c r="E6573" s="43" t="s">
        <v>230</v>
      </c>
    </row>
    <row r="6574" spans="1:5" x14ac:dyDescent="0.25">
      <c r="A6574" s="41">
        <v>19796</v>
      </c>
      <c r="B6574" s="42" t="s">
        <v>6950</v>
      </c>
      <c r="C6574" s="43" t="s">
        <v>289</v>
      </c>
      <c r="D6574" s="43" t="s">
        <v>333</v>
      </c>
      <c r="E6574" s="43" t="s">
        <v>230</v>
      </c>
    </row>
    <row r="6575" spans="1:5" x14ac:dyDescent="0.25">
      <c r="A6575" s="41">
        <v>19797</v>
      </c>
      <c r="B6575" s="42" t="s">
        <v>6951</v>
      </c>
      <c r="C6575" s="43" t="s">
        <v>289</v>
      </c>
      <c r="D6575" s="43" t="s">
        <v>702</v>
      </c>
      <c r="E6575" s="43" t="s">
        <v>230</v>
      </c>
    </row>
    <row r="6576" spans="1:5" x14ac:dyDescent="0.25">
      <c r="A6576" s="41">
        <v>19798</v>
      </c>
      <c r="B6576" s="42" t="s">
        <v>6952</v>
      </c>
      <c r="C6576" s="43" t="s">
        <v>289</v>
      </c>
      <c r="D6576" s="43" t="s">
        <v>702</v>
      </c>
      <c r="E6576" s="43" t="s">
        <v>336</v>
      </c>
    </row>
    <row r="6577" spans="1:5" x14ac:dyDescent="0.25">
      <c r="A6577" s="41">
        <v>19799</v>
      </c>
      <c r="B6577" s="42" t="s">
        <v>6953</v>
      </c>
      <c r="C6577" s="43" t="s">
        <v>289</v>
      </c>
      <c r="D6577" s="43" t="s">
        <v>941</v>
      </c>
      <c r="E6577" s="43" t="s">
        <v>464</v>
      </c>
    </row>
    <row r="6578" spans="1:5" x14ac:dyDescent="0.25">
      <c r="A6578" s="41">
        <v>19801</v>
      </c>
      <c r="B6578" s="42" t="s">
        <v>6954</v>
      </c>
      <c r="C6578" s="43" t="s">
        <v>289</v>
      </c>
      <c r="D6578" s="43" t="s">
        <v>6955</v>
      </c>
      <c r="E6578" s="43" t="s">
        <v>464</v>
      </c>
    </row>
    <row r="6579" spans="1:5" x14ac:dyDescent="0.25">
      <c r="A6579" s="41">
        <v>19802</v>
      </c>
      <c r="B6579" s="42" t="s">
        <v>6956</v>
      </c>
      <c r="C6579" s="43" t="s">
        <v>289</v>
      </c>
      <c r="D6579" s="43" t="s">
        <v>6955</v>
      </c>
      <c r="E6579" s="43" t="s">
        <v>464</v>
      </c>
    </row>
    <row r="6580" spans="1:5" x14ac:dyDescent="0.25">
      <c r="A6580" s="41">
        <v>19803</v>
      </c>
      <c r="B6580" s="42" t="s">
        <v>6957</v>
      </c>
      <c r="C6580" s="43" t="s">
        <v>289</v>
      </c>
      <c r="D6580" s="43" t="s">
        <v>6955</v>
      </c>
      <c r="E6580" s="43" t="s">
        <v>464</v>
      </c>
    </row>
    <row r="6581" spans="1:5" x14ac:dyDescent="0.25">
      <c r="A6581" s="41">
        <v>19804</v>
      </c>
      <c r="B6581" s="42" t="s">
        <v>6958</v>
      </c>
      <c r="C6581" s="43" t="s">
        <v>289</v>
      </c>
      <c r="D6581" s="43" t="s">
        <v>6955</v>
      </c>
      <c r="E6581" s="43" t="s">
        <v>464</v>
      </c>
    </row>
    <row r="6582" spans="1:5" x14ac:dyDescent="0.25">
      <c r="A6582" s="41">
        <v>19805</v>
      </c>
      <c r="B6582" s="42" t="s">
        <v>6959</v>
      </c>
      <c r="C6582" s="43" t="s">
        <v>289</v>
      </c>
      <c r="D6582" s="43" t="s">
        <v>694</v>
      </c>
      <c r="E6582" s="43" t="s">
        <v>230</v>
      </c>
    </row>
    <row r="6583" spans="1:5" x14ac:dyDescent="0.25">
      <c r="A6583" s="41">
        <v>19806</v>
      </c>
      <c r="B6583" s="42" t="s">
        <v>6960</v>
      </c>
      <c r="C6583" s="43" t="s">
        <v>289</v>
      </c>
      <c r="D6583" s="43" t="s">
        <v>2461</v>
      </c>
      <c r="E6583" s="43" t="s">
        <v>464</v>
      </c>
    </row>
    <row r="6584" spans="1:5" x14ac:dyDescent="0.25">
      <c r="A6584" s="41">
        <v>19807</v>
      </c>
      <c r="B6584" s="42" t="s">
        <v>6961</v>
      </c>
      <c r="C6584" s="43" t="s">
        <v>289</v>
      </c>
      <c r="D6584" s="43" t="s">
        <v>2461</v>
      </c>
      <c r="E6584" s="43" t="s">
        <v>464</v>
      </c>
    </row>
    <row r="6585" spans="1:5" x14ac:dyDescent="0.25">
      <c r="A6585" s="41">
        <v>19808</v>
      </c>
      <c r="B6585" s="42" t="s">
        <v>6962</v>
      </c>
      <c r="C6585" s="43" t="s">
        <v>289</v>
      </c>
      <c r="D6585" s="43" t="s">
        <v>440</v>
      </c>
      <c r="E6585" s="43" t="s">
        <v>230</v>
      </c>
    </row>
    <row r="6586" spans="1:5" x14ac:dyDescent="0.25">
      <c r="A6586" s="41">
        <v>19811</v>
      </c>
      <c r="B6586" s="42" t="s">
        <v>6963</v>
      </c>
      <c r="C6586" s="43" t="s">
        <v>289</v>
      </c>
      <c r="D6586" s="43" t="s">
        <v>633</v>
      </c>
      <c r="E6586" s="43" t="s">
        <v>464</v>
      </c>
    </row>
    <row r="6587" spans="1:5" x14ac:dyDescent="0.25">
      <c r="A6587" s="41">
        <v>19812</v>
      </c>
      <c r="B6587" s="42" t="s">
        <v>6964</v>
      </c>
      <c r="C6587" s="43" t="s">
        <v>289</v>
      </c>
      <c r="D6587" s="43" t="s">
        <v>633</v>
      </c>
      <c r="E6587" s="43" t="s">
        <v>464</v>
      </c>
    </row>
    <row r="6588" spans="1:5" x14ac:dyDescent="0.25">
      <c r="A6588" s="41">
        <v>19813</v>
      </c>
      <c r="B6588" s="42" t="s">
        <v>6965</v>
      </c>
      <c r="C6588" s="43" t="s">
        <v>289</v>
      </c>
      <c r="D6588" s="43" t="s">
        <v>633</v>
      </c>
      <c r="E6588" s="43" t="s">
        <v>464</v>
      </c>
    </row>
    <row r="6589" spans="1:5" x14ac:dyDescent="0.25">
      <c r="A6589" s="41">
        <v>19814</v>
      </c>
      <c r="B6589" s="42" t="s">
        <v>6966</v>
      </c>
      <c r="C6589" s="43" t="s">
        <v>289</v>
      </c>
      <c r="D6589" s="43" t="s">
        <v>633</v>
      </c>
      <c r="E6589" s="43" t="s">
        <v>464</v>
      </c>
    </row>
    <row r="6590" spans="1:5" x14ac:dyDescent="0.25">
      <c r="A6590" s="41">
        <v>19815</v>
      </c>
      <c r="B6590" s="42" t="s">
        <v>6967</v>
      </c>
      <c r="C6590" s="43" t="s">
        <v>289</v>
      </c>
      <c r="D6590" s="43" t="s">
        <v>633</v>
      </c>
      <c r="E6590" s="43" t="s">
        <v>464</v>
      </c>
    </row>
    <row r="6591" spans="1:5" x14ac:dyDescent="0.25">
      <c r="A6591" s="41">
        <v>19816</v>
      </c>
      <c r="B6591" s="42" t="s">
        <v>6968</v>
      </c>
      <c r="C6591" s="43" t="s">
        <v>289</v>
      </c>
      <c r="D6591" s="43" t="s">
        <v>327</v>
      </c>
      <c r="E6591" s="43" t="s">
        <v>230</v>
      </c>
    </row>
    <row r="6592" spans="1:5" x14ac:dyDescent="0.25">
      <c r="A6592" s="41">
        <v>19817</v>
      </c>
      <c r="B6592" s="42" t="s">
        <v>6969</v>
      </c>
      <c r="C6592" s="43" t="s">
        <v>289</v>
      </c>
      <c r="D6592" s="43" t="s">
        <v>327</v>
      </c>
      <c r="E6592" s="43" t="s">
        <v>230</v>
      </c>
    </row>
    <row r="6593" spans="1:5" x14ac:dyDescent="0.25">
      <c r="A6593" s="41">
        <v>19818</v>
      </c>
      <c r="B6593" s="42" t="s">
        <v>6970</v>
      </c>
      <c r="C6593" s="43" t="s">
        <v>289</v>
      </c>
      <c r="D6593" s="43" t="s">
        <v>795</v>
      </c>
      <c r="E6593" s="43" t="s">
        <v>464</v>
      </c>
    </row>
    <row r="6594" spans="1:5" x14ac:dyDescent="0.25">
      <c r="A6594" s="41">
        <v>19819</v>
      </c>
      <c r="B6594" s="42" t="s">
        <v>6971</v>
      </c>
      <c r="C6594" s="43" t="s">
        <v>289</v>
      </c>
      <c r="D6594" s="43" t="s">
        <v>795</v>
      </c>
      <c r="E6594" s="43" t="s">
        <v>717</v>
      </c>
    </row>
    <row r="6595" spans="1:5" x14ac:dyDescent="0.25">
      <c r="A6595" s="41">
        <v>19820</v>
      </c>
      <c r="B6595" s="42" t="s">
        <v>6972</v>
      </c>
      <c r="C6595" s="43" t="s">
        <v>289</v>
      </c>
      <c r="D6595" s="43" t="s">
        <v>795</v>
      </c>
      <c r="E6595" s="43" t="s">
        <v>230</v>
      </c>
    </row>
    <row r="6596" spans="1:5" x14ac:dyDescent="0.25">
      <c r="A6596" s="41">
        <v>19821</v>
      </c>
      <c r="B6596" s="42" t="s">
        <v>6973</v>
      </c>
      <c r="C6596" s="43" t="s">
        <v>289</v>
      </c>
      <c r="D6596" s="43" t="s">
        <v>795</v>
      </c>
      <c r="E6596" s="43" t="s">
        <v>483</v>
      </c>
    </row>
    <row r="6597" spans="1:5" x14ac:dyDescent="0.25">
      <c r="A6597" s="41">
        <v>19822</v>
      </c>
      <c r="B6597" s="42" t="s">
        <v>6974</v>
      </c>
      <c r="C6597" s="43" t="s">
        <v>289</v>
      </c>
      <c r="D6597" s="43" t="s">
        <v>795</v>
      </c>
      <c r="E6597" s="43" t="s">
        <v>483</v>
      </c>
    </row>
    <row r="6598" spans="1:5" x14ac:dyDescent="0.25">
      <c r="A6598" s="41">
        <v>19823</v>
      </c>
      <c r="B6598" s="42" t="s">
        <v>6975</v>
      </c>
      <c r="C6598" s="43" t="s">
        <v>289</v>
      </c>
      <c r="D6598" s="43" t="s">
        <v>795</v>
      </c>
      <c r="E6598" s="43" t="s">
        <v>483</v>
      </c>
    </row>
    <row r="6599" spans="1:5" x14ac:dyDescent="0.25">
      <c r="A6599" s="41">
        <v>19824</v>
      </c>
      <c r="B6599" s="42" t="s">
        <v>6976</v>
      </c>
      <c r="C6599" s="43" t="s">
        <v>289</v>
      </c>
      <c r="D6599" s="43" t="s">
        <v>795</v>
      </c>
      <c r="E6599" s="43" t="s">
        <v>464</v>
      </c>
    </row>
    <row r="6600" spans="1:5" x14ac:dyDescent="0.25">
      <c r="A6600" s="41">
        <v>19825</v>
      </c>
      <c r="B6600" s="42" t="s">
        <v>6977</v>
      </c>
      <c r="C6600" s="43" t="s">
        <v>289</v>
      </c>
      <c r="D6600" s="43" t="s">
        <v>795</v>
      </c>
      <c r="E6600" s="43" t="s">
        <v>464</v>
      </c>
    </row>
    <row r="6601" spans="1:5" x14ac:dyDescent="0.25">
      <c r="A6601" s="41">
        <v>19826</v>
      </c>
      <c r="B6601" s="42" t="s">
        <v>6978</v>
      </c>
      <c r="C6601" s="43" t="s">
        <v>289</v>
      </c>
      <c r="D6601" s="43" t="s">
        <v>314</v>
      </c>
      <c r="E6601" s="43" t="s">
        <v>230</v>
      </c>
    </row>
    <row r="6602" spans="1:5" x14ac:dyDescent="0.25">
      <c r="A6602" s="41">
        <v>19827</v>
      </c>
      <c r="B6602" s="42" t="s">
        <v>6979</v>
      </c>
      <c r="C6602" s="43" t="s">
        <v>289</v>
      </c>
      <c r="D6602" s="43" t="s">
        <v>327</v>
      </c>
      <c r="E6602" s="43" t="s">
        <v>230</v>
      </c>
    </row>
    <row r="6603" spans="1:5" x14ac:dyDescent="0.25">
      <c r="A6603" s="41">
        <v>19828</v>
      </c>
      <c r="B6603" s="42" t="s">
        <v>6980</v>
      </c>
      <c r="C6603" s="43" t="s">
        <v>289</v>
      </c>
      <c r="D6603" s="43" t="s">
        <v>327</v>
      </c>
      <c r="E6603" s="43" t="s">
        <v>230</v>
      </c>
    </row>
    <row r="6604" spans="1:5" x14ac:dyDescent="0.25">
      <c r="A6604" s="41">
        <v>19829</v>
      </c>
      <c r="B6604" s="42" t="s">
        <v>6981</v>
      </c>
      <c r="C6604" s="43" t="s">
        <v>289</v>
      </c>
      <c r="D6604" s="43" t="s">
        <v>327</v>
      </c>
      <c r="E6604" s="43" t="s">
        <v>230</v>
      </c>
    </row>
    <row r="6605" spans="1:5" x14ac:dyDescent="0.25">
      <c r="A6605" s="41">
        <v>19830</v>
      </c>
      <c r="B6605" s="42" t="s">
        <v>6982</v>
      </c>
      <c r="C6605" s="43" t="s">
        <v>289</v>
      </c>
      <c r="D6605" s="43" t="s">
        <v>633</v>
      </c>
      <c r="E6605" s="43" t="s">
        <v>464</v>
      </c>
    </row>
    <row r="6606" spans="1:5" x14ac:dyDescent="0.25">
      <c r="A6606" s="41">
        <v>19831</v>
      </c>
      <c r="B6606" s="42" t="s">
        <v>6983</v>
      </c>
      <c r="C6606" s="43" t="s">
        <v>289</v>
      </c>
      <c r="D6606" s="43" t="s">
        <v>327</v>
      </c>
      <c r="E6606" s="43" t="s">
        <v>454</v>
      </c>
    </row>
    <row r="6607" spans="1:5" x14ac:dyDescent="0.25">
      <c r="A6607" s="41">
        <v>19833</v>
      </c>
      <c r="B6607" s="42" t="s">
        <v>6984</v>
      </c>
      <c r="C6607" s="43" t="s">
        <v>289</v>
      </c>
      <c r="D6607" s="43" t="s">
        <v>1112</v>
      </c>
      <c r="E6607" s="43" t="s">
        <v>230</v>
      </c>
    </row>
    <row r="6608" spans="1:5" x14ac:dyDescent="0.25">
      <c r="A6608" s="41">
        <v>19835</v>
      </c>
      <c r="B6608" s="42" t="s">
        <v>6985</v>
      </c>
      <c r="C6608" s="43" t="s">
        <v>289</v>
      </c>
      <c r="D6608" s="43" t="s">
        <v>633</v>
      </c>
      <c r="E6608" s="43" t="s">
        <v>464</v>
      </c>
    </row>
    <row r="6609" spans="1:5" x14ac:dyDescent="0.25">
      <c r="A6609" s="41">
        <v>19836</v>
      </c>
      <c r="B6609" s="42" t="s">
        <v>6986</v>
      </c>
      <c r="C6609" s="43" t="s">
        <v>289</v>
      </c>
      <c r="D6609" s="43" t="s">
        <v>633</v>
      </c>
      <c r="E6609" s="43" t="s">
        <v>464</v>
      </c>
    </row>
    <row r="6610" spans="1:5" x14ac:dyDescent="0.25">
      <c r="A6610" s="41">
        <v>19837</v>
      </c>
      <c r="B6610" s="42" t="s">
        <v>6987</v>
      </c>
      <c r="C6610" s="43" t="s">
        <v>289</v>
      </c>
      <c r="D6610" s="43" t="s">
        <v>633</v>
      </c>
      <c r="E6610" s="43" t="s">
        <v>464</v>
      </c>
    </row>
    <row r="6611" spans="1:5" x14ac:dyDescent="0.25">
      <c r="A6611" s="41">
        <v>19838</v>
      </c>
      <c r="B6611" s="42" t="s">
        <v>6988</v>
      </c>
      <c r="C6611" s="43" t="s">
        <v>289</v>
      </c>
      <c r="D6611" s="43" t="s">
        <v>633</v>
      </c>
      <c r="E6611" s="43" t="s">
        <v>464</v>
      </c>
    </row>
    <row r="6612" spans="1:5" x14ac:dyDescent="0.25">
      <c r="A6612" s="41">
        <v>19839</v>
      </c>
      <c r="B6612" s="42" t="s">
        <v>6989</v>
      </c>
      <c r="C6612" s="43" t="s">
        <v>289</v>
      </c>
      <c r="D6612" s="43" t="s">
        <v>633</v>
      </c>
      <c r="E6612" s="43" t="s">
        <v>464</v>
      </c>
    </row>
    <row r="6613" spans="1:5" x14ac:dyDescent="0.25">
      <c r="A6613" s="41">
        <v>19840</v>
      </c>
      <c r="B6613" s="42" t="s">
        <v>6990</v>
      </c>
      <c r="C6613" s="43" t="s">
        <v>289</v>
      </c>
      <c r="D6613" s="43" t="s">
        <v>633</v>
      </c>
      <c r="E6613" s="43" t="s">
        <v>464</v>
      </c>
    </row>
    <row r="6614" spans="1:5" x14ac:dyDescent="0.25">
      <c r="A6614" s="41">
        <v>19841</v>
      </c>
      <c r="B6614" s="42" t="s">
        <v>6991</v>
      </c>
      <c r="C6614" s="43" t="s">
        <v>289</v>
      </c>
      <c r="D6614" s="43" t="s">
        <v>316</v>
      </c>
      <c r="E6614" s="43" t="s">
        <v>230</v>
      </c>
    </row>
    <row r="6615" spans="1:5" x14ac:dyDescent="0.25">
      <c r="A6615" s="41">
        <v>19842</v>
      </c>
      <c r="B6615" s="42" t="s">
        <v>6992</v>
      </c>
      <c r="C6615" s="43" t="s">
        <v>289</v>
      </c>
      <c r="D6615" s="43" t="s">
        <v>633</v>
      </c>
      <c r="E6615" s="43" t="s">
        <v>230</v>
      </c>
    </row>
    <row r="6616" spans="1:5" x14ac:dyDescent="0.25">
      <c r="A6616" s="41">
        <v>19843</v>
      </c>
      <c r="B6616" s="42" t="s">
        <v>6993</v>
      </c>
      <c r="C6616" s="43" t="s">
        <v>289</v>
      </c>
      <c r="D6616" s="43" t="s">
        <v>811</v>
      </c>
      <c r="E6616" s="43" t="s">
        <v>230</v>
      </c>
    </row>
    <row r="6617" spans="1:5" x14ac:dyDescent="0.25">
      <c r="A6617" s="41">
        <v>19844</v>
      </c>
      <c r="B6617" s="42" t="s">
        <v>6994</v>
      </c>
      <c r="C6617" s="43" t="s">
        <v>289</v>
      </c>
      <c r="D6617" s="43" t="s">
        <v>941</v>
      </c>
      <c r="E6617" s="43" t="s">
        <v>454</v>
      </c>
    </row>
    <row r="6618" spans="1:5" x14ac:dyDescent="0.25">
      <c r="A6618" s="41">
        <v>19845</v>
      </c>
      <c r="B6618" s="42" t="s">
        <v>6995</v>
      </c>
      <c r="C6618" s="43" t="s">
        <v>289</v>
      </c>
      <c r="D6618" s="43" t="s">
        <v>941</v>
      </c>
      <c r="E6618" s="43" t="s">
        <v>454</v>
      </c>
    </row>
    <row r="6619" spans="1:5" x14ac:dyDescent="0.25">
      <c r="A6619" s="41">
        <v>19846</v>
      </c>
      <c r="B6619" s="42" t="s">
        <v>6996</v>
      </c>
      <c r="C6619" s="43" t="s">
        <v>289</v>
      </c>
      <c r="D6619" s="43" t="s">
        <v>941</v>
      </c>
      <c r="E6619" s="43" t="s">
        <v>454</v>
      </c>
    </row>
    <row r="6620" spans="1:5" x14ac:dyDescent="0.25">
      <c r="A6620" s="41">
        <v>19847</v>
      </c>
      <c r="B6620" s="42" t="s">
        <v>6997</v>
      </c>
      <c r="C6620" s="43" t="s">
        <v>289</v>
      </c>
      <c r="D6620" s="43" t="s">
        <v>941</v>
      </c>
      <c r="E6620" s="43" t="s">
        <v>454</v>
      </c>
    </row>
    <row r="6621" spans="1:5" x14ac:dyDescent="0.25">
      <c r="A6621" s="41">
        <v>19848</v>
      </c>
      <c r="B6621" s="42" t="s">
        <v>6998</v>
      </c>
      <c r="C6621" s="43" t="s">
        <v>289</v>
      </c>
      <c r="D6621" s="43" t="s">
        <v>941</v>
      </c>
      <c r="E6621" s="43" t="s">
        <v>454</v>
      </c>
    </row>
    <row r="6622" spans="1:5" x14ac:dyDescent="0.25">
      <c r="A6622" s="41">
        <v>19849</v>
      </c>
      <c r="B6622" s="42" t="s">
        <v>6999</v>
      </c>
      <c r="C6622" s="43" t="s">
        <v>289</v>
      </c>
      <c r="D6622" s="43" t="s">
        <v>941</v>
      </c>
      <c r="E6622" s="43" t="s">
        <v>454</v>
      </c>
    </row>
    <row r="6623" spans="1:5" x14ac:dyDescent="0.25">
      <c r="A6623" s="41">
        <v>19850</v>
      </c>
      <c r="B6623" s="42" t="s">
        <v>7000</v>
      </c>
      <c r="C6623" s="43" t="s">
        <v>289</v>
      </c>
      <c r="D6623" s="43" t="s">
        <v>941</v>
      </c>
      <c r="E6623" s="43" t="s">
        <v>454</v>
      </c>
    </row>
    <row r="6624" spans="1:5" x14ac:dyDescent="0.25">
      <c r="A6624" s="41">
        <v>19851</v>
      </c>
      <c r="B6624" s="42" t="s">
        <v>7001</v>
      </c>
      <c r="C6624" s="43" t="s">
        <v>289</v>
      </c>
      <c r="D6624" s="43" t="s">
        <v>941</v>
      </c>
      <c r="E6624" s="43" t="s">
        <v>454</v>
      </c>
    </row>
    <row r="6625" spans="1:5" x14ac:dyDescent="0.25">
      <c r="A6625" s="41">
        <v>19852</v>
      </c>
      <c r="B6625" s="42" t="s">
        <v>7002</v>
      </c>
      <c r="C6625" s="43" t="s">
        <v>289</v>
      </c>
      <c r="D6625" s="43" t="s">
        <v>941</v>
      </c>
      <c r="E6625" s="43" t="s">
        <v>454</v>
      </c>
    </row>
    <row r="6626" spans="1:5" x14ac:dyDescent="0.25">
      <c r="A6626" s="41">
        <v>19853</v>
      </c>
      <c r="B6626" s="42" t="s">
        <v>7003</v>
      </c>
      <c r="C6626" s="43" t="s">
        <v>289</v>
      </c>
      <c r="D6626" s="43" t="s">
        <v>941</v>
      </c>
      <c r="E6626" s="43" t="s">
        <v>454</v>
      </c>
    </row>
    <row r="6627" spans="1:5" x14ac:dyDescent="0.25">
      <c r="A6627" s="41">
        <v>19854</v>
      </c>
      <c r="B6627" s="42" t="s">
        <v>7004</v>
      </c>
      <c r="C6627" s="43" t="s">
        <v>289</v>
      </c>
      <c r="D6627" s="43" t="s">
        <v>941</v>
      </c>
      <c r="E6627" s="43" t="s">
        <v>454</v>
      </c>
    </row>
    <row r="6628" spans="1:5" x14ac:dyDescent="0.25">
      <c r="A6628" s="41">
        <v>19855</v>
      </c>
      <c r="B6628" s="42" t="s">
        <v>7005</v>
      </c>
      <c r="C6628" s="43" t="s">
        <v>289</v>
      </c>
      <c r="D6628" s="43" t="s">
        <v>941</v>
      </c>
      <c r="E6628" s="43" t="s">
        <v>454</v>
      </c>
    </row>
    <row r="6629" spans="1:5" x14ac:dyDescent="0.25">
      <c r="A6629" s="41">
        <v>19856</v>
      </c>
      <c r="B6629" s="42" t="s">
        <v>7006</v>
      </c>
      <c r="C6629" s="43" t="s">
        <v>289</v>
      </c>
      <c r="D6629" s="43" t="s">
        <v>941</v>
      </c>
      <c r="E6629" s="43" t="s">
        <v>454</v>
      </c>
    </row>
    <row r="6630" spans="1:5" x14ac:dyDescent="0.25">
      <c r="A6630" s="41">
        <v>19857</v>
      </c>
      <c r="B6630" s="42" t="s">
        <v>7007</v>
      </c>
      <c r="C6630" s="43" t="s">
        <v>289</v>
      </c>
      <c r="D6630" s="43" t="s">
        <v>941</v>
      </c>
      <c r="E6630" s="43" t="s">
        <v>454</v>
      </c>
    </row>
    <row r="6631" spans="1:5" x14ac:dyDescent="0.25">
      <c r="A6631" s="41">
        <v>19858</v>
      </c>
      <c r="B6631" s="42" t="s">
        <v>7008</v>
      </c>
      <c r="C6631" s="43" t="s">
        <v>289</v>
      </c>
      <c r="D6631" s="43" t="s">
        <v>941</v>
      </c>
      <c r="E6631" s="43" t="s">
        <v>454</v>
      </c>
    </row>
    <row r="6632" spans="1:5" x14ac:dyDescent="0.25">
      <c r="A6632" s="41">
        <v>19859</v>
      </c>
      <c r="B6632" s="42" t="s">
        <v>7009</v>
      </c>
      <c r="C6632" s="43" t="s">
        <v>289</v>
      </c>
      <c r="D6632" s="43" t="s">
        <v>941</v>
      </c>
      <c r="E6632" s="43" t="s">
        <v>454</v>
      </c>
    </row>
    <row r="6633" spans="1:5" x14ac:dyDescent="0.25">
      <c r="A6633" s="41">
        <v>19860</v>
      </c>
      <c r="B6633" s="42" t="s">
        <v>7010</v>
      </c>
      <c r="C6633" s="43" t="s">
        <v>289</v>
      </c>
      <c r="D6633" s="43" t="s">
        <v>941</v>
      </c>
      <c r="E6633" s="43" t="s">
        <v>454</v>
      </c>
    </row>
    <row r="6634" spans="1:5" x14ac:dyDescent="0.25">
      <c r="A6634" s="41">
        <v>19861</v>
      </c>
      <c r="B6634" s="42" t="s">
        <v>7011</v>
      </c>
      <c r="C6634" s="43" t="s">
        <v>289</v>
      </c>
      <c r="D6634" s="43" t="s">
        <v>941</v>
      </c>
      <c r="E6634" s="43" t="s">
        <v>454</v>
      </c>
    </row>
    <row r="6635" spans="1:5" x14ac:dyDescent="0.25">
      <c r="A6635" s="41">
        <v>19862</v>
      </c>
      <c r="B6635" s="42" t="s">
        <v>7012</v>
      </c>
      <c r="C6635" s="43" t="s">
        <v>289</v>
      </c>
      <c r="D6635" s="43" t="s">
        <v>941</v>
      </c>
      <c r="E6635" s="43" t="s">
        <v>454</v>
      </c>
    </row>
    <row r="6636" spans="1:5" x14ac:dyDescent="0.25">
      <c r="A6636" s="41">
        <v>19863</v>
      </c>
      <c r="B6636" s="42" t="s">
        <v>7013</v>
      </c>
      <c r="C6636" s="43" t="s">
        <v>289</v>
      </c>
      <c r="D6636" s="43" t="s">
        <v>941</v>
      </c>
      <c r="E6636" s="43" t="s">
        <v>454</v>
      </c>
    </row>
    <row r="6637" spans="1:5" x14ac:dyDescent="0.25">
      <c r="A6637" s="41">
        <v>19864</v>
      </c>
      <c r="B6637" s="42" t="s">
        <v>7014</v>
      </c>
      <c r="C6637" s="43" t="s">
        <v>289</v>
      </c>
      <c r="D6637" s="43" t="s">
        <v>941</v>
      </c>
      <c r="E6637" s="43" t="s">
        <v>454</v>
      </c>
    </row>
    <row r="6638" spans="1:5" x14ac:dyDescent="0.25">
      <c r="A6638" s="41">
        <v>19865</v>
      </c>
      <c r="B6638" s="42" t="s">
        <v>7015</v>
      </c>
      <c r="C6638" s="43" t="s">
        <v>289</v>
      </c>
      <c r="D6638" s="43" t="s">
        <v>941</v>
      </c>
      <c r="E6638" s="43" t="s">
        <v>454</v>
      </c>
    </row>
    <row r="6639" spans="1:5" x14ac:dyDescent="0.25">
      <c r="A6639" s="41">
        <v>19866</v>
      </c>
      <c r="B6639" s="42" t="s">
        <v>7016</v>
      </c>
      <c r="C6639" s="43" t="s">
        <v>289</v>
      </c>
      <c r="D6639" s="43" t="s">
        <v>941</v>
      </c>
      <c r="E6639" s="43" t="s">
        <v>454</v>
      </c>
    </row>
    <row r="6640" spans="1:5" x14ac:dyDescent="0.25">
      <c r="A6640" s="41">
        <v>19867</v>
      </c>
      <c r="B6640" s="42" t="s">
        <v>7017</v>
      </c>
      <c r="C6640" s="43" t="s">
        <v>289</v>
      </c>
      <c r="D6640" s="43" t="s">
        <v>941</v>
      </c>
      <c r="E6640" s="43" t="s">
        <v>454</v>
      </c>
    </row>
    <row r="6641" spans="1:5" x14ac:dyDescent="0.25">
      <c r="A6641" s="41">
        <v>19868</v>
      </c>
      <c r="B6641" s="42" t="s">
        <v>7018</v>
      </c>
      <c r="C6641" s="43" t="s">
        <v>289</v>
      </c>
      <c r="D6641" s="43" t="s">
        <v>941</v>
      </c>
      <c r="E6641" s="43" t="s">
        <v>454</v>
      </c>
    </row>
    <row r="6642" spans="1:5" x14ac:dyDescent="0.25">
      <c r="A6642" s="41">
        <v>19869</v>
      </c>
      <c r="B6642" s="42" t="s">
        <v>7019</v>
      </c>
      <c r="C6642" s="43" t="s">
        <v>289</v>
      </c>
      <c r="D6642" s="43" t="s">
        <v>941</v>
      </c>
      <c r="E6642" s="43" t="s">
        <v>454</v>
      </c>
    </row>
    <row r="6643" spans="1:5" x14ac:dyDescent="0.25">
      <c r="A6643" s="41">
        <v>19870</v>
      </c>
      <c r="B6643" s="42" t="s">
        <v>7020</v>
      </c>
      <c r="C6643" s="43" t="s">
        <v>289</v>
      </c>
      <c r="D6643" s="43" t="s">
        <v>941</v>
      </c>
      <c r="E6643" s="43" t="s">
        <v>454</v>
      </c>
    </row>
    <row r="6644" spans="1:5" x14ac:dyDescent="0.25">
      <c r="A6644" s="41">
        <v>19871</v>
      </c>
      <c r="B6644" s="42" t="s">
        <v>7021</v>
      </c>
      <c r="C6644" s="43" t="s">
        <v>289</v>
      </c>
      <c r="D6644" s="43" t="s">
        <v>941</v>
      </c>
      <c r="E6644" s="43" t="s">
        <v>454</v>
      </c>
    </row>
    <row r="6645" spans="1:5" x14ac:dyDescent="0.25">
      <c r="A6645" s="41">
        <v>19872</v>
      </c>
      <c r="B6645" s="42" t="s">
        <v>7022</v>
      </c>
      <c r="C6645" s="43" t="s">
        <v>289</v>
      </c>
      <c r="D6645" s="43" t="s">
        <v>941</v>
      </c>
      <c r="E6645" s="43" t="s">
        <v>454</v>
      </c>
    </row>
    <row r="6646" spans="1:5" x14ac:dyDescent="0.25">
      <c r="A6646" s="41">
        <v>19873</v>
      </c>
      <c r="B6646" s="42" t="s">
        <v>7023</v>
      </c>
      <c r="C6646" s="43" t="s">
        <v>289</v>
      </c>
      <c r="D6646" s="43" t="s">
        <v>941</v>
      </c>
      <c r="E6646" s="43" t="s">
        <v>454</v>
      </c>
    </row>
    <row r="6647" spans="1:5" x14ac:dyDescent="0.25">
      <c r="A6647" s="41">
        <v>19874</v>
      </c>
      <c r="B6647" s="42" t="s">
        <v>7024</v>
      </c>
      <c r="C6647" s="43" t="s">
        <v>289</v>
      </c>
      <c r="D6647" s="43" t="s">
        <v>633</v>
      </c>
      <c r="E6647" s="43" t="s">
        <v>464</v>
      </c>
    </row>
    <row r="6648" spans="1:5" x14ac:dyDescent="0.25">
      <c r="A6648" s="41">
        <v>19875</v>
      </c>
      <c r="B6648" s="42" t="s">
        <v>7025</v>
      </c>
      <c r="C6648" s="43" t="s">
        <v>289</v>
      </c>
      <c r="D6648" s="43" t="s">
        <v>633</v>
      </c>
      <c r="E6648" s="43" t="s">
        <v>464</v>
      </c>
    </row>
    <row r="6649" spans="1:5" x14ac:dyDescent="0.25">
      <c r="A6649" s="41">
        <v>19876</v>
      </c>
      <c r="B6649" s="42" t="s">
        <v>7026</v>
      </c>
      <c r="C6649" s="43" t="s">
        <v>289</v>
      </c>
      <c r="D6649" s="43" t="s">
        <v>633</v>
      </c>
      <c r="E6649" s="43" t="s">
        <v>464</v>
      </c>
    </row>
    <row r="6650" spans="1:5" x14ac:dyDescent="0.25">
      <c r="A6650" s="41">
        <v>19877</v>
      </c>
      <c r="B6650" s="42" t="s">
        <v>7027</v>
      </c>
      <c r="C6650" s="43" t="s">
        <v>289</v>
      </c>
      <c r="D6650" s="43" t="s">
        <v>633</v>
      </c>
      <c r="E6650" s="43" t="s">
        <v>464</v>
      </c>
    </row>
    <row r="6651" spans="1:5" x14ac:dyDescent="0.25">
      <c r="A6651" s="41">
        <v>19878</v>
      </c>
      <c r="B6651" s="42" t="s">
        <v>7028</v>
      </c>
      <c r="C6651" s="43" t="s">
        <v>289</v>
      </c>
      <c r="D6651" s="43" t="s">
        <v>633</v>
      </c>
      <c r="E6651" s="43" t="s">
        <v>464</v>
      </c>
    </row>
    <row r="6652" spans="1:5" x14ac:dyDescent="0.25">
      <c r="A6652" s="41">
        <v>19879</v>
      </c>
      <c r="B6652" s="42" t="s">
        <v>7029</v>
      </c>
      <c r="C6652" s="43" t="s">
        <v>289</v>
      </c>
      <c r="D6652" s="43" t="s">
        <v>633</v>
      </c>
      <c r="E6652" s="43" t="s">
        <v>464</v>
      </c>
    </row>
    <row r="6653" spans="1:5" x14ac:dyDescent="0.25">
      <c r="A6653" s="41">
        <v>19880</v>
      </c>
      <c r="B6653" s="42" t="s">
        <v>7030</v>
      </c>
      <c r="C6653" s="43" t="s">
        <v>289</v>
      </c>
      <c r="D6653" s="43" t="s">
        <v>633</v>
      </c>
      <c r="E6653" s="43" t="s">
        <v>464</v>
      </c>
    </row>
    <row r="6654" spans="1:5" x14ac:dyDescent="0.25">
      <c r="A6654" s="41">
        <v>19881</v>
      </c>
      <c r="B6654" s="42" t="s">
        <v>7031</v>
      </c>
      <c r="C6654" s="43" t="s">
        <v>289</v>
      </c>
      <c r="D6654" s="43" t="s">
        <v>941</v>
      </c>
      <c r="E6654" s="43" t="s">
        <v>454</v>
      </c>
    </row>
    <row r="6655" spans="1:5" x14ac:dyDescent="0.25">
      <c r="A6655" s="41">
        <v>19882</v>
      </c>
      <c r="B6655" s="42" t="s">
        <v>7032</v>
      </c>
      <c r="C6655" s="43" t="s">
        <v>289</v>
      </c>
      <c r="D6655" s="43" t="s">
        <v>941</v>
      </c>
      <c r="E6655" s="43" t="s">
        <v>454</v>
      </c>
    </row>
    <row r="6656" spans="1:5" x14ac:dyDescent="0.25">
      <c r="A6656" s="41">
        <v>19883</v>
      </c>
      <c r="B6656" s="42" t="s">
        <v>7033</v>
      </c>
      <c r="C6656" s="43" t="s">
        <v>289</v>
      </c>
      <c r="D6656" s="43" t="s">
        <v>941</v>
      </c>
      <c r="E6656" s="43" t="s">
        <v>454</v>
      </c>
    </row>
    <row r="6657" spans="1:5" x14ac:dyDescent="0.25">
      <c r="A6657" s="41">
        <v>19884</v>
      </c>
      <c r="B6657" s="42" t="s">
        <v>7034</v>
      </c>
      <c r="C6657" s="43" t="s">
        <v>289</v>
      </c>
      <c r="D6657" s="43" t="s">
        <v>941</v>
      </c>
      <c r="E6657" s="43" t="s">
        <v>454</v>
      </c>
    </row>
    <row r="6658" spans="1:5" x14ac:dyDescent="0.25">
      <c r="A6658" s="41">
        <v>19885</v>
      </c>
      <c r="B6658" s="42" t="s">
        <v>7035</v>
      </c>
      <c r="C6658" s="43" t="s">
        <v>289</v>
      </c>
      <c r="D6658" s="43" t="s">
        <v>941</v>
      </c>
      <c r="E6658" s="43" t="s">
        <v>454</v>
      </c>
    </row>
    <row r="6659" spans="1:5" x14ac:dyDescent="0.25">
      <c r="A6659" s="41">
        <v>19886</v>
      </c>
      <c r="B6659" s="42" t="s">
        <v>7036</v>
      </c>
      <c r="C6659" s="43" t="s">
        <v>289</v>
      </c>
      <c r="D6659" s="43" t="s">
        <v>941</v>
      </c>
      <c r="E6659" s="43" t="s">
        <v>454</v>
      </c>
    </row>
    <row r="6660" spans="1:5" x14ac:dyDescent="0.25">
      <c r="A6660" s="41">
        <v>19887</v>
      </c>
      <c r="B6660" s="42" t="s">
        <v>6847</v>
      </c>
      <c r="C6660" s="43" t="s">
        <v>289</v>
      </c>
      <c r="D6660" s="43" t="s">
        <v>633</v>
      </c>
      <c r="E6660" s="43" t="s">
        <v>464</v>
      </c>
    </row>
    <row r="6661" spans="1:5" x14ac:dyDescent="0.25">
      <c r="A6661" s="41">
        <v>19888</v>
      </c>
      <c r="B6661" s="42" t="s">
        <v>7037</v>
      </c>
      <c r="C6661" s="43" t="s">
        <v>289</v>
      </c>
      <c r="D6661" s="43" t="s">
        <v>633</v>
      </c>
      <c r="E6661" s="43" t="s">
        <v>464</v>
      </c>
    </row>
    <row r="6662" spans="1:5" x14ac:dyDescent="0.25">
      <c r="A6662" s="41">
        <v>19889</v>
      </c>
      <c r="B6662" s="42" t="s">
        <v>7038</v>
      </c>
      <c r="C6662" s="43" t="s">
        <v>289</v>
      </c>
      <c r="D6662" s="43" t="s">
        <v>633</v>
      </c>
      <c r="E6662" s="43" t="s">
        <v>464</v>
      </c>
    </row>
    <row r="6663" spans="1:5" x14ac:dyDescent="0.25">
      <c r="A6663" s="41">
        <v>19890</v>
      </c>
      <c r="B6663" s="42" t="s">
        <v>7039</v>
      </c>
      <c r="C6663" s="43" t="s">
        <v>289</v>
      </c>
      <c r="D6663" s="43" t="s">
        <v>633</v>
      </c>
      <c r="E6663" s="43" t="s">
        <v>464</v>
      </c>
    </row>
    <row r="6664" spans="1:5" x14ac:dyDescent="0.25">
      <c r="A6664" s="41">
        <v>19891</v>
      </c>
      <c r="B6664" s="42" t="s">
        <v>7040</v>
      </c>
      <c r="C6664" s="43" t="s">
        <v>289</v>
      </c>
      <c r="D6664" s="43" t="s">
        <v>1112</v>
      </c>
      <c r="E6664" s="43" t="s">
        <v>769</v>
      </c>
    </row>
    <row r="6665" spans="1:5" x14ac:dyDescent="0.25">
      <c r="A6665" s="41">
        <v>19892</v>
      </c>
      <c r="B6665" s="42" t="s">
        <v>7041</v>
      </c>
      <c r="C6665" s="43" t="s">
        <v>289</v>
      </c>
      <c r="D6665" s="43" t="s">
        <v>1112</v>
      </c>
      <c r="E6665" s="43" t="s">
        <v>769</v>
      </c>
    </row>
    <row r="6666" spans="1:5" x14ac:dyDescent="0.25">
      <c r="A6666" s="41">
        <v>19893</v>
      </c>
      <c r="B6666" s="42" t="s">
        <v>7042</v>
      </c>
      <c r="C6666" s="43" t="s">
        <v>289</v>
      </c>
      <c r="D6666" s="43" t="s">
        <v>633</v>
      </c>
      <c r="E6666" s="43" t="s">
        <v>464</v>
      </c>
    </row>
    <row r="6667" spans="1:5" x14ac:dyDescent="0.25">
      <c r="A6667" s="41">
        <v>19894</v>
      </c>
      <c r="B6667" s="42" t="s">
        <v>7043</v>
      </c>
      <c r="C6667" s="43" t="s">
        <v>289</v>
      </c>
      <c r="D6667" s="43" t="s">
        <v>633</v>
      </c>
      <c r="E6667" s="43" t="s">
        <v>464</v>
      </c>
    </row>
    <row r="6668" spans="1:5" x14ac:dyDescent="0.25">
      <c r="A6668" s="41">
        <v>19895</v>
      </c>
      <c r="B6668" s="42" t="s">
        <v>7044</v>
      </c>
      <c r="C6668" s="43" t="s">
        <v>289</v>
      </c>
      <c r="D6668" s="43" t="s">
        <v>763</v>
      </c>
      <c r="E6668" s="43" t="s">
        <v>766</v>
      </c>
    </row>
    <row r="6669" spans="1:5" x14ac:dyDescent="0.25">
      <c r="A6669" s="41">
        <v>19896</v>
      </c>
      <c r="B6669" s="42" t="s">
        <v>7045</v>
      </c>
      <c r="C6669" s="43" t="s">
        <v>289</v>
      </c>
      <c r="D6669" s="43" t="s">
        <v>327</v>
      </c>
      <c r="E6669" s="43" t="s">
        <v>454</v>
      </c>
    </row>
    <row r="6670" spans="1:5" x14ac:dyDescent="0.25">
      <c r="A6670" s="41">
        <v>19897</v>
      </c>
      <c r="B6670" s="42" t="s">
        <v>7046</v>
      </c>
      <c r="C6670" s="43" t="s">
        <v>289</v>
      </c>
      <c r="D6670" s="43" t="s">
        <v>316</v>
      </c>
      <c r="E6670" s="43" t="s">
        <v>170</v>
      </c>
    </row>
    <row r="6671" spans="1:5" x14ac:dyDescent="0.25">
      <c r="A6671" s="41">
        <v>19898</v>
      </c>
      <c r="B6671" s="42" t="s">
        <v>7047</v>
      </c>
      <c r="C6671" s="43" t="s">
        <v>289</v>
      </c>
      <c r="D6671" s="43" t="s">
        <v>316</v>
      </c>
      <c r="E6671" s="43" t="s">
        <v>230</v>
      </c>
    </row>
    <row r="6672" spans="1:5" x14ac:dyDescent="0.25">
      <c r="A6672" s="41">
        <v>19899</v>
      </c>
      <c r="B6672" s="42" t="s">
        <v>7048</v>
      </c>
      <c r="C6672" s="43" t="s">
        <v>289</v>
      </c>
      <c r="D6672" s="43" t="s">
        <v>433</v>
      </c>
      <c r="E6672" s="43" t="s">
        <v>230</v>
      </c>
    </row>
    <row r="6673" spans="1:5" x14ac:dyDescent="0.25">
      <c r="A6673" s="41">
        <v>19900</v>
      </c>
      <c r="B6673" s="42" t="s">
        <v>7049</v>
      </c>
      <c r="C6673" s="43" t="s">
        <v>289</v>
      </c>
      <c r="D6673" s="43" t="s">
        <v>5570</v>
      </c>
      <c r="E6673" s="43" t="s">
        <v>769</v>
      </c>
    </row>
    <row r="6674" spans="1:5" x14ac:dyDescent="0.25">
      <c r="A6674" s="41">
        <v>19901</v>
      </c>
      <c r="B6674" s="42" t="s">
        <v>7050</v>
      </c>
      <c r="C6674" s="43" t="s">
        <v>289</v>
      </c>
      <c r="D6674" s="43" t="s">
        <v>633</v>
      </c>
      <c r="E6674" s="43" t="s">
        <v>464</v>
      </c>
    </row>
    <row r="6675" spans="1:5" x14ac:dyDescent="0.25">
      <c r="A6675" s="41">
        <v>19902</v>
      </c>
      <c r="B6675" s="42" t="s">
        <v>7051</v>
      </c>
      <c r="C6675" s="43" t="s">
        <v>289</v>
      </c>
      <c r="D6675" s="43" t="s">
        <v>499</v>
      </c>
      <c r="E6675" s="43" t="s">
        <v>472</v>
      </c>
    </row>
    <row r="6676" spans="1:5" x14ac:dyDescent="0.25">
      <c r="A6676" s="41">
        <v>19903</v>
      </c>
      <c r="B6676" s="42" t="s">
        <v>7052</v>
      </c>
      <c r="C6676" s="43" t="s">
        <v>289</v>
      </c>
      <c r="D6676" s="43" t="s">
        <v>3733</v>
      </c>
      <c r="E6676" s="43" t="s">
        <v>454</v>
      </c>
    </row>
    <row r="6677" spans="1:5" x14ac:dyDescent="0.25">
      <c r="A6677" s="41">
        <v>19904</v>
      </c>
      <c r="B6677" s="42" t="s">
        <v>7053</v>
      </c>
      <c r="C6677" s="43" t="s">
        <v>289</v>
      </c>
      <c r="D6677" s="43" t="s">
        <v>3733</v>
      </c>
      <c r="E6677" s="43" t="s">
        <v>454</v>
      </c>
    </row>
    <row r="6678" spans="1:5" x14ac:dyDescent="0.25">
      <c r="A6678" s="41">
        <v>19905</v>
      </c>
      <c r="B6678" s="42" t="s">
        <v>7054</v>
      </c>
      <c r="C6678" s="43" t="s">
        <v>289</v>
      </c>
      <c r="D6678" s="43" t="s">
        <v>5480</v>
      </c>
      <c r="E6678" s="43" t="s">
        <v>454</v>
      </c>
    </row>
    <row r="6679" spans="1:5" x14ac:dyDescent="0.25">
      <c r="A6679" s="41">
        <v>19906</v>
      </c>
      <c r="B6679" s="42" t="s">
        <v>7055</v>
      </c>
      <c r="C6679" s="43" t="s">
        <v>289</v>
      </c>
      <c r="D6679" s="43" t="s">
        <v>3733</v>
      </c>
      <c r="E6679" s="43" t="s">
        <v>454</v>
      </c>
    </row>
    <row r="6680" spans="1:5" x14ac:dyDescent="0.25">
      <c r="A6680" s="41">
        <v>19907</v>
      </c>
      <c r="B6680" s="42" t="s">
        <v>7056</v>
      </c>
      <c r="C6680" s="43" t="s">
        <v>289</v>
      </c>
      <c r="D6680" s="43" t="s">
        <v>3733</v>
      </c>
      <c r="E6680" s="43" t="s">
        <v>454</v>
      </c>
    </row>
    <row r="6681" spans="1:5" x14ac:dyDescent="0.25">
      <c r="A6681" s="41">
        <v>19908</v>
      </c>
      <c r="B6681" s="42" t="s">
        <v>7057</v>
      </c>
      <c r="C6681" s="43" t="s">
        <v>289</v>
      </c>
      <c r="D6681" s="43" t="s">
        <v>3733</v>
      </c>
      <c r="E6681" s="43" t="s">
        <v>454</v>
      </c>
    </row>
    <row r="6682" spans="1:5" x14ac:dyDescent="0.25">
      <c r="A6682" s="41">
        <v>19909</v>
      </c>
      <c r="B6682" s="42" t="s">
        <v>7058</v>
      </c>
      <c r="C6682" s="43" t="s">
        <v>289</v>
      </c>
      <c r="D6682" s="43" t="s">
        <v>3733</v>
      </c>
      <c r="E6682" s="43" t="s">
        <v>454</v>
      </c>
    </row>
    <row r="6683" spans="1:5" x14ac:dyDescent="0.25">
      <c r="A6683" s="41">
        <v>19910</v>
      </c>
      <c r="B6683" s="42" t="s">
        <v>7059</v>
      </c>
      <c r="C6683" s="43" t="s">
        <v>289</v>
      </c>
      <c r="D6683" s="43" t="s">
        <v>3733</v>
      </c>
      <c r="E6683" s="43" t="s">
        <v>454</v>
      </c>
    </row>
    <row r="6684" spans="1:5" x14ac:dyDescent="0.25">
      <c r="A6684" s="41">
        <v>19911</v>
      </c>
      <c r="B6684" s="42" t="s">
        <v>7060</v>
      </c>
      <c r="C6684" s="43" t="s">
        <v>289</v>
      </c>
      <c r="D6684" s="43" t="s">
        <v>3733</v>
      </c>
      <c r="E6684" s="43" t="s">
        <v>454</v>
      </c>
    </row>
    <row r="6685" spans="1:5" x14ac:dyDescent="0.25">
      <c r="A6685" s="41">
        <v>19912</v>
      </c>
      <c r="B6685" s="42" t="s">
        <v>7061</v>
      </c>
      <c r="C6685" s="43" t="s">
        <v>289</v>
      </c>
      <c r="D6685" s="43" t="s">
        <v>3733</v>
      </c>
      <c r="E6685" s="43" t="s">
        <v>454</v>
      </c>
    </row>
    <row r="6686" spans="1:5" x14ac:dyDescent="0.25">
      <c r="A6686" s="41">
        <v>19913</v>
      </c>
      <c r="B6686" s="42" t="s">
        <v>7062</v>
      </c>
      <c r="C6686" s="43" t="s">
        <v>289</v>
      </c>
      <c r="D6686" s="43" t="s">
        <v>3733</v>
      </c>
      <c r="E6686" s="43" t="s">
        <v>454</v>
      </c>
    </row>
    <row r="6687" spans="1:5" x14ac:dyDescent="0.25">
      <c r="A6687" s="41">
        <v>19914</v>
      </c>
      <c r="B6687" s="42" t="s">
        <v>7063</v>
      </c>
      <c r="C6687" s="43" t="s">
        <v>289</v>
      </c>
      <c r="D6687" s="43" t="s">
        <v>3733</v>
      </c>
      <c r="E6687" s="43" t="s">
        <v>454</v>
      </c>
    </row>
    <row r="6688" spans="1:5" x14ac:dyDescent="0.25">
      <c r="A6688" s="41">
        <v>19915</v>
      </c>
      <c r="B6688" s="42" t="s">
        <v>7064</v>
      </c>
      <c r="C6688" s="43" t="s">
        <v>289</v>
      </c>
      <c r="D6688" s="43" t="s">
        <v>3733</v>
      </c>
      <c r="E6688" s="43" t="s">
        <v>454</v>
      </c>
    </row>
    <row r="6689" spans="1:5" x14ac:dyDescent="0.25">
      <c r="A6689" s="41">
        <v>19916</v>
      </c>
      <c r="B6689" s="42" t="s">
        <v>7065</v>
      </c>
      <c r="C6689" s="43" t="s">
        <v>289</v>
      </c>
      <c r="D6689" s="43" t="s">
        <v>633</v>
      </c>
      <c r="E6689" s="43" t="s">
        <v>464</v>
      </c>
    </row>
    <row r="6690" spans="1:5" x14ac:dyDescent="0.25">
      <c r="A6690" s="41">
        <v>19917</v>
      </c>
      <c r="B6690" s="42" t="s">
        <v>7066</v>
      </c>
      <c r="C6690" s="43" t="s">
        <v>289</v>
      </c>
      <c r="D6690" s="43" t="s">
        <v>633</v>
      </c>
      <c r="E6690" s="43" t="s">
        <v>464</v>
      </c>
    </row>
    <row r="6691" spans="1:5" x14ac:dyDescent="0.25">
      <c r="A6691" s="41">
        <v>19918</v>
      </c>
      <c r="B6691" s="42" t="s">
        <v>7067</v>
      </c>
      <c r="C6691" s="43" t="s">
        <v>289</v>
      </c>
      <c r="D6691" s="43" t="s">
        <v>633</v>
      </c>
      <c r="E6691" s="43" t="s">
        <v>464</v>
      </c>
    </row>
    <row r="6692" spans="1:5" x14ac:dyDescent="0.25">
      <c r="A6692" s="41">
        <v>19919</v>
      </c>
      <c r="B6692" s="42" t="s">
        <v>7068</v>
      </c>
      <c r="C6692" s="43" t="s">
        <v>289</v>
      </c>
      <c r="D6692" s="43" t="s">
        <v>3733</v>
      </c>
      <c r="E6692" s="43" t="s">
        <v>454</v>
      </c>
    </row>
    <row r="6693" spans="1:5" x14ac:dyDescent="0.25">
      <c r="A6693" s="41">
        <v>19920</v>
      </c>
      <c r="B6693" s="42" t="s">
        <v>7069</v>
      </c>
      <c r="C6693" s="43" t="s">
        <v>289</v>
      </c>
      <c r="D6693" s="43" t="s">
        <v>3733</v>
      </c>
      <c r="E6693" s="43" t="s">
        <v>454</v>
      </c>
    </row>
    <row r="6694" spans="1:5" x14ac:dyDescent="0.25">
      <c r="A6694" s="41">
        <v>19921</v>
      </c>
      <c r="B6694" s="42" t="s">
        <v>7070</v>
      </c>
      <c r="C6694" s="43" t="s">
        <v>289</v>
      </c>
      <c r="D6694" s="43" t="s">
        <v>327</v>
      </c>
      <c r="E6694" s="43" t="s">
        <v>336</v>
      </c>
    </row>
    <row r="6695" spans="1:5" x14ac:dyDescent="0.25">
      <c r="A6695" s="41">
        <v>19922</v>
      </c>
      <c r="B6695" s="42" t="s">
        <v>7071</v>
      </c>
      <c r="C6695" s="43" t="s">
        <v>289</v>
      </c>
      <c r="D6695" s="43" t="s">
        <v>5391</v>
      </c>
      <c r="E6695" s="43" t="s">
        <v>230</v>
      </c>
    </row>
    <row r="6696" spans="1:5" x14ac:dyDescent="0.25">
      <c r="A6696" s="41">
        <v>19923</v>
      </c>
      <c r="B6696" s="42" t="s">
        <v>7072</v>
      </c>
      <c r="C6696" s="43" t="s">
        <v>289</v>
      </c>
      <c r="D6696" s="43" t="s">
        <v>4084</v>
      </c>
      <c r="E6696" s="43" t="s">
        <v>230</v>
      </c>
    </row>
    <row r="6697" spans="1:5" x14ac:dyDescent="0.25">
      <c r="A6697" s="41">
        <v>19924</v>
      </c>
      <c r="B6697" s="42" t="s">
        <v>7073</v>
      </c>
      <c r="C6697" s="43" t="s">
        <v>289</v>
      </c>
      <c r="D6697" s="43" t="s">
        <v>633</v>
      </c>
      <c r="E6697" s="43" t="s">
        <v>464</v>
      </c>
    </row>
    <row r="6698" spans="1:5" x14ac:dyDescent="0.25">
      <c r="A6698" s="41">
        <v>19925</v>
      </c>
      <c r="B6698" s="42" t="s">
        <v>7074</v>
      </c>
      <c r="C6698" s="43" t="s">
        <v>289</v>
      </c>
      <c r="D6698" s="43" t="s">
        <v>327</v>
      </c>
      <c r="E6698" s="43" t="s">
        <v>230</v>
      </c>
    </row>
    <row r="6699" spans="1:5" x14ac:dyDescent="0.25">
      <c r="A6699" s="41">
        <v>19926</v>
      </c>
      <c r="B6699" s="42" t="s">
        <v>7075</v>
      </c>
      <c r="C6699" s="43" t="s">
        <v>289</v>
      </c>
      <c r="D6699" s="43" t="s">
        <v>1112</v>
      </c>
      <c r="E6699" s="43" t="s">
        <v>464</v>
      </c>
    </row>
    <row r="6700" spans="1:5" x14ac:dyDescent="0.25">
      <c r="A6700" s="41">
        <v>19927</v>
      </c>
      <c r="B6700" s="42" t="s">
        <v>7076</v>
      </c>
      <c r="C6700" s="43" t="s">
        <v>289</v>
      </c>
      <c r="D6700" s="43" t="s">
        <v>333</v>
      </c>
      <c r="E6700" s="43" t="s">
        <v>230</v>
      </c>
    </row>
    <row r="6701" spans="1:5" x14ac:dyDescent="0.25">
      <c r="A6701" s="41">
        <v>19928</v>
      </c>
      <c r="B6701" s="42" t="s">
        <v>7077</v>
      </c>
      <c r="C6701" s="43" t="s">
        <v>289</v>
      </c>
      <c r="D6701" s="43" t="s">
        <v>474</v>
      </c>
      <c r="E6701" s="43" t="s">
        <v>230</v>
      </c>
    </row>
    <row r="6702" spans="1:5" x14ac:dyDescent="0.25">
      <c r="A6702" s="41">
        <v>19929</v>
      </c>
      <c r="B6702" s="42" t="s">
        <v>7078</v>
      </c>
      <c r="C6702" s="43" t="s">
        <v>289</v>
      </c>
      <c r="D6702" s="43" t="s">
        <v>633</v>
      </c>
      <c r="E6702" s="43" t="s">
        <v>464</v>
      </c>
    </row>
    <row r="6703" spans="1:5" x14ac:dyDescent="0.25">
      <c r="A6703" s="41">
        <v>19930</v>
      </c>
      <c r="B6703" s="42" t="s">
        <v>7079</v>
      </c>
      <c r="C6703" s="43" t="s">
        <v>289</v>
      </c>
      <c r="D6703" s="43" t="s">
        <v>316</v>
      </c>
      <c r="E6703" s="43" t="s">
        <v>230</v>
      </c>
    </row>
    <row r="6704" spans="1:5" x14ac:dyDescent="0.25">
      <c r="A6704" s="41">
        <v>19931</v>
      </c>
      <c r="B6704" s="42" t="s">
        <v>7080</v>
      </c>
      <c r="C6704" s="43" t="s">
        <v>289</v>
      </c>
      <c r="D6704" s="43" t="s">
        <v>1112</v>
      </c>
      <c r="E6704" s="43" t="s">
        <v>230</v>
      </c>
    </row>
    <row r="6705" spans="1:5" x14ac:dyDescent="0.25">
      <c r="A6705" s="41">
        <v>19932</v>
      </c>
      <c r="B6705" s="42" t="s">
        <v>7081</v>
      </c>
      <c r="C6705" s="43" t="s">
        <v>289</v>
      </c>
      <c r="D6705" s="43" t="s">
        <v>1112</v>
      </c>
      <c r="E6705" s="43" t="s">
        <v>230</v>
      </c>
    </row>
    <row r="6706" spans="1:5" x14ac:dyDescent="0.25">
      <c r="A6706" s="41">
        <v>19933</v>
      </c>
      <c r="B6706" s="42" t="s">
        <v>7082</v>
      </c>
      <c r="C6706" s="43" t="s">
        <v>289</v>
      </c>
      <c r="D6706" s="43" t="s">
        <v>1112</v>
      </c>
      <c r="E6706" s="43" t="s">
        <v>472</v>
      </c>
    </row>
    <row r="6707" spans="1:5" x14ac:dyDescent="0.25">
      <c r="A6707" s="41">
        <v>19934</v>
      </c>
      <c r="B6707" s="42" t="s">
        <v>7083</v>
      </c>
      <c r="C6707" s="43" t="s">
        <v>289</v>
      </c>
      <c r="D6707" s="43" t="s">
        <v>1112</v>
      </c>
      <c r="E6707" s="43" t="s">
        <v>464</v>
      </c>
    </row>
    <row r="6708" spans="1:5" x14ac:dyDescent="0.25">
      <c r="A6708" s="41">
        <v>19935</v>
      </c>
      <c r="B6708" s="42" t="s">
        <v>7084</v>
      </c>
      <c r="C6708" s="43" t="s">
        <v>289</v>
      </c>
      <c r="D6708" s="43" t="s">
        <v>1112</v>
      </c>
      <c r="E6708" s="43" t="s">
        <v>230</v>
      </c>
    </row>
    <row r="6709" spans="1:5" x14ac:dyDescent="0.25">
      <c r="A6709" s="41">
        <v>19936</v>
      </c>
      <c r="B6709" s="42" t="s">
        <v>7085</v>
      </c>
      <c r="C6709" s="43" t="s">
        <v>289</v>
      </c>
      <c r="D6709" s="43" t="s">
        <v>1112</v>
      </c>
      <c r="E6709" s="43" t="s">
        <v>230</v>
      </c>
    </row>
    <row r="6710" spans="1:5" x14ac:dyDescent="0.25">
      <c r="A6710" s="41">
        <v>19937</v>
      </c>
      <c r="B6710" s="42" t="s">
        <v>7086</v>
      </c>
      <c r="C6710" s="43" t="s">
        <v>289</v>
      </c>
      <c r="D6710" s="43" t="s">
        <v>1112</v>
      </c>
      <c r="E6710" s="43" t="s">
        <v>230</v>
      </c>
    </row>
    <row r="6711" spans="1:5" x14ac:dyDescent="0.25">
      <c r="A6711" s="41">
        <v>19938</v>
      </c>
      <c r="B6711" s="42" t="s">
        <v>7087</v>
      </c>
      <c r="C6711" s="43" t="s">
        <v>289</v>
      </c>
      <c r="D6711" s="43" t="s">
        <v>1112</v>
      </c>
      <c r="E6711" s="43" t="s">
        <v>230</v>
      </c>
    </row>
    <row r="6712" spans="1:5" x14ac:dyDescent="0.25">
      <c r="A6712" s="41">
        <v>19939</v>
      </c>
      <c r="B6712" s="42" t="s">
        <v>7088</v>
      </c>
      <c r="C6712" s="43" t="s">
        <v>289</v>
      </c>
      <c r="D6712" s="43" t="s">
        <v>1112</v>
      </c>
      <c r="E6712" s="43" t="s">
        <v>230</v>
      </c>
    </row>
    <row r="6713" spans="1:5" x14ac:dyDescent="0.25">
      <c r="A6713" s="41">
        <v>19940</v>
      </c>
      <c r="B6713" s="42" t="s">
        <v>7089</v>
      </c>
      <c r="C6713" s="43" t="s">
        <v>289</v>
      </c>
      <c r="D6713" s="43" t="s">
        <v>1112</v>
      </c>
      <c r="E6713" s="43" t="s">
        <v>230</v>
      </c>
    </row>
    <row r="6714" spans="1:5" x14ac:dyDescent="0.25">
      <c r="A6714" s="41">
        <v>19941</v>
      </c>
      <c r="B6714" s="42" t="s">
        <v>7090</v>
      </c>
      <c r="C6714" s="43" t="s">
        <v>289</v>
      </c>
      <c r="D6714" s="43" t="s">
        <v>1112</v>
      </c>
      <c r="E6714" s="43" t="s">
        <v>230</v>
      </c>
    </row>
    <row r="6715" spans="1:5" x14ac:dyDescent="0.25">
      <c r="A6715" s="41">
        <v>19942</v>
      </c>
      <c r="B6715" s="42" t="s">
        <v>7091</v>
      </c>
      <c r="C6715" s="43" t="s">
        <v>289</v>
      </c>
      <c r="D6715" s="43" t="s">
        <v>1112</v>
      </c>
      <c r="E6715" s="43" t="s">
        <v>230</v>
      </c>
    </row>
    <row r="6716" spans="1:5" x14ac:dyDescent="0.25">
      <c r="A6716" s="41">
        <v>19943</v>
      </c>
      <c r="B6716" s="42" t="s">
        <v>7092</v>
      </c>
      <c r="C6716" s="43" t="s">
        <v>289</v>
      </c>
      <c r="D6716" s="43" t="s">
        <v>1112</v>
      </c>
      <c r="E6716" s="43" t="s">
        <v>230</v>
      </c>
    </row>
    <row r="6717" spans="1:5" x14ac:dyDescent="0.25">
      <c r="A6717" s="41">
        <v>19944</v>
      </c>
      <c r="B6717" s="42" t="s">
        <v>7093</v>
      </c>
      <c r="C6717" s="43" t="s">
        <v>289</v>
      </c>
      <c r="D6717" s="43" t="s">
        <v>327</v>
      </c>
      <c r="E6717" s="43" t="s">
        <v>230</v>
      </c>
    </row>
    <row r="6718" spans="1:5" x14ac:dyDescent="0.25">
      <c r="A6718" s="41">
        <v>19945</v>
      </c>
      <c r="B6718" s="42" t="s">
        <v>7094</v>
      </c>
      <c r="C6718" s="43" t="s">
        <v>289</v>
      </c>
      <c r="D6718" s="43" t="s">
        <v>433</v>
      </c>
      <c r="E6718" s="43" t="s">
        <v>454</v>
      </c>
    </row>
    <row r="6719" spans="1:5" x14ac:dyDescent="0.25">
      <c r="A6719" s="41">
        <v>19946</v>
      </c>
      <c r="B6719" s="42" t="s">
        <v>7095</v>
      </c>
      <c r="C6719" s="43" t="s">
        <v>289</v>
      </c>
      <c r="D6719" s="43" t="s">
        <v>996</v>
      </c>
      <c r="E6719" s="43" t="s">
        <v>230</v>
      </c>
    </row>
    <row r="6720" spans="1:5" x14ac:dyDescent="0.25">
      <c r="A6720" s="41">
        <v>19947</v>
      </c>
      <c r="B6720" s="42" t="s">
        <v>7096</v>
      </c>
      <c r="C6720" s="43" t="s">
        <v>289</v>
      </c>
      <c r="D6720" s="43" t="s">
        <v>1112</v>
      </c>
      <c r="E6720" s="43" t="s">
        <v>230</v>
      </c>
    </row>
    <row r="6721" spans="1:5" x14ac:dyDescent="0.25">
      <c r="A6721" s="41">
        <v>19948</v>
      </c>
      <c r="B6721" s="42" t="s">
        <v>7097</v>
      </c>
      <c r="C6721" s="43" t="s">
        <v>289</v>
      </c>
      <c r="D6721" s="43" t="s">
        <v>327</v>
      </c>
      <c r="E6721" s="43" t="s">
        <v>454</v>
      </c>
    </row>
    <row r="6722" spans="1:5" x14ac:dyDescent="0.25">
      <c r="A6722" s="41">
        <v>19949</v>
      </c>
      <c r="B6722" s="42" t="s">
        <v>7098</v>
      </c>
      <c r="C6722" s="43" t="s">
        <v>289</v>
      </c>
      <c r="D6722" s="43" t="s">
        <v>3754</v>
      </c>
      <c r="E6722" s="43" t="s">
        <v>769</v>
      </c>
    </row>
    <row r="6723" spans="1:5" x14ac:dyDescent="0.25">
      <c r="A6723" s="41">
        <v>19950</v>
      </c>
      <c r="B6723" s="44" t="s">
        <v>7099</v>
      </c>
      <c r="C6723" s="43" t="s">
        <v>289</v>
      </c>
      <c r="D6723" s="43" t="s">
        <v>316</v>
      </c>
      <c r="E6723" s="43" t="s">
        <v>454</v>
      </c>
    </row>
    <row r="6724" spans="1:5" x14ac:dyDescent="0.25">
      <c r="A6724" s="41">
        <v>19951</v>
      </c>
      <c r="B6724" s="42" t="s">
        <v>7100</v>
      </c>
      <c r="C6724" s="43" t="s">
        <v>289</v>
      </c>
      <c r="D6724" s="43" t="s">
        <v>5480</v>
      </c>
      <c r="E6724" s="43" t="s">
        <v>230</v>
      </c>
    </row>
    <row r="6725" spans="1:5" x14ac:dyDescent="0.25">
      <c r="A6725" s="41">
        <v>19952</v>
      </c>
      <c r="B6725" s="42" t="s">
        <v>7101</v>
      </c>
      <c r="C6725" s="43" t="s">
        <v>289</v>
      </c>
      <c r="D6725" s="43" t="s">
        <v>682</v>
      </c>
      <c r="E6725" s="43" t="s">
        <v>464</v>
      </c>
    </row>
    <row r="6726" spans="1:5" x14ac:dyDescent="0.25">
      <c r="A6726" s="41">
        <v>19953</v>
      </c>
      <c r="B6726" s="42" t="s">
        <v>7102</v>
      </c>
      <c r="C6726" s="43" t="s">
        <v>289</v>
      </c>
      <c r="D6726" s="43" t="s">
        <v>694</v>
      </c>
      <c r="E6726" s="43" t="s">
        <v>230</v>
      </c>
    </row>
    <row r="6727" spans="1:5" x14ac:dyDescent="0.25">
      <c r="A6727" s="41">
        <v>19961</v>
      </c>
      <c r="B6727" s="42" t="s">
        <v>7103</v>
      </c>
      <c r="C6727" s="43" t="s">
        <v>289</v>
      </c>
      <c r="D6727" s="43" t="s">
        <v>1100</v>
      </c>
      <c r="E6727" s="43" t="s">
        <v>230</v>
      </c>
    </row>
    <row r="6728" spans="1:5" x14ac:dyDescent="0.25">
      <c r="A6728" s="41">
        <v>19971</v>
      </c>
      <c r="B6728" s="44" t="s">
        <v>7104</v>
      </c>
      <c r="C6728" s="43" t="s">
        <v>289</v>
      </c>
      <c r="D6728" s="43" t="s">
        <v>316</v>
      </c>
      <c r="E6728" s="43" t="s">
        <v>454</v>
      </c>
    </row>
    <row r="6729" spans="1:5" x14ac:dyDescent="0.25">
      <c r="A6729" s="41">
        <v>19972</v>
      </c>
      <c r="B6729" s="44" t="s">
        <v>7105</v>
      </c>
      <c r="C6729" s="43" t="s">
        <v>289</v>
      </c>
      <c r="D6729" s="43" t="s">
        <v>316</v>
      </c>
      <c r="E6729" s="43" t="s">
        <v>454</v>
      </c>
    </row>
    <row r="6730" spans="1:5" x14ac:dyDescent="0.25">
      <c r="A6730" s="41">
        <v>19973</v>
      </c>
      <c r="B6730" s="44" t="s">
        <v>7106</v>
      </c>
      <c r="C6730" s="43" t="s">
        <v>289</v>
      </c>
      <c r="D6730" s="43" t="s">
        <v>316</v>
      </c>
      <c r="E6730" s="43" t="s">
        <v>454</v>
      </c>
    </row>
    <row r="6731" spans="1:5" x14ac:dyDescent="0.25">
      <c r="A6731" s="41">
        <v>19974</v>
      </c>
      <c r="B6731" s="44" t="s">
        <v>7107</v>
      </c>
      <c r="C6731" s="43" t="s">
        <v>289</v>
      </c>
      <c r="D6731" s="43" t="s">
        <v>316</v>
      </c>
      <c r="E6731" s="43" t="s">
        <v>454</v>
      </c>
    </row>
    <row r="6732" spans="1:5" x14ac:dyDescent="0.25">
      <c r="A6732" s="41">
        <v>19975</v>
      </c>
      <c r="B6732" s="44" t="s">
        <v>7108</v>
      </c>
      <c r="C6732" s="43" t="s">
        <v>289</v>
      </c>
      <c r="D6732" s="43" t="s">
        <v>316</v>
      </c>
      <c r="E6732" s="43" t="s">
        <v>454</v>
      </c>
    </row>
    <row r="6733" spans="1:5" x14ac:dyDescent="0.25">
      <c r="A6733" s="41">
        <v>19976</v>
      </c>
      <c r="B6733" s="42" t="s">
        <v>7109</v>
      </c>
      <c r="C6733" s="43" t="s">
        <v>289</v>
      </c>
      <c r="D6733" s="43" t="s">
        <v>316</v>
      </c>
      <c r="E6733" s="43" t="s">
        <v>454</v>
      </c>
    </row>
    <row r="6734" spans="1:5" x14ac:dyDescent="0.25">
      <c r="A6734" s="41">
        <v>19977</v>
      </c>
      <c r="B6734" s="42" t="s">
        <v>7078</v>
      </c>
      <c r="C6734" s="43" t="s">
        <v>289</v>
      </c>
      <c r="D6734" s="43" t="s">
        <v>633</v>
      </c>
      <c r="E6734" s="43" t="s">
        <v>464</v>
      </c>
    </row>
    <row r="6735" spans="1:5" x14ac:dyDescent="0.25">
      <c r="A6735" s="41">
        <v>19978</v>
      </c>
      <c r="B6735" s="42" t="s">
        <v>7110</v>
      </c>
      <c r="C6735" s="43" t="s">
        <v>289</v>
      </c>
      <c r="D6735" s="43" t="s">
        <v>633</v>
      </c>
      <c r="E6735" s="43" t="s">
        <v>464</v>
      </c>
    </row>
    <row r="6736" spans="1:5" x14ac:dyDescent="0.25">
      <c r="A6736" s="41">
        <v>19979</v>
      </c>
      <c r="B6736" s="42" t="s">
        <v>7111</v>
      </c>
      <c r="C6736" s="43" t="s">
        <v>289</v>
      </c>
      <c r="D6736" s="43" t="s">
        <v>633</v>
      </c>
      <c r="E6736" s="43" t="s">
        <v>464</v>
      </c>
    </row>
    <row r="6737" spans="1:5" x14ac:dyDescent="0.25">
      <c r="A6737" s="41">
        <v>19980</v>
      </c>
      <c r="B6737" s="42" t="s">
        <v>7112</v>
      </c>
      <c r="C6737" s="43" t="s">
        <v>289</v>
      </c>
      <c r="D6737" s="43" t="s">
        <v>633</v>
      </c>
      <c r="E6737" s="43" t="s">
        <v>464</v>
      </c>
    </row>
    <row r="6738" spans="1:5" x14ac:dyDescent="0.25">
      <c r="A6738" s="41">
        <v>19981</v>
      </c>
      <c r="B6738" s="42" t="s">
        <v>7113</v>
      </c>
      <c r="C6738" s="43" t="s">
        <v>289</v>
      </c>
      <c r="D6738" s="43" t="s">
        <v>327</v>
      </c>
      <c r="E6738" s="43" t="s">
        <v>769</v>
      </c>
    </row>
    <row r="6739" spans="1:5" x14ac:dyDescent="0.25">
      <c r="A6739" s="41">
        <v>19983</v>
      </c>
      <c r="B6739" s="42" t="s">
        <v>7114</v>
      </c>
      <c r="C6739" s="43" t="s">
        <v>289</v>
      </c>
      <c r="D6739" s="43" t="s">
        <v>1112</v>
      </c>
      <c r="E6739" s="43" t="s">
        <v>230</v>
      </c>
    </row>
    <row r="6740" spans="1:5" x14ac:dyDescent="0.25">
      <c r="A6740" s="41">
        <v>19984</v>
      </c>
      <c r="B6740" s="42" t="s">
        <v>7115</v>
      </c>
      <c r="C6740" s="43" t="s">
        <v>289</v>
      </c>
      <c r="D6740" s="43" t="s">
        <v>1112</v>
      </c>
      <c r="E6740" s="43" t="s">
        <v>230</v>
      </c>
    </row>
    <row r="6741" spans="1:5" x14ac:dyDescent="0.25">
      <c r="A6741" s="41">
        <v>19985</v>
      </c>
      <c r="B6741" s="42" t="s">
        <v>7116</v>
      </c>
      <c r="C6741" s="43" t="s">
        <v>289</v>
      </c>
      <c r="D6741" s="43" t="s">
        <v>633</v>
      </c>
      <c r="E6741" s="43" t="s">
        <v>464</v>
      </c>
    </row>
    <row r="6742" spans="1:5" x14ac:dyDescent="0.25">
      <c r="A6742" s="41">
        <v>19986</v>
      </c>
      <c r="B6742" s="42" t="s">
        <v>7117</v>
      </c>
      <c r="C6742" s="43" t="s">
        <v>289</v>
      </c>
      <c r="D6742" s="43" t="s">
        <v>633</v>
      </c>
      <c r="E6742" s="43" t="s">
        <v>464</v>
      </c>
    </row>
    <row r="6743" spans="1:5" x14ac:dyDescent="0.25">
      <c r="A6743" s="41">
        <v>19987</v>
      </c>
      <c r="B6743" s="42" t="s">
        <v>7118</v>
      </c>
      <c r="C6743" s="43" t="s">
        <v>289</v>
      </c>
      <c r="D6743" s="43" t="s">
        <v>1112</v>
      </c>
      <c r="E6743" s="43" t="s">
        <v>454</v>
      </c>
    </row>
    <row r="6744" spans="1:5" x14ac:dyDescent="0.25">
      <c r="A6744" s="41">
        <v>19988</v>
      </c>
      <c r="B6744" s="42" t="s">
        <v>7119</v>
      </c>
      <c r="C6744" s="43" t="s">
        <v>289</v>
      </c>
      <c r="D6744" s="43" t="s">
        <v>1112</v>
      </c>
      <c r="E6744" s="43" t="s">
        <v>454</v>
      </c>
    </row>
    <row r="6745" spans="1:5" x14ac:dyDescent="0.25">
      <c r="A6745" s="41">
        <v>19989</v>
      </c>
      <c r="B6745" s="42" t="s">
        <v>7120</v>
      </c>
      <c r="C6745" s="43" t="s">
        <v>289</v>
      </c>
      <c r="D6745" s="43" t="s">
        <v>1112</v>
      </c>
      <c r="E6745" s="43" t="s">
        <v>454</v>
      </c>
    </row>
    <row r="6746" spans="1:5" x14ac:dyDescent="0.25">
      <c r="A6746" s="41">
        <v>19990</v>
      </c>
      <c r="B6746" s="42" t="s">
        <v>7121</v>
      </c>
      <c r="C6746" s="43" t="s">
        <v>289</v>
      </c>
      <c r="D6746" s="43" t="s">
        <v>474</v>
      </c>
      <c r="E6746" s="43" t="s">
        <v>230</v>
      </c>
    </row>
    <row r="6747" spans="1:5" x14ac:dyDescent="0.25">
      <c r="A6747" s="41">
        <v>19991</v>
      </c>
      <c r="B6747" s="42" t="s">
        <v>7122</v>
      </c>
      <c r="C6747" s="43" t="s">
        <v>289</v>
      </c>
      <c r="D6747" s="43" t="s">
        <v>474</v>
      </c>
      <c r="E6747" s="43" t="s">
        <v>230</v>
      </c>
    </row>
    <row r="6748" spans="1:5" x14ac:dyDescent="0.25">
      <c r="A6748" s="41">
        <v>19992</v>
      </c>
      <c r="B6748" s="42" t="s">
        <v>7123</v>
      </c>
      <c r="C6748" s="43" t="s">
        <v>289</v>
      </c>
      <c r="D6748" s="43" t="s">
        <v>633</v>
      </c>
      <c r="E6748" s="43" t="s">
        <v>464</v>
      </c>
    </row>
    <row r="6749" spans="1:5" x14ac:dyDescent="0.25">
      <c r="A6749" s="41">
        <v>19993</v>
      </c>
      <c r="B6749" s="42" t="s">
        <v>7124</v>
      </c>
      <c r="C6749" s="43" t="s">
        <v>289</v>
      </c>
      <c r="D6749" s="43" t="s">
        <v>633</v>
      </c>
      <c r="E6749" s="43" t="s">
        <v>464</v>
      </c>
    </row>
    <row r="6750" spans="1:5" x14ac:dyDescent="0.25">
      <c r="A6750" s="41">
        <v>19994</v>
      </c>
      <c r="B6750" s="42" t="s">
        <v>7125</v>
      </c>
      <c r="C6750" s="43" t="s">
        <v>289</v>
      </c>
      <c r="D6750" s="43" t="s">
        <v>633</v>
      </c>
      <c r="E6750" s="43" t="s">
        <v>464</v>
      </c>
    </row>
    <row r="6751" spans="1:5" x14ac:dyDescent="0.25">
      <c r="A6751" s="41">
        <v>19995</v>
      </c>
      <c r="B6751" s="42" t="s">
        <v>7126</v>
      </c>
      <c r="C6751" s="43" t="s">
        <v>289</v>
      </c>
      <c r="D6751" s="43" t="s">
        <v>327</v>
      </c>
      <c r="E6751" s="43" t="s">
        <v>464</v>
      </c>
    </row>
    <row r="6752" spans="1:5" x14ac:dyDescent="0.25">
      <c r="A6752" s="41">
        <v>19996</v>
      </c>
      <c r="B6752" s="42" t="s">
        <v>7127</v>
      </c>
      <c r="C6752" s="43" t="s">
        <v>289</v>
      </c>
      <c r="D6752" s="43" t="s">
        <v>327</v>
      </c>
      <c r="E6752" s="43" t="s">
        <v>464</v>
      </c>
    </row>
    <row r="6753" spans="1:5" x14ac:dyDescent="0.25">
      <c r="A6753" s="41">
        <v>19997</v>
      </c>
      <c r="B6753" s="42" t="s">
        <v>7128</v>
      </c>
      <c r="C6753" s="43" t="s">
        <v>289</v>
      </c>
      <c r="D6753" s="43" t="s">
        <v>845</v>
      </c>
      <c r="E6753" s="43" t="s">
        <v>3254</v>
      </c>
    </row>
    <row r="6754" spans="1:5" x14ac:dyDescent="0.25">
      <c r="A6754" s="41">
        <v>19998</v>
      </c>
      <c r="B6754" s="42" t="s">
        <v>7129</v>
      </c>
      <c r="C6754" s="43" t="s">
        <v>289</v>
      </c>
      <c r="D6754" s="43" t="s">
        <v>845</v>
      </c>
      <c r="E6754" s="43" t="s">
        <v>864</v>
      </c>
    </row>
    <row r="6755" spans="1:5" x14ac:dyDescent="0.25">
      <c r="A6755" s="41">
        <v>19999</v>
      </c>
      <c r="B6755" s="42" t="s">
        <v>7130</v>
      </c>
      <c r="C6755" s="43" t="s">
        <v>289</v>
      </c>
      <c r="D6755" s="43" t="s">
        <v>845</v>
      </c>
      <c r="E6755" s="43" t="s">
        <v>864</v>
      </c>
    </row>
    <row r="6756" spans="1:5" x14ac:dyDescent="0.25">
      <c r="A6756" s="41">
        <v>20000</v>
      </c>
      <c r="B6756" s="42" t="s">
        <v>5832</v>
      </c>
      <c r="C6756" s="43" t="s">
        <v>289</v>
      </c>
      <c r="D6756" s="43" t="s">
        <v>5833</v>
      </c>
      <c r="E6756" s="43" t="s">
        <v>230</v>
      </c>
    </row>
    <row r="6757" spans="1:5" x14ac:dyDescent="0.25">
      <c r="A6757" s="41">
        <v>20001</v>
      </c>
      <c r="B6757" s="42" t="s">
        <v>7131</v>
      </c>
      <c r="C6757" s="43" t="s">
        <v>289</v>
      </c>
      <c r="D6757" s="43" t="s">
        <v>316</v>
      </c>
      <c r="E6757" s="43" t="s">
        <v>464</v>
      </c>
    </row>
    <row r="6758" spans="1:5" x14ac:dyDescent="0.25">
      <c r="A6758" s="41">
        <v>20002</v>
      </c>
      <c r="B6758" s="42" t="s">
        <v>7132</v>
      </c>
      <c r="C6758" s="43" t="s">
        <v>289</v>
      </c>
      <c r="D6758" s="43" t="s">
        <v>3733</v>
      </c>
      <c r="E6758" s="43" t="s">
        <v>454</v>
      </c>
    </row>
    <row r="6759" spans="1:5" x14ac:dyDescent="0.25">
      <c r="A6759" s="41">
        <v>20003</v>
      </c>
      <c r="B6759" s="42" t="s">
        <v>7133</v>
      </c>
      <c r="C6759" s="43" t="s">
        <v>289</v>
      </c>
      <c r="D6759" s="43" t="s">
        <v>5833</v>
      </c>
      <c r="E6759" s="43" t="s">
        <v>230</v>
      </c>
    </row>
    <row r="6760" spans="1:5" x14ac:dyDescent="0.25">
      <c r="A6760" s="41">
        <v>20004</v>
      </c>
      <c r="B6760" s="42" t="s">
        <v>7134</v>
      </c>
      <c r="C6760" s="43" t="s">
        <v>289</v>
      </c>
      <c r="D6760" s="43" t="s">
        <v>474</v>
      </c>
      <c r="E6760" s="43" t="s">
        <v>230</v>
      </c>
    </row>
    <row r="6761" spans="1:5" x14ac:dyDescent="0.25">
      <c r="A6761" s="41">
        <v>20005</v>
      </c>
      <c r="B6761" s="42" t="s">
        <v>7135</v>
      </c>
      <c r="C6761" s="43" t="s">
        <v>289</v>
      </c>
      <c r="D6761" s="43" t="s">
        <v>327</v>
      </c>
      <c r="E6761" s="43" t="s">
        <v>769</v>
      </c>
    </row>
    <row r="6762" spans="1:5" x14ac:dyDescent="0.25">
      <c r="A6762" s="41">
        <v>20007</v>
      </c>
      <c r="B6762" s="42" t="s">
        <v>7136</v>
      </c>
      <c r="C6762" s="43" t="s">
        <v>289</v>
      </c>
      <c r="D6762" s="43" t="s">
        <v>327</v>
      </c>
      <c r="E6762" s="43" t="s">
        <v>769</v>
      </c>
    </row>
    <row r="6763" spans="1:5" x14ac:dyDescent="0.25">
      <c r="A6763" s="41">
        <v>20008</v>
      </c>
      <c r="B6763" s="42" t="s">
        <v>7137</v>
      </c>
      <c r="C6763" s="43" t="s">
        <v>289</v>
      </c>
      <c r="D6763" s="43" t="s">
        <v>3733</v>
      </c>
      <c r="E6763" s="43" t="s">
        <v>454</v>
      </c>
    </row>
    <row r="6764" spans="1:5" x14ac:dyDescent="0.25">
      <c r="A6764" s="41">
        <v>20009</v>
      </c>
      <c r="B6764" s="42" t="s">
        <v>7138</v>
      </c>
      <c r="C6764" s="43" t="s">
        <v>289</v>
      </c>
      <c r="D6764" s="43" t="s">
        <v>3733</v>
      </c>
      <c r="E6764" s="43" t="s">
        <v>454</v>
      </c>
    </row>
    <row r="6765" spans="1:5" x14ac:dyDescent="0.25">
      <c r="A6765" s="41">
        <v>20010</v>
      </c>
      <c r="B6765" s="42" t="s">
        <v>7139</v>
      </c>
      <c r="C6765" s="43" t="s">
        <v>289</v>
      </c>
      <c r="D6765" s="43" t="s">
        <v>3733</v>
      </c>
      <c r="E6765" s="43" t="s">
        <v>454</v>
      </c>
    </row>
    <row r="6766" spans="1:5" x14ac:dyDescent="0.25">
      <c r="A6766" s="41">
        <v>20011</v>
      </c>
      <c r="B6766" s="42" t="s">
        <v>7140</v>
      </c>
      <c r="C6766" s="43" t="s">
        <v>289</v>
      </c>
      <c r="D6766" s="43" t="s">
        <v>327</v>
      </c>
      <c r="E6766" s="43" t="s">
        <v>454</v>
      </c>
    </row>
    <row r="6767" spans="1:5" x14ac:dyDescent="0.25">
      <c r="A6767" s="41">
        <v>20012</v>
      </c>
      <c r="B6767" s="42" t="s">
        <v>7141</v>
      </c>
      <c r="C6767" s="43" t="s">
        <v>289</v>
      </c>
      <c r="D6767" s="43" t="s">
        <v>1088</v>
      </c>
      <c r="E6767" s="43" t="s">
        <v>230</v>
      </c>
    </row>
    <row r="6768" spans="1:5" x14ac:dyDescent="0.25">
      <c r="A6768" s="41">
        <v>20013</v>
      </c>
      <c r="B6768" s="42" t="s">
        <v>7142</v>
      </c>
      <c r="C6768" s="43" t="s">
        <v>289</v>
      </c>
      <c r="D6768" s="43" t="s">
        <v>316</v>
      </c>
      <c r="E6768" s="43" t="s">
        <v>230</v>
      </c>
    </row>
    <row r="6769" spans="1:5" x14ac:dyDescent="0.25">
      <c r="A6769" s="41">
        <v>20014</v>
      </c>
      <c r="B6769" s="42" t="s">
        <v>7137</v>
      </c>
      <c r="C6769" s="43" t="s">
        <v>289</v>
      </c>
      <c r="D6769" s="43" t="s">
        <v>3733</v>
      </c>
      <c r="E6769" s="43" t="s">
        <v>454</v>
      </c>
    </row>
    <row r="6770" spans="1:5" x14ac:dyDescent="0.25">
      <c r="A6770" s="41">
        <v>20015</v>
      </c>
      <c r="B6770" s="42" t="s">
        <v>7143</v>
      </c>
      <c r="C6770" s="43" t="s">
        <v>289</v>
      </c>
      <c r="D6770" s="43" t="s">
        <v>3733</v>
      </c>
      <c r="E6770" s="43" t="s">
        <v>454</v>
      </c>
    </row>
    <row r="6771" spans="1:5" x14ac:dyDescent="0.25">
      <c r="A6771" s="41">
        <v>20016</v>
      </c>
      <c r="B6771" s="42" t="s">
        <v>7144</v>
      </c>
      <c r="C6771" s="43" t="s">
        <v>289</v>
      </c>
      <c r="D6771" s="43" t="s">
        <v>1112</v>
      </c>
      <c r="E6771" s="43" t="s">
        <v>464</v>
      </c>
    </row>
    <row r="6772" spans="1:5" x14ac:dyDescent="0.25">
      <c r="A6772" s="41">
        <v>20017</v>
      </c>
      <c r="B6772" s="42" t="s">
        <v>7145</v>
      </c>
      <c r="C6772" s="43" t="s">
        <v>289</v>
      </c>
      <c r="D6772" s="43" t="s">
        <v>1112</v>
      </c>
      <c r="E6772" s="43" t="s">
        <v>464</v>
      </c>
    </row>
    <row r="6773" spans="1:5" x14ac:dyDescent="0.25">
      <c r="A6773" s="41">
        <v>20018</v>
      </c>
      <c r="B6773" s="42" t="s">
        <v>7146</v>
      </c>
      <c r="C6773" s="43" t="s">
        <v>289</v>
      </c>
      <c r="D6773" s="43" t="s">
        <v>1112</v>
      </c>
      <c r="E6773" s="43" t="s">
        <v>464</v>
      </c>
    </row>
    <row r="6774" spans="1:5" x14ac:dyDescent="0.25">
      <c r="A6774" s="41">
        <v>20021</v>
      </c>
      <c r="B6774" s="42" t="s">
        <v>7147</v>
      </c>
      <c r="C6774" s="43" t="s">
        <v>289</v>
      </c>
      <c r="D6774" s="43" t="s">
        <v>1112</v>
      </c>
      <c r="E6774" s="43" t="s">
        <v>230</v>
      </c>
    </row>
    <row r="6775" spans="1:5" x14ac:dyDescent="0.25">
      <c r="A6775" s="41">
        <v>20022</v>
      </c>
      <c r="B6775" s="42" t="s">
        <v>7148</v>
      </c>
      <c r="C6775" s="43" t="s">
        <v>289</v>
      </c>
      <c r="D6775" s="43" t="s">
        <v>813</v>
      </c>
      <c r="E6775" s="43" t="s">
        <v>454</v>
      </c>
    </row>
    <row r="6776" spans="1:5" x14ac:dyDescent="0.25">
      <c r="A6776" s="41">
        <v>20023</v>
      </c>
      <c r="B6776" s="42" t="s">
        <v>7149</v>
      </c>
      <c r="C6776" s="43" t="s">
        <v>289</v>
      </c>
      <c r="D6776" s="43" t="s">
        <v>433</v>
      </c>
      <c r="E6776" s="43" t="s">
        <v>454</v>
      </c>
    </row>
    <row r="6777" spans="1:5" x14ac:dyDescent="0.25">
      <c r="A6777" s="41">
        <v>20024</v>
      </c>
      <c r="B6777" s="42" t="s">
        <v>7150</v>
      </c>
      <c r="C6777" s="43" t="s">
        <v>289</v>
      </c>
      <c r="D6777" s="43" t="s">
        <v>941</v>
      </c>
      <c r="E6777" s="43" t="s">
        <v>454</v>
      </c>
    </row>
    <row r="6778" spans="1:5" x14ac:dyDescent="0.25">
      <c r="A6778" s="41">
        <v>20025</v>
      </c>
      <c r="B6778" s="42" t="s">
        <v>7151</v>
      </c>
      <c r="C6778" s="43" t="s">
        <v>289</v>
      </c>
      <c r="D6778" s="43" t="s">
        <v>633</v>
      </c>
      <c r="E6778" s="43" t="s">
        <v>464</v>
      </c>
    </row>
    <row r="6779" spans="1:5" x14ac:dyDescent="0.25">
      <c r="A6779" s="41">
        <v>20026</v>
      </c>
      <c r="B6779" s="42" t="s">
        <v>7152</v>
      </c>
      <c r="C6779" s="43" t="s">
        <v>289</v>
      </c>
      <c r="D6779" s="43" t="s">
        <v>3754</v>
      </c>
      <c r="E6779" s="43" t="s">
        <v>769</v>
      </c>
    </row>
    <row r="6780" spans="1:5" x14ac:dyDescent="0.25">
      <c r="A6780" s="41">
        <v>20027</v>
      </c>
      <c r="B6780" s="42" t="s">
        <v>7153</v>
      </c>
      <c r="C6780" s="43" t="s">
        <v>289</v>
      </c>
      <c r="D6780" s="43" t="s">
        <v>477</v>
      </c>
      <c r="E6780" s="43" t="s">
        <v>230</v>
      </c>
    </row>
    <row r="6781" spans="1:5" x14ac:dyDescent="0.25">
      <c r="A6781" s="41">
        <v>20028</v>
      </c>
      <c r="B6781" s="42" t="s">
        <v>7154</v>
      </c>
      <c r="C6781" s="43" t="s">
        <v>289</v>
      </c>
      <c r="D6781" s="43" t="s">
        <v>2334</v>
      </c>
      <c r="E6781" s="43" t="s">
        <v>464</v>
      </c>
    </row>
    <row r="6782" spans="1:5" x14ac:dyDescent="0.25">
      <c r="A6782" s="41">
        <v>20029</v>
      </c>
      <c r="B6782" s="42" t="s">
        <v>7155</v>
      </c>
      <c r="C6782" s="43" t="s">
        <v>289</v>
      </c>
      <c r="D6782" s="43" t="s">
        <v>1041</v>
      </c>
      <c r="E6782" s="43" t="s">
        <v>230</v>
      </c>
    </row>
    <row r="6783" spans="1:5" x14ac:dyDescent="0.25">
      <c r="A6783" s="41">
        <v>20030</v>
      </c>
      <c r="B6783" s="42" t="s">
        <v>7156</v>
      </c>
      <c r="C6783" s="43" t="s">
        <v>289</v>
      </c>
      <c r="D6783" s="43" t="s">
        <v>1041</v>
      </c>
      <c r="E6783" s="43" t="s">
        <v>230</v>
      </c>
    </row>
    <row r="6784" spans="1:5" x14ac:dyDescent="0.25">
      <c r="A6784" s="41">
        <v>20031</v>
      </c>
      <c r="B6784" s="42" t="s">
        <v>7157</v>
      </c>
      <c r="C6784" s="43" t="s">
        <v>289</v>
      </c>
      <c r="D6784" s="43" t="s">
        <v>5570</v>
      </c>
      <c r="E6784" s="43" t="s">
        <v>230</v>
      </c>
    </row>
    <row r="6785" spans="1:5" x14ac:dyDescent="0.25">
      <c r="A6785" s="41">
        <v>20032</v>
      </c>
      <c r="B6785" s="42" t="s">
        <v>7158</v>
      </c>
      <c r="C6785" s="43" t="s">
        <v>289</v>
      </c>
      <c r="D6785" s="43" t="s">
        <v>5570</v>
      </c>
      <c r="E6785" s="43" t="s">
        <v>230</v>
      </c>
    </row>
    <row r="6786" spans="1:5" x14ac:dyDescent="0.25">
      <c r="A6786" s="41">
        <v>20033</v>
      </c>
      <c r="B6786" s="42" t="s">
        <v>7159</v>
      </c>
      <c r="C6786" s="43" t="s">
        <v>289</v>
      </c>
      <c r="D6786" s="43" t="s">
        <v>5570</v>
      </c>
      <c r="E6786" s="43" t="s">
        <v>230</v>
      </c>
    </row>
    <row r="6787" spans="1:5" x14ac:dyDescent="0.25">
      <c r="A6787" s="41">
        <v>20034</v>
      </c>
      <c r="B6787" s="42" t="s">
        <v>7160</v>
      </c>
      <c r="C6787" s="43" t="s">
        <v>289</v>
      </c>
      <c r="D6787" s="43" t="s">
        <v>5570</v>
      </c>
      <c r="E6787" s="43" t="s">
        <v>230</v>
      </c>
    </row>
    <row r="6788" spans="1:5" x14ac:dyDescent="0.25">
      <c r="A6788" s="41">
        <v>20036</v>
      </c>
      <c r="B6788" s="42" t="s">
        <v>7161</v>
      </c>
      <c r="C6788" s="43" t="s">
        <v>289</v>
      </c>
      <c r="D6788" s="43" t="s">
        <v>1112</v>
      </c>
      <c r="E6788" s="43" t="s">
        <v>464</v>
      </c>
    </row>
    <row r="6789" spans="1:5" x14ac:dyDescent="0.25">
      <c r="A6789" s="41">
        <v>20037</v>
      </c>
      <c r="B6789" s="42" t="s">
        <v>7162</v>
      </c>
      <c r="C6789" s="43" t="s">
        <v>289</v>
      </c>
      <c r="D6789" s="43" t="s">
        <v>1112</v>
      </c>
      <c r="E6789" s="43" t="s">
        <v>464</v>
      </c>
    </row>
    <row r="6790" spans="1:5" x14ac:dyDescent="0.25">
      <c r="A6790" s="41">
        <v>20038</v>
      </c>
      <c r="B6790" s="42" t="s">
        <v>7163</v>
      </c>
      <c r="C6790" s="43" t="s">
        <v>289</v>
      </c>
      <c r="D6790" s="43" t="s">
        <v>333</v>
      </c>
      <c r="E6790" s="43" t="s">
        <v>230</v>
      </c>
    </row>
    <row r="6791" spans="1:5" x14ac:dyDescent="0.25">
      <c r="A6791" s="41">
        <v>20040</v>
      </c>
      <c r="B6791" s="42" t="s">
        <v>7164</v>
      </c>
      <c r="C6791" s="43" t="s">
        <v>289</v>
      </c>
      <c r="D6791" s="43" t="s">
        <v>333</v>
      </c>
      <c r="E6791" s="43" t="s">
        <v>230</v>
      </c>
    </row>
    <row r="6792" spans="1:5" x14ac:dyDescent="0.25">
      <c r="A6792" s="41">
        <v>20041</v>
      </c>
      <c r="B6792" s="42" t="s">
        <v>7165</v>
      </c>
      <c r="C6792" s="43" t="s">
        <v>289</v>
      </c>
      <c r="D6792" s="43" t="s">
        <v>333</v>
      </c>
      <c r="E6792" s="43" t="s">
        <v>230</v>
      </c>
    </row>
    <row r="6793" spans="1:5" x14ac:dyDescent="0.25">
      <c r="A6793" s="41">
        <v>20042</v>
      </c>
      <c r="B6793" s="42" t="s">
        <v>2837</v>
      </c>
      <c r="C6793" s="43" t="s">
        <v>289</v>
      </c>
      <c r="D6793" s="43" t="s">
        <v>333</v>
      </c>
      <c r="E6793" s="43" t="s">
        <v>230</v>
      </c>
    </row>
    <row r="6794" spans="1:5" x14ac:dyDescent="0.25">
      <c r="A6794" s="41">
        <v>20043</v>
      </c>
      <c r="B6794" s="42" t="s">
        <v>2471</v>
      </c>
      <c r="C6794" s="43" t="s">
        <v>289</v>
      </c>
      <c r="D6794" s="43" t="s">
        <v>1112</v>
      </c>
      <c r="E6794" s="43" t="s">
        <v>464</v>
      </c>
    </row>
    <row r="6795" spans="1:5" x14ac:dyDescent="0.25">
      <c r="A6795" s="41">
        <v>20044</v>
      </c>
      <c r="B6795" s="42" t="s">
        <v>7166</v>
      </c>
      <c r="C6795" s="43" t="s">
        <v>289</v>
      </c>
      <c r="D6795" s="43" t="s">
        <v>333</v>
      </c>
      <c r="E6795" s="43" t="s">
        <v>230</v>
      </c>
    </row>
    <row r="6796" spans="1:5" x14ac:dyDescent="0.25">
      <c r="A6796" s="41">
        <v>20045</v>
      </c>
      <c r="B6796" s="42" t="s">
        <v>7167</v>
      </c>
      <c r="C6796" s="43" t="s">
        <v>289</v>
      </c>
      <c r="D6796" s="43" t="s">
        <v>635</v>
      </c>
      <c r="E6796" s="43" t="s">
        <v>230</v>
      </c>
    </row>
    <row r="6797" spans="1:5" x14ac:dyDescent="0.25">
      <c r="A6797" s="41">
        <v>20046</v>
      </c>
      <c r="B6797" s="42" t="s">
        <v>7168</v>
      </c>
      <c r="C6797" s="43" t="s">
        <v>289</v>
      </c>
      <c r="D6797" s="43" t="s">
        <v>635</v>
      </c>
      <c r="E6797" s="43" t="s">
        <v>230</v>
      </c>
    </row>
    <row r="6798" spans="1:5" x14ac:dyDescent="0.25">
      <c r="A6798" s="41">
        <v>20047</v>
      </c>
      <c r="B6798" s="42" t="s">
        <v>7169</v>
      </c>
      <c r="C6798" s="43" t="s">
        <v>289</v>
      </c>
      <c r="D6798" s="43" t="s">
        <v>333</v>
      </c>
      <c r="E6798" s="43" t="s">
        <v>230</v>
      </c>
    </row>
    <row r="6799" spans="1:5" x14ac:dyDescent="0.25">
      <c r="A6799" s="41">
        <v>20048</v>
      </c>
      <c r="B6799" s="42" t="s">
        <v>7170</v>
      </c>
      <c r="C6799" s="43" t="s">
        <v>289</v>
      </c>
      <c r="D6799" s="43" t="s">
        <v>333</v>
      </c>
      <c r="E6799" s="43" t="s">
        <v>230</v>
      </c>
    </row>
    <row r="6800" spans="1:5" x14ac:dyDescent="0.25">
      <c r="A6800" s="41">
        <v>20049</v>
      </c>
      <c r="B6800" s="42" t="s">
        <v>7171</v>
      </c>
      <c r="C6800" s="43" t="s">
        <v>289</v>
      </c>
      <c r="D6800" s="43" t="s">
        <v>635</v>
      </c>
      <c r="E6800" s="43" t="s">
        <v>230</v>
      </c>
    </row>
    <row r="6801" spans="1:5" x14ac:dyDescent="0.25">
      <c r="A6801" s="41">
        <v>20051</v>
      </c>
      <c r="B6801" s="42" t="s">
        <v>7172</v>
      </c>
      <c r="C6801" s="43" t="s">
        <v>289</v>
      </c>
      <c r="D6801" s="43" t="s">
        <v>1041</v>
      </c>
      <c r="E6801" s="43" t="s">
        <v>230</v>
      </c>
    </row>
    <row r="6802" spans="1:5" x14ac:dyDescent="0.25">
      <c r="A6802" s="41">
        <v>20052</v>
      </c>
      <c r="B6802" s="42" t="s">
        <v>7173</v>
      </c>
      <c r="C6802" s="43" t="s">
        <v>289</v>
      </c>
      <c r="D6802" s="43" t="s">
        <v>1041</v>
      </c>
      <c r="E6802" s="43" t="s">
        <v>230</v>
      </c>
    </row>
    <row r="6803" spans="1:5" x14ac:dyDescent="0.25">
      <c r="A6803" s="41">
        <v>20053</v>
      </c>
      <c r="B6803" s="42" t="s">
        <v>7174</v>
      </c>
      <c r="C6803" s="43" t="s">
        <v>289</v>
      </c>
      <c r="D6803" s="43" t="s">
        <v>1041</v>
      </c>
      <c r="E6803" s="43" t="s">
        <v>230</v>
      </c>
    </row>
    <row r="6804" spans="1:5" x14ac:dyDescent="0.25">
      <c r="A6804" s="41">
        <v>20054</v>
      </c>
      <c r="B6804" s="42" t="s">
        <v>7175</v>
      </c>
      <c r="C6804" s="43" t="s">
        <v>289</v>
      </c>
      <c r="D6804" s="43" t="s">
        <v>1041</v>
      </c>
      <c r="E6804" s="43" t="s">
        <v>230</v>
      </c>
    </row>
    <row r="6805" spans="1:5" x14ac:dyDescent="0.25">
      <c r="A6805" s="41">
        <v>20055</v>
      </c>
      <c r="B6805" s="42" t="s">
        <v>7176</v>
      </c>
      <c r="C6805" s="43" t="s">
        <v>289</v>
      </c>
      <c r="D6805" s="43" t="s">
        <v>1041</v>
      </c>
      <c r="E6805" s="43" t="s">
        <v>230</v>
      </c>
    </row>
    <row r="6806" spans="1:5" x14ac:dyDescent="0.25">
      <c r="A6806" s="41">
        <v>20056</v>
      </c>
      <c r="B6806" s="42" t="s">
        <v>7177</v>
      </c>
      <c r="C6806" s="43" t="s">
        <v>289</v>
      </c>
      <c r="D6806" s="43" t="s">
        <v>6748</v>
      </c>
      <c r="E6806" s="43" t="s">
        <v>769</v>
      </c>
    </row>
    <row r="6807" spans="1:5" x14ac:dyDescent="0.25">
      <c r="A6807" s="41">
        <v>20057</v>
      </c>
      <c r="B6807" s="42" t="s">
        <v>7178</v>
      </c>
      <c r="C6807" s="43" t="s">
        <v>289</v>
      </c>
      <c r="D6807" s="43" t="s">
        <v>6748</v>
      </c>
      <c r="E6807" s="43" t="s">
        <v>769</v>
      </c>
    </row>
    <row r="6808" spans="1:5" x14ac:dyDescent="0.25">
      <c r="A6808" s="41">
        <v>20058</v>
      </c>
      <c r="B6808" s="42" t="s">
        <v>7179</v>
      </c>
      <c r="C6808" s="43" t="s">
        <v>289</v>
      </c>
      <c r="D6808" s="43" t="s">
        <v>1112</v>
      </c>
      <c r="E6808" s="43" t="s">
        <v>230</v>
      </c>
    </row>
    <row r="6809" spans="1:5" x14ac:dyDescent="0.25">
      <c r="A6809" s="41">
        <v>20059</v>
      </c>
      <c r="B6809" s="42" t="s">
        <v>7180</v>
      </c>
      <c r="C6809" s="43" t="s">
        <v>289</v>
      </c>
      <c r="D6809" s="43" t="s">
        <v>477</v>
      </c>
      <c r="E6809" s="43" t="s">
        <v>454</v>
      </c>
    </row>
    <row r="6810" spans="1:5" x14ac:dyDescent="0.25">
      <c r="A6810" s="41">
        <v>20060</v>
      </c>
      <c r="B6810" s="42" t="s">
        <v>7181</v>
      </c>
      <c r="C6810" s="43" t="s">
        <v>289</v>
      </c>
      <c r="D6810" s="43" t="s">
        <v>1112</v>
      </c>
      <c r="E6810" s="43" t="s">
        <v>230</v>
      </c>
    </row>
    <row r="6811" spans="1:5" x14ac:dyDescent="0.25">
      <c r="A6811" s="41">
        <v>20061</v>
      </c>
      <c r="B6811" s="42" t="s">
        <v>7182</v>
      </c>
      <c r="C6811" s="43" t="s">
        <v>289</v>
      </c>
      <c r="D6811" s="43" t="s">
        <v>1112</v>
      </c>
      <c r="E6811" s="43" t="s">
        <v>230</v>
      </c>
    </row>
    <row r="6812" spans="1:5" x14ac:dyDescent="0.25">
      <c r="A6812" s="41">
        <v>20062</v>
      </c>
      <c r="B6812" s="42" t="s">
        <v>7183</v>
      </c>
      <c r="C6812" s="43" t="s">
        <v>289</v>
      </c>
      <c r="D6812" s="43" t="s">
        <v>7184</v>
      </c>
      <c r="E6812" s="43" t="s">
        <v>230</v>
      </c>
    </row>
    <row r="6813" spans="1:5" x14ac:dyDescent="0.25">
      <c r="A6813" s="41">
        <v>20063</v>
      </c>
      <c r="B6813" s="42" t="s">
        <v>7185</v>
      </c>
      <c r="C6813" s="43" t="s">
        <v>289</v>
      </c>
      <c r="D6813" s="43" t="s">
        <v>7184</v>
      </c>
      <c r="E6813" s="43" t="s">
        <v>230</v>
      </c>
    </row>
    <row r="6814" spans="1:5" x14ac:dyDescent="0.25">
      <c r="A6814" s="41">
        <v>20064</v>
      </c>
      <c r="B6814" s="42" t="s">
        <v>7186</v>
      </c>
      <c r="C6814" s="43" t="s">
        <v>289</v>
      </c>
      <c r="D6814" s="43" t="s">
        <v>7184</v>
      </c>
      <c r="E6814" s="43" t="s">
        <v>230</v>
      </c>
    </row>
    <row r="6815" spans="1:5" x14ac:dyDescent="0.25">
      <c r="A6815" s="41">
        <v>20065</v>
      </c>
      <c r="B6815" s="42" t="s">
        <v>7187</v>
      </c>
      <c r="C6815" s="43" t="s">
        <v>289</v>
      </c>
      <c r="D6815" s="43" t="s">
        <v>7184</v>
      </c>
      <c r="E6815" s="43" t="s">
        <v>230</v>
      </c>
    </row>
    <row r="6816" spans="1:5" x14ac:dyDescent="0.25">
      <c r="A6816" s="41">
        <v>20066</v>
      </c>
      <c r="B6816" s="42" t="s">
        <v>7188</v>
      </c>
      <c r="C6816" s="43" t="s">
        <v>289</v>
      </c>
      <c r="D6816" s="43" t="s">
        <v>290</v>
      </c>
      <c r="E6816" s="43" t="s">
        <v>230</v>
      </c>
    </row>
    <row r="6817" spans="1:5" x14ac:dyDescent="0.25">
      <c r="A6817" s="41">
        <v>20067</v>
      </c>
      <c r="B6817" s="42" t="s">
        <v>7189</v>
      </c>
      <c r="C6817" s="43" t="s">
        <v>289</v>
      </c>
      <c r="D6817" s="43" t="s">
        <v>633</v>
      </c>
      <c r="E6817" s="43" t="s">
        <v>464</v>
      </c>
    </row>
    <row r="6818" spans="1:5" x14ac:dyDescent="0.25">
      <c r="A6818" s="41">
        <v>20068</v>
      </c>
      <c r="B6818" s="42" t="s">
        <v>7190</v>
      </c>
      <c r="C6818" s="43" t="s">
        <v>289</v>
      </c>
      <c r="D6818" s="43" t="s">
        <v>438</v>
      </c>
      <c r="E6818" s="43" t="s">
        <v>769</v>
      </c>
    </row>
    <row r="6819" spans="1:5" x14ac:dyDescent="0.25">
      <c r="A6819" s="41">
        <v>20069</v>
      </c>
      <c r="B6819" s="42" t="s">
        <v>7191</v>
      </c>
      <c r="C6819" s="43" t="s">
        <v>289</v>
      </c>
      <c r="D6819" s="43" t="s">
        <v>438</v>
      </c>
      <c r="E6819" s="43" t="s">
        <v>769</v>
      </c>
    </row>
    <row r="6820" spans="1:5" x14ac:dyDescent="0.25">
      <c r="A6820" s="41">
        <v>20070</v>
      </c>
      <c r="B6820" s="42" t="s">
        <v>7192</v>
      </c>
      <c r="C6820" s="43" t="s">
        <v>289</v>
      </c>
      <c r="D6820" s="43" t="s">
        <v>438</v>
      </c>
      <c r="E6820" s="43" t="s">
        <v>769</v>
      </c>
    </row>
    <row r="6821" spans="1:5" x14ac:dyDescent="0.25">
      <c r="A6821" s="41">
        <v>20071</v>
      </c>
      <c r="B6821" s="42" t="s">
        <v>7193</v>
      </c>
      <c r="C6821" s="43" t="s">
        <v>289</v>
      </c>
      <c r="D6821" s="43" t="s">
        <v>438</v>
      </c>
      <c r="E6821" s="43" t="s">
        <v>769</v>
      </c>
    </row>
    <row r="6822" spans="1:5" x14ac:dyDescent="0.25">
      <c r="A6822" s="41">
        <v>20072</v>
      </c>
      <c r="B6822" s="42" t="s">
        <v>7194</v>
      </c>
      <c r="C6822" s="43" t="s">
        <v>289</v>
      </c>
      <c r="D6822" s="43" t="s">
        <v>509</v>
      </c>
      <c r="E6822" s="43" t="s">
        <v>230</v>
      </c>
    </row>
    <row r="6823" spans="1:5" x14ac:dyDescent="0.25">
      <c r="A6823" s="41">
        <v>20073</v>
      </c>
      <c r="B6823" s="42" t="s">
        <v>7195</v>
      </c>
      <c r="C6823" s="43" t="s">
        <v>289</v>
      </c>
      <c r="D6823" s="43" t="s">
        <v>509</v>
      </c>
      <c r="E6823" s="43" t="s">
        <v>230</v>
      </c>
    </row>
    <row r="6824" spans="1:5" x14ac:dyDescent="0.25">
      <c r="A6824" s="41">
        <v>20074</v>
      </c>
      <c r="B6824" s="42" t="s">
        <v>7196</v>
      </c>
      <c r="C6824" s="43" t="s">
        <v>289</v>
      </c>
      <c r="D6824" s="43" t="s">
        <v>509</v>
      </c>
      <c r="E6824" s="43" t="s">
        <v>230</v>
      </c>
    </row>
    <row r="6825" spans="1:5" x14ac:dyDescent="0.25">
      <c r="A6825" s="41">
        <v>20075</v>
      </c>
      <c r="B6825" s="42" t="s">
        <v>7197</v>
      </c>
      <c r="C6825" s="43" t="s">
        <v>289</v>
      </c>
      <c r="D6825" s="43" t="s">
        <v>509</v>
      </c>
      <c r="E6825" s="43" t="s">
        <v>454</v>
      </c>
    </row>
    <row r="6826" spans="1:5" x14ac:dyDescent="0.25">
      <c r="A6826" s="41">
        <v>20076</v>
      </c>
      <c r="B6826" s="42" t="s">
        <v>7198</v>
      </c>
      <c r="C6826" s="43" t="s">
        <v>289</v>
      </c>
      <c r="D6826" s="43" t="s">
        <v>509</v>
      </c>
      <c r="E6826" s="43" t="s">
        <v>531</v>
      </c>
    </row>
    <row r="6827" spans="1:5" x14ac:dyDescent="0.25">
      <c r="A6827" s="41">
        <v>20077</v>
      </c>
      <c r="B6827" s="42" t="s">
        <v>7199</v>
      </c>
      <c r="C6827" s="43" t="s">
        <v>289</v>
      </c>
      <c r="D6827" s="43" t="s">
        <v>509</v>
      </c>
      <c r="E6827" s="43" t="s">
        <v>531</v>
      </c>
    </row>
    <row r="6828" spans="1:5" x14ac:dyDescent="0.25">
      <c r="A6828" s="41">
        <v>20078</v>
      </c>
      <c r="B6828" s="42" t="s">
        <v>7200</v>
      </c>
      <c r="C6828" s="43" t="s">
        <v>289</v>
      </c>
      <c r="D6828" s="43" t="s">
        <v>509</v>
      </c>
      <c r="E6828" s="43" t="s">
        <v>531</v>
      </c>
    </row>
    <row r="6829" spans="1:5" x14ac:dyDescent="0.25">
      <c r="A6829" s="41">
        <v>20079</v>
      </c>
      <c r="B6829" s="42" t="s">
        <v>7201</v>
      </c>
      <c r="C6829" s="43" t="s">
        <v>289</v>
      </c>
      <c r="D6829" s="43" t="s">
        <v>509</v>
      </c>
      <c r="E6829" s="43" t="s">
        <v>531</v>
      </c>
    </row>
    <row r="6830" spans="1:5" x14ac:dyDescent="0.25">
      <c r="A6830" s="41">
        <v>20080</v>
      </c>
      <c r="B6830" s="42" t="s">
        <v>7202</v>
      </c>
      <c r="C6830" s="43" t="s">
        <v>289</v>
      </c>
      <c r="D6830" s="43" t="s">
        <v>509</v>
      </c>
      <c r="E6830" s="43" t="s">
        <v>531</v>
      </c>
    </row>
    <row r="6831" spans="1:5" x14ac:dyDescent="0.25">
      <c r="A6831" s="41">
        <v>20081</v>
      </c>
      <c r="B6831" s="42" t="s">
        <v>7203</v>
      </c>
      <c r="C6831" s="43" t="s">
        <v>289</v>
      </c>
      <c r="D6831" s="43" t="s">
        <v>509</v>
      </c>
      <c r="E6831" s="43" t="s">
        <v>531</v>
      </c>
    </row>
    <row r="6832" spans="1:5" x14ac:dyDescent="0.25">
      <c r="A6832" s="41">
        <v>20082</v>
      </c>
      <c r="B6832" s="42" t="s">
        <v>7204</v>
      </c>
      <c r="C6832" s="43" t="s">
        <v>289</v>
      </c>
      <c r="D6832" s="43" t="s">
        <v>509</v>
      </c>
      <c r="E6832" s="43" t="s">
        <v>531</v>
      </c>
    </row>
    <row r="6833" spans="1:5" x14ac:dyDescent="0.25">
      <c r="A6833" s="41">
        <v>20083</v>
      </c>
      <c r="B6833" s="42" t="s">
        <v>7205</v>
      </c>
      <c r="C6833" s="43" t="s">
        <v>289</v>
      </c>
      <c r="D6833" s="43" t="s">
        <v>3754</v>
      </c>
      <c r="E6833" s="43" t="s">
        <v>769</v>
      </c>
    </row>
    <row r="6834" spans="1:5" x14ac:dyDescent="0.25">
      <c r="A6834" s="41">
        <v>20084</v>
      </c>
      <c r="B6834" s="42" t="s">
        <v>7206</v>
      </c>
      <c r="C6834" s="43" t="s">
        <v>289</v>
      </c>
      <c r="D6834" s="43" t="s">
        <v>3754</v>
      </c>
      <c r="E6834" s="43" t="s">
        <v>230</v>
      </c>
    </row>
    <row r="6835" spans="1:5" x14ac:dyDescent="0.25">
      <c r="A6835" s="41">
        <v>20085</v>
      </c>
      <c r="B6835" s="42" t="s">
        <v>7207</v>
      </c>
      <c r="C6835" s="43" t="s">
        <v>289</v>
      </c>
      <c r="D6835" s="43" t="s">
        <v>633</v>
      </c>
      <c r="E6835" s="43" t="s">
        <v>464</v>
      </c>
    </row>
    <row r="6836" spans="1:5" x14ac:dyDescent="0.25">
      <c r="A6836" s="41">
        <v>20086</v>
      </c>
      <c r="B6836" s="42" t="s">
        <v>7208</v>
      </c>
      <c r="C6836" s="43" t="s">
        <v>289</v>
      </c>
      <c r="D6836" s="43" t="s">
        <v>633</v>
      </c>
      <c r="E6836" s="43" t="s">
        <v>464</v>
      </c>
    </row>
    <row r="6837" spans="1:5" x14ac:dyDescent="0.25">
      <c r="A6837" s="41">
        <v>20087</v>
      </c>
      <c r="B6837" s="42" t="s">
        <v>7209</v>
      </c>
      <c r="C6837" s="43" t="s">
        <v>289</v>
      </c>
      <c r="D6837" s="43" t="s">
        <v>3733</v>
      </c>
      <c r="E6837" s="43" t="s">
        <v>454</v>
      </c>
    </row>
    <row r="6838" spans="1:5" x14ac:dyDescent="0.25">
      <c r="A6838" s="41">
        <v>20088</v>
      </c>
      <c r="B6838" s="42" t="s">
        <v>7210</v>
      </c>
      <c r="C6838" s="43" t="s">
        <v>289</v>
      </c>
      <c r="D6838" s="43" t="s">
        <v>2334</v>
      </c>
      <c r="E6838" s="43" t="s">
        <v>464</v>
      </c>
    </row>
    <row r="6839" spans="1:5" x14ac:dyDescent="0.25">
      <c r="A6839" s="41">
        <v>20089</v>
      </c>
      <c r="B6839" s="42" t="s">
        <v>7211</v>
      </c>
      <c r="C6839" s="43" t="s">
        <v>289</v>
      </c>
      <c r="D6839" s="43" t="s">
        <v>633</v>
      </c>
      <c r="E6839" s="43" t="s">
        <v>464</v>
      </c>
    </row>
    <row r="6840" spans="1:5" x14ac:dyDescent="0.25">
      <c r="A6840" s="41">
        <v>20090</v>
      </c>
      <c r="B6840" s="42" t="s">
        <v>7212</v>
      </c>
      <c r="C6840" s="43" t="s">
        <v>289</v>
      </c>
      <c r="D6840" s="43" t="s">
        <v>633</v>
      </c>
      <c r="E6840" s="43" t="s">
        <v>464</v>
      </c>
    </row>
    <row r="6841" spans="1:5" x14ac:dyDescent="0.25">
      <c r="A6841" s="41">
        <v>20091</v>
      </c>
      <c r="B6841" s="42" t="s">
        <v>7213</v>
      </c>
      <c r="C6841" s="43" t="s">
        <v>289</v>
      </c>
      <c r="D6841" s="43" t="s">
        <v>333</v>
      </c>
      <c r="E6841" s="43" t="s">
        <v>336</v>
      </c>
    </row>
    <row r="6842" spans="1:5" x14ac:dyDescent="0.25">
      <c r="A6842" s="41">
        <v>20092</v>
      </c>
      <c r="B6842" s="42" t="s">
        <v>7214</v>
      </c>
      <c r="C6842" s="43" t="s">
        <v>289</v>
      </c>
      <c r="D6842" s="43" t="s">
        <v>333</v>
      </c>
      <c r="E6842" s="43" t="s">
        <v>230</v>
      </c>
    </row>
    <row r="6843" spans="1:5" x14ac:dyDescent="0.25">
      <c r="A6843" s="41">
        <v>20093</v>
      </c>
      <c r="B6843" s="42" t="s">
        <v>7215</v>
      </c>
      <c r="C6843" s="43" t="s">
        <v>289</v>
      </c>
      <c r="D6843" s="43" t="s">
        <v>333</v>
      </c>
      <c r="E6843" s="43" t="s">
        <v>170</v>
      </c>
    </row>
    <row r="6844" spans="1:5" x14ac:dyDescent="0.25">
      <c r="A6844" s="41">
        <v>20094</v>
      </c>
      <c r="B6844" s="42" t="s">
        <v>7216</v>
      </c>
      <c r="C6844" s="43" t="s">
        <v>289</v>
      </c>
      <c r="D6844" s="43" t="s">
        <v>333</v>
      </c>
      <c r="E6844" s="43" t="s">
        <v>230</v>
      </c>
    </row>
    <row r="6845" spans="1:5" x14ac:dyDescent="0.25">
      <c r="A6845" s="41">
        <v>20095</v>
      </c>
      <c r="B6845" s="42" t="s">
        <v>7217</v>
      </c>
      <c r="C6845" s="43" t="s">
        <v>289</v>
      </c>
      <c r="D6845" s="43" t="s">
        <v>333</v>
      </c>
      <c r="E6845" s="43" t="s">
        <v>230</v>
      </c>
    </row>
    <row r="6846" spans="1:5" x14ac:dyDescent="0.25">
      <c r="A6846" s="41">
        <v>20097</v>
      </c>
      <c r="B6846" s="42" t="s">
        <v>7218</v>
      </c>
      <c r="C6846" s="43" t="s">
        <v>289</v>
      </c>
      <c r="D6846" s="43" t="s">
        <v>333</v>
      </c>
      <c r="E6846" s="43" t="s">
        <v>170</v>
      </c>
    </row>
    <row r="6847" spans="1:5" x14ac:dyDescent="0.25">
      <c r="A6847" s="41">
        <v>20098</v>
      </c>
      <c r="B6847" s="42" t="s">
        <v>7219</v>
      </c>
      <c r="C6847" s="43" t="s">
        <v>289</v>
      </c>
      <c r="D6847" s="43" t="s">
        <v>333</v>
      </c>
      <c r="E6847" s="43" t="s">
        <v>464</v>
      </c>
    </row>
    <row r="6848" spans="1:5" x14ac:dyDescent="0.25">
      <c r="A6848" s="41">
        <v>20101</v>
      </c>
      <c r="B6848" s="42" t="s">
        <v>7220</v>
      </c>
      <c r="C6848" s="43" t="s">
        <v>289</v>
      </c>
      <c r="D6848" s="43" t="s">
        <v>316</v>
      </c>
      <c r="E6848" s="43" t="s">
        <v>230</v>
      </c>
    </row>
    <row r="6849" spans="1:5" x14ac:dyDescent="0.25">
      <c r="A6849" s="41">
        <v>20102</v>
      </c>
      <c r="B6849" s="42" t="s">
        <v>7221</v>
      </c>
      <c r="C6849" s="43" t="s">
        <v>289</v>
      </c>
      <c r="D6849" s="43" t="s">
        <v>941</v>
      </c>
      <c r="E6849" s="43" t="s">
        <v>230</v>
      </c>
    </row>
    <row r="6850" spans="1:5" x14ac:dyDescent="0.25">
      <c r="A6850" s="41">
        <v>20103</v>
      </c>
      <c r="B6850" s="42" t="s">
        <v>7222</v>
      </c>
      <c r="C6850" s="43" t="s">
        <v>289</v>
      </c>
      <c r="D6850" s="43" t="s">
        <v>316</v>
      </c>
      <c r="E6850" s="43" t="s">
        <v>230</v>
      </c>
    </row>
    <row r="6851" spans="1:5" x14ac:dyDescent="0.25">
      <c r="A6851" s="41">
        <v>20104</v>
      </c>
      <c r="B6851" s="42" t="s">
        <v>7223</v>
      </c>
      <c r="C6851" s="43" t="s">
        <v>289</v>
      </c>
      <c r="D6851" s="43" t="s">
        <v>316</v>
      </c>
      <c r="E6851" s="43" t="s">
        <v>230</v>
      </c>
    </row>
    <row r="6852" spans="1:5" x14ac:dyDescent="0.25">
      <c r="A6852" s="41">
        <v>20105</v>
      </c>
      <c r="B6852" s="42" t="s">
        <v>7224</v>
      </c>
      <c r="C6852" s="43" t="s">
        <v>289</v>
      </c>
      <c r="D6852" s="43" t="s">
        <v>3733</v>
      </c>
      <c r="E6852" s="43" t="s">
        <v>454</v>
      </c>
    </row>
    <row r="6853" spans="1:5" x14ac:dyDescent="0.25">
      <c r="A6853" s="41">
        <v>20106</v>
      </c>
      <c r="B6853" s="42" t="s">
        <v>7225</v>
      </c>
      <c r="C6853" s="43" t="s">
        <v>289</v>
      </c>
      <c r="D6853" s="43" t="s">
        <v>327</v>
      </c>
      <c r="E6853" s="43" t="s">
        <v>230</v>
      </c>
    </row>
    <row r="6854" spans="1:5" x14ac:dyDescent="0.25">
      <c r="A6854" s="41">
        <v>20107</v>
      </c>
      <c r="B6854" s="42" t="s">
        <v>7226</v>
      </c>
      <c r="C6854" s="43" t="s">
        <v>289</v>
      </c>
      <c r="D6854" s="43" t="s">
        <v>316</v>
      </c>
      <c r="E6854" s="43" t="s">
        <v>454</v>
      </c>
    </row>
    <row r="6855" spans="1:5" x14ac:dyDescent="0.25">
      <c r="A6855" s="41">
        <v>20108</v>
      </c>
      <c r="B6855" s="42" t="s">
        <v>7227</v>
      </c>
      <c r="C6855" s="43" t="s">
        <v>289</v>
      </c>
      <c r="D6855" s="43" t="s">
        <v>1112</v>
      </c>
      <c r="E6855" s="43" t="s">
        <v>230</v>
      </c>
    </row>
    <row r="6856" spans="1:5" x14ac:dyDescent="0.25">
      <c r="A6856" s="41">
        <v>20109</v>
      </c>
      <c r="B6856" s="42" t="s">
        <v>7228</v>
      </c>
      <c r="C6856" s="43" t="s">
        <v>289</v>
      </c>
      <c r="D6856" s="43" t="s">
        <v>1112</v>
      </c>
      <c r="E6856" s="43" t="s">
        <v>230</v>
      </c>
    </row>
    <row r="6857" spans="1:5" x14ac:dyDescent="0.25">
      <c r="A6857" s="41">
        <v>20110</v>
      </c>
      <c r="B6857" s="42" t="s">
        <v>7229</v>
      </c>
      <c r="C6857" s="43" t="s">
        <v>289</v>
      </c>
      <c r="D6857" s="43" t="s">
        <v>1112</v>
      </c>
      <c r="E6857" s="43" t="s">
        <v>230</v>
      </c>
    </row>
    <row r="6858" spans="1:5" x14ac:dyDescent="0.25">
      <c r="A6858" s="41">
        <v>20111</v>
      </c>
      <c r="B6858" s="42" t="s">
        <v>7230</v>
      </c>
      <c r="C6858" s="43" t="s">
        <v>289</v>
      </c>
      <c r="D6858" s="43" t="s">
        <v>1112</v>
      </c>
      <c r="E6858" s="43" t="s">
        <v>230</v>
      </c>
    </row>
    <row r="6859" spans="1:5" x14ac:dyDescent="0.25">
      <c r="A6859" s="41">
        <v>20112</v>
      </c>
      <c r="B6859" s="42" t="s">
        <v>7231</v>
      </c>
      <c r="C6859" s="43" t="s">
        <v>289</v>
      </c>
      <c r="D6859" s="43" t="s">
        <v>1112</v>
      </c>
      <c r="E6859" s="43" t="s">
        <v>230</v>
      </c>
    </row>
    <row r="6860" spans="1:5" x14ac:dyDescent="0.25">
      <c r="A6860" s="41">
        <v>20114</v>
      </c>
      <c r="B6860" s="42" t="s">
        <v>7232</v>
      </c>
      <c r="C6860" s="43" t="s">
        <v>289</v>
      </c>
      <c r="D6860" s="43" t="s">
        <v>3754</v>
      </c>
      <c r="E6860" s="43" t="s">
        <v>769</v>
      </c>
    </row>
    <row r="6861" spans="1:5" x14ac:dyDescent="0.25">
      <c r="A6861" s="41">
        <v>20115</v>
      </c>
      <c r="B6861" s="42" t="s">
        <v>7233</v>
      </c>
      <c r="C6861" s="43" t="s">
        <v>289</v>
      </c>
      <c r="D6861" s="43" t="s">
        <v>327</v>
      </c>
      <c r="E6861" s="43" t="s">
        <v>230</v>
      </c>
    </row>
    <row r="6862" spans="1:5" x14ac:dyDescent="0.25">
      <c r="A6862" s="41">
        <v>20116</v>
      </c>
      <c r="B6862" s="42" t="s">
        <v>7234</v>
      </c>
      <c r="C6862" s="43" t="s">
        <v>289</v>
      </c>
      <c r="D6862" s="43" t="s">
        <v>3754</v>
      </c>
      <c r="E6862" s="43" t="s">
        <v>769</v>
      </c>
    </row>
    <row r="6863" spans="1:5" x14ac:dyDescent="0.25">
      <c r="A6863" s="41">
        <v>20117</v>
      </c>
      <c r="B6863" s="42" t="s">
        <v>7235</v>
      </c>
      <c r="C6863" s="43" t="s">
        <v>289</v>
      </c>
      <c r="D6863" s="43" t="s">
        <v>327</v>
      </c>
      <c r="E6863" s="43" t="s">
        <v>230</v>
      </c>
    </row>
    <row r="6864" spans="1:5" x14ac:dyDescent="0.25">
      <c r="A6864" s="41">
        <v>20118</v>
      </c>
      <c r="B6864" s="42" t="s">
        <v>7236</v>
      </c>
      <c r="C6864" s="43" t="s">
        <v>289</v>
      </c>
      <c r="D6864" s="43" t="s">
        <v>1112</v>
      </c>
      <c r="E6864" s="43" t="s">
        <v>230</v>
      </c>
    </row>
    <row r="6865" spans="1:5" x14ac:dyDescent="0.25">
      <c r="A6865" s="41">
        <v>20119</v>
      </c>
      <c r="B6865" s="42" t="s">
        <v>7237</v>
      </c>
      <c r="C6865" s="43" t="s">
        <v>289</v>
      </c>
      <c r="D6865" s="43" t="s">
        <v>316</v>
      </c>
      <c r="E6865" s="43" t="s">
        <v>230</v>
      </c>
    </row>
    <row r="6866" spans="1:5" x14ac:dyDescent="0.25">
      <c r="A6866" s="41">
        <v>20120</v>
      </c>
      <c r="B6866" s="42" t="s">
        <v>7238</v>
      </c>
      <c r="C6866" s="43" t="s">
        <v>289</v>
      </c>
      <c r="D6866" s="43" t="s">
        <v>316</v>
      </c>
      <c r="E6866" s="43" t="s">
        <v>230</v>
      </c>
    </row>
    <row r="6867" spans="1:5" x14ac:dyDescent="0.25">
      <c r="A6867" s="41">
        <v>20121</v>
      </c>
      <c r="B6867" s="42" t="s">
        <v>7239</v>
      </c>
      <c r="C6867" s="43" t="s">
        <v>289</v>
      </c>
      <c r="D6867" s="43" t="s">
        <v>633</v>
      </c>
      <c r="E6867" s="43" t="s">
        <v>464</v>
      </c>
    </row>
    <row r="6868" spans="1:5" x14ac:dyDescent="0.25">
      <c r="A6868" s="41">
        <v>20122</v>
      </c>
      <c r="B6868" s="42" t="s">
        <v>7240</v>
      </c>
      <c r="C6868" s="43" t="s">
        <v>289</v>
      </c>
      <c r="D6868" s="43" t="s">
        <v>633</v>
      </c>
      <c r="E6868" s="43" t="s">
        <v>464</v>
      </c>
    </row>
    <row r="6869" spans="1:5" x14ac:dyDescent="0.25">
      <c r="A6869" s="41">
        <v>20123</v>
      </c>
      <c r="B6869" s="42" t="s">
        <v>7241</v>
      </c>
      <c r="C6869" s="43" t="s">
        <v>289</v>
      </c>
      <c r="D6869" s="43" t="s">
        <v>633</v>
      </c>
      <c r="E6869" s="43" t="s">
        <v>464</v>
      </c>
    </row>
    <row r="6870" spans="1:5" x14ac:dyDescent="0.25">
      <c r="A6870" s="41">
        <v>20124</v>
      </c>
      <c r="B6870" s="42" t="s">
        <v>7242</v>
      </c>
      <c r="C6870" s="43" t="s">
        <v>289</v>
      </c>
      <c r="D6870" s="43" t="s">
        <v>1100</v>
      </c>
      <c r="E6870" s="43" t="s">
        <v>230</v>
      </c>
    </row>
    <row r="6871" spans="1:5" x14ac:dyDescent="0.25">
      <c r="A6871" s="41">
        <v>20125</v>
      </c>
      <c r="B6871" s="42" t="s">
        <v>7243</v>
      </c>
      <c r="C6871" s="43" t="s">
        <v>289</v>
      </c>
      <c r="D6871" s="43" t="s">
        <v>1112</v>
      </c>
      <c r="E6871" s="43" t="s">
        <v>230</v>
      </c>
    </row>
    <row r="6872" spans="1:5" x14ac:dyDescent="0.25">
      <c r="A6872" s="41">
        <v>20126</v>
      </c>
      <c r="B6872" s="42" t="s">
        <v>7244</v>
      </c>
      <c r="C6872" s="43" t="s">
        <v>289</v>
      </c>
      <c r="D6872" s="43" t="s">
        <v>1112</v>
      </c>
      <c r="E6872" s="43" t="s">
        <v>230</v>
      </c>
    </row>
    <row r="6873" spans="1:5" x14ac:dyDescent="0.25">
      <c r="A6873" s="41">
        <v>20127</v>
      </c>
      <c r="B6873" s="42" t="s">
        <v>7245</v>
      </c>
      <c r="C6873" s="43" t="s">
        <v>289</v>
      </c>
      <c r="D6873" s="43" t="s">
        <v>316</v>
      </c>
      <c r="E6873" s="43" t="s">
        <v>230</v>
      </c>
    </row>
    <row r="6874" spans="1:5" x14ac:dyDescent="0.25">
      <c r="A6874" s="41">
        <v>20129</v>
      </c>
      <c r="B6874" s="42" t="s">
        <v>7246</v>
      </c>
      <c r="C6874" s="43" t="s">
        <v>289</v>
      </c>
      <c r="D6874" s="43" t="s">
        <v>327</v>
      </c>
      <c r="E6874" s="43" t="s">
        <v>230</v>
      </c>
    </row>
    <row r="6875" spans="1:5" x14ac:dyDescent="0.25">
      <c r="A6875" s="41">
        <v>20131</v>
      </c>
      <c r="B6875" s="42" t="s">
        <v>7247</v>
      </c>
      <c r="C6875" s="43" t="s">
        <v>289</v>
      </c>
      <c r="D6875" s="43" t="s">
        <v>2080</v>
      </c>
      <c r="E6875" s="43" t="s">
        <v>230</v>
      </c>
    </row>
    <row r="6876" spans="1:5" x14ac:dyDescent="0.25">
      <c r="A6876" s="41">
        <v>20133</v>
      </c>
      <c r="B6876" s="42" t="s">
        <v>7248</v>
      </c>
      <c r="C6876" s="43" t="s">
        <v>289</v>
      </c>
      <c r="D6876" s="43" t="s">
        <v>327</v>
      </c>
      <c r="E6876" s="43" t="s">
        <v>230</v>
      </c>
    </row>
    <row r="6877" spans="1:5" x14ac:dyDescent="0.25">
      <c r="A6877" s="41">
        <v>20134</v>
      </c>
      <c r="B6877" s="42" t="s">
        <v>7249</v>
      </c>
      <c r="C6877" s="43" t="s">
        <v>289</v>
      </c>
      <c r="D6877" s="43" t="s">
        <v>327</v>
      </c>
      <c r="E6877" s="43" t="s">
        <v>230</v>
      </c>
    </row>
    <row r="6878" spans="1:5" x14ac:dyDescent="0.25">
      <c r="A6878" s="41">
        <v>20135</v>
      </c>
      <c r="B6878" s="42" t="s">
        <v>7250</v>
      </c>
      <c r="C6878" s="43" t="s">
        <v>289</v>
      </c>
      <c r="D6878" s="43" t="s">
        <v>5570</v>
      </c>
      <c r="E6878" s="43" t="s">
        <v>769</v>
      </c>
    </row>
    <row r="6879" spans="1:5" x14ac:dyDescent="0.25">
      <c r="A6879" s="41">
        <v>20136</v>
      </c>
      <c r="B6879" s="42" t="s">
        <v>7251</v>
      </c>
      <c r="C6879" s="43" t="s">
        <v>289</v>
      </c>
      <c r="D6879" s="43" t="s">
        <v>633</v>
      </c>
      <c r="E6879" s="43" t="s">
        <v>464</v>
      </c>
    </row>
    <row r="6880" spans="1:5" x14ac:dyDescent="0.25">
      <c r="A6880" s="41">
        <v>20137</v>
      </c>
      <c r="B6880" s="42" t="s">
        <v>7252</v>
      </c>
      <c r="C6880" s="43" t="s">
        <v>289</v>
      </c>
      <c r="D6880" s="43" t="s">
        <v>633</v>
      </c>
      <c r="E6880" s="43" t="s">
        <v>464</v>
      </c>
    </row>
    <row r="6881" spans="1:5" x14ac:dyDescent="0.25">
      <c r="A6881" s="41">
        <v>20138</v>
      </c>
      <c r="B6881" s="42" t="s">
        <v>7253</v>
      </c>
      <c r="C6881" s="43" t="s">
        <v>289</v>
      </c>
      <c r="D6881" s="43" t="s">
        <v>1112</v>
      </c>
      <c r="E6881" s="43" t="s">
        <v>464</v>
      </c>
    </row>
    <row r="6882" spans="1:5" x14ac:dyDescent="0.25">
      <c r="A6882" s="41">
        <v>20139</v>
      </c>
      <c r="B6882" s="42" t="s">
        <v>7254</v>
      </c>
      <c r="C6882" s="43" t="s">
        <v>289</v>
      </c>
      <c r="D6882" s="43" t="s">
        <v>682</v>
      </c>
      <c r="E6882" s="43" t="s">
        <v>769</v>
      </c>
    </row>
    <row r="6883" spans="1:5" x14ac:dyDescent="0.25">
      <c r="A6883" s="41">
        <v>20141</v>
      </c>
      <c r="B6883" s="42" t="s">
        <v>7255</v>
      </c>
      <c r="C6883" s="43" t="s">
        <v>289</v>
      </c>
      <c r="D6883" s="43" t="s">
        <v>1112</v>
      </c>
      <c r="E6883" s="43" t="s">
        <v>230</v>
      </c>
    </row>
    <row r="6884" spans="1:5" x14ac:dyDescent="0.25">
      <c r="A6884" s="41">
        <v>20151</v>
      </c>
      <c r="B6884" s="42" t="s">
        <v>7256</v>
      </c>
      <c r="C6884" s="43" t="s">
        <v>289</v>
      </c>
      <c r="D6884" s="43" t="s">
        <v>333</v>
      </c>
      <c r="E6884" s="43" t="s">
        <v>230</v>
      </c>
    </row>
    <row r="6885" spans="1:5" x14ac:dyDescent="0.25">
      <c r="A6885" s="41">
        <v>20152</v>
      </c>
      <c r="B6885" s="42" t="s">
        <v>7257</v>
      </c>
      <c r="C6885" s="43" t="s">
        <v>289</v>
      </c>
      <c r="D6885" s="43" t="s">
        <v>1112</v>
      </c>
      <c r="E6885" s="43" t="s">
        <v>230</v>
      </c>
    </row>
    <row r="6886" spans="1:5" x14ac:dyDescent="0.25">
      <c r="A6886" s="41">
        <v>20153</v>
      </c>
      <c r="B6886" s="42" t="s">
        <v>7258</v>
      </c>
      <c r="C6886" s="43" t="s">
        <v>289</v>
      </c>
      <c r="D6886" s="43" t="s">
        <v>316</v>
      </c>
      <c r="E6886" s="43" t="s">
        <v>454</v>
      </c>
    </row>
    <row r="6887" spans="1:5" x14ac:dyDescent="0.25">
      <c r="A6887" s="41">
        <v>20154</v>
      </c>
      <c r="B6887" s="42" t="s">
        <v>7259</v>
      </c>
      <c r="C6887" s="43" t="s">
        <v>289</v>
      </c>
      <c r="D6887" s="43" t="s">
        <v>1112</v>
      </c>
      <c r="E6887" s="43" t="s">
        <v>230</v>
      </c>
    </row>
    <row r="6888" spans="1:5" x14ac:dyDescent="0.25">
      <c r="A6888" s="41">
        <v>20155</v>
      </c>
      <c r="B6888" s="42" t="s">
        <v>7260</v>
      </c>
      <c r="C6888" s="43" t="s">
        <v>289</v>
      </c>
      <c r="D6888" s="43" t="s">
        <v>1112</v>
      </c>
      <c r="E6888" s="43" t="s">
        <v>230</v>
      </c>
    </row>
    <row r="6889" spans="1:5" x14ac:dyDescent="0.25">
      <c r="A6889" s="41">
        <v>20156</v>
      </c>
      <c r="B6889" s="42" t="s">
        <v>7261</v>
      </c>
      <c r="C6889" s="43" t="s">
        <v>289</v>
      </c>
      <c r="D6889" s="43" t="s">
        <v>3754</v>
      </c>
      <c r="E6889" s="43" t="s">
        <v>230</v>
      </c>
    </row>
    <row r="6890" spans="1:5" x14ac:dyDescent="0.25">
      <c r="A6890" s="41">
        <v>20157</v>
      </c>
      <c r="B6890" s="42" t="s">
        <v>7262</v>
      </c>
      <c r="C6890" s="43" t="s">
        <v>289</v>
      </c>
      <c r="D6890" s="43" t="s">
        <v>333</v>
      </c>
      <c r="E6890" s="43" t="s">
        <v>230</v>
      </c>
    </row>
    <row r="6891" spans="1:5" x14ac:dyDescent="0.25">
      <c r="A6891" s="41">
        <v>20158</v>
      </c>
      <c r="B6891" s="42" t="s">
        <v>7263</v>
      </c>
      <c r="C6891" s="43" t="s">
        <v>289</v>
      </c>
      <c r="D6891" s="43" t="s">
        <v>941</v>
      </c>
      <c r="E6891" s="43" t="s">
        <v>230</v>
      </c>
    </row>
    <row r="6892" spans="1:5" x14ac:dyDescent="0.25">
      <c r="A6892" s="41">
        <v>20159</v>
      </c>
      <c r="B6892" s="42" t="s">
        <v>7264</v>
      </c>
      <c r="C6892" s="43" t="s">
        <v>289</v>
      </c>
      <c r="D6892" s="43" t="s">
        <v>3754</v>
      </c>
      <c r="E6892" s="43" t="s">
        <v>769</v>
      </c>
    </row>
    <row r="6893" spans="1:5" x14ac:dyDescent="0.25">
      <c r="A6893" s="41">
        <v>20160</v>
      </c>
      <c r="B6893" s="42" t="s">
        <v>7265</v>
      </c>
      <c r="C6893" s="43" t="s">
        <v>289</v>
      </c>
      <c r="D6893" s="43" t="s">
        <v>941</v>
      </c>
      <c r="E6893" s="43" t="s">
        <v>454</v>
      </c>
    </row>
    <row r="6894" spans="1:5" x14ac:dyDescent="0.25">
      <c r="A6894" s="41">
        <v>20161</v>
      </c>
      <c r="B6894" s="42" t="s">
        <v>7266</v>
      </c>
      <c r="C6894" s="43" t="s">
        <v>289</v>
      </c>
      <c r="D6894" s="43" t="s">
        <v>1112</v>
      </c>
      <c r="E6894" s="43" t="s">
        <v>230</v>
      </c>
    </row>
    <row r="6895" spans="1:5" x14ac:dyDescent="0.25">
      <c r="A6895" s="41">
        <v>20162</v>
      </c>
      <c r="B6895" s="42" t="s">
        <v>7267</v>
      </c>
      <c r="C6895" s="43" t="s">
        <v>289</v>
      </c>
      <c r="D6895" s="43" t="s">
        <v>499</v>
      </c>
      <c r="E6895" s="43" t="s">
        <v>472</v>
      </c>
    </row>
    <row r="6896" spans="1:5" x14ac:dyDescent="0.25">
      <c r="A6896" s="41">
        <v>20163</v>
      </c>
      <c r="B6896" s="42" t="s">
        <v>7268</v>
      </c>
      <c r="C6896" s="43" t="s">
        <v>289</v>
      </c>
      <c r="D6896" s="43" t="s">
        <v>499</v>
      </c>
      <c r="E6896" s="43" t="s">
        <v>472</v>
      </c>
    </row>
    <row r="6897" spans="1:5" x14ac:dyDescent="0.25">
      <c r="A6897" s="41">
        <v>20164</v>
      </c>
      <c r="B6897" s="42" t="s">
        <v>7269</v>
      </c>
      <c r="C6897" s="43" t="s">
        <v>289</v>
      </c>
      <c r="D6897" s="43" t="s">
        <v>499</v>
      </c>
      <c r="E6897" s="43" t="s">
        <v>472</v>
      </c>
    </row>
    <row r="6898" spans="1:5" x14ac:dyDescent="0.25">
      <c r="A6898" s="41">
        <v>20165</v>
      </c>
      <c r="B6898" s="42" t="s">
        <v>979</v>
      </c>
      <c r="C6898" s="43" t="s">
        <v>289</v>
      </c>
      <c r="D6898" s="43" t="s">
        <v>499</v>
      </c>
      <c r="E6898" s="43" t="s">
        <v>472</v>
      </c>
    </row>
    <row r="6899" spans="1:5" x14ac:dyDescent="0.25">
      <c r="A6899" s="41">
        <v>20166</v>
      </c>
      <c r="B6899" s="42" t="s">
        <v>7270</v>
      </c>
      <c r="C6899" s="43" t="s">
        <v>289</v>
      </c>
      <c r="D6899" s="43" t="s">
        <v>5838</v>
      </c>
      <c r="E6899" s="43" t="s">
        <v>769</v>
      </c>
    </row>
    <row r="6900" spans="1:5" x14ac:dyDescent="0.25">
      <c r="A6900" s="41">
        <v>20167</v>
      </c>
      <c r="B6900" s="42" t="s">
        <v>7271</v>
      </c>
      <c r="C6900" s="43" t="s">
        <v>289</v>
      </c>
      <c r="D6900" s="43" t="s">
        <v>5833</v>
      </c>
      <c r="E6900" s="43" t="s">
        <v>385</v>
      </c>
    </row>
    <row r="6901" spans="1:5" x14ac:dyDescent="0.25">
      <c r="A6901" s="41">
        <v>20168</v>
      </c>
      <c r="B6901" s="42" t="s">
        <v>7272</v>
      </c>
      <c r="C6901" s="43" t="s">
        <v>289</v>
      </c>
      <c r="D6901" s="43" t="s">
        <v>433</v>
      </c>
      <c r="E6901" s="43" t="s">
        <v>230</v>
      </c>
    </row>
    <row r="6902" spans="1:5" x14ac:dyDescent="0.25">
      <c r="A6902" s="41">
        <v>20169</v>
      </c>
      <c r="B6902" s="42" t="s">
        <v>7273</v>
      </c>
      <c r="C6902" s="43" t="s">
        <v>289</v>
      </c>
      <c r="D6902" s="43" t="s">
        <v>316</v>
      </c>
      <c r="E6902" s="43" t="s">
        <v>436</v>
      </c>
    </row>
    <row r="6903" spans="1:5" x14ac:dyDescent="0.25">
      <c r="A6903" s="41">
        <v>20170</v>
      </c>
      <c r="B6903" s="42" t="s">
        <v>7274</v>
      </c>
      <c r="C6903" s="43" t="s">
        <v>289</v>
      </c>
      <c r="D6903" s="43" t="s">
        <v>316</v>
      </c>
      <c r="E6903" s="43" t="s">
        <v>436</v>
      </c>
    </row>
    <row r="6904" spans="1:5" x14ac:dyDescent="0.25">
      <c r="A6904" s="41">
        <v>20171</v>
      </c>
      <c r="B6904" s="42" t="s">
        <v>7275</v>
      </c>
      <c r="C6904" s="43" t="s">
        <v>289</v>
      </c>
      <c r="D6904" s="43" t="s">
        <v>316</v>
      </c>
      <c r="E6904" s="43" t="s">
        <v>1071</v>
      </c>
    </row>
    <row r="6905" spans="1:5" x14ac:dyDescent="0.25">
      <c r="A6905" s="41">
        <v>20172</v>
      </c>
      <c r="B6905" s="42" t="s">
        <v>7276</v>
      </c>
      <c r="C6905" s="43" t="s">
        <v>289</v>
      </c>
      <c r="D6905" s="43" t="s">
        <v>316</v>
      </c>
      <c r="E6905" s="43" t="s">
        <v>7277</v>
      </c>
    </row>
    <row r="6906" spans="1:5" x14ac:dyDescent="0.25">
      <c r="A6906" s="41">
        <v>20173</v>
      </c>
      <c r="B6906" s="42" t="s">
        <v>7278</v>
      </c>
      <c r="C6906" s="43" t="s">
        <v>289</v>
      </c>
      <c r="D6906" s="43" t="s">
        <v>5997</v>
      </c>
      <c r="E6906" s="43" t="s">
        <v>769</v>
      </c>
    </row>
    <row r="6907" spans="1:5" x14ac:dyDescent="0.25">
      <c r="A6907" s="41">
        <v>20174</v>
      </c>
      <c r="B6907" s="42" t="s">
        <v>7279</v>
      </c>
      <c r="C6907" s="43" t="s">
        <v>289</v>
      </c>
      <c r="D6907" s="43" t="s">
        <v>5997</v>
      </c>
      <c r="E6907" s="43" t="s">
        <v>769</v>
      </c>
    </row>
    <row r="6908" spans="1:5" x14ac:dyDescent="0.25">
      <c r="A6908" s="41">
        <v>20176</v>
      </c>
      <c r="B6908" s="42" t="s">
        <v>7280</v>
      </c>
      <c r="C6908" s="43" t="s">
        <v>289</v>
      </c>
      <c r="D6908" s="43" t="s">
        <v>316</v>
      </c>
      <c r="E6908" s="43" t="s">
        <v>230</v>
      </c>
    </row>
    <row r="6909" spans="1:5" x14ac:dyDescent="0.25">
      <c r="A6909" s="41">
        <v>20177</v>
      </c>
      <c r="B6909" s="42" t="s">
        <v>7281</v>
      </c>
      <c r="C6909" s="43" t="s">
        <v>289</v>
      </c>
      <c r="D6909" s="43" t="s">
        <v>3754</v>
      </c>
      <c r="E6909" s="43" t="s">
        <v>230</v>
      </c>
    </row>
    <row r="6910" spans="1:5" x14ac:dyDescent="0.25">
      <c r="A6910" s="41">
        <v>20178</v>
      </c>
      <c r="B6910" s="42" t="s">
        <v>7282</v>
      </c>
      <c r="C6910" s="43" t="s">
        <v>289</v>
      </c>
      <c r="D6910" s="43" t="s">
        <v>327</v>
      </c>
      <c r="E6910" s="43" t="s">
        <v>454</v>
      </c>
    </row>
    <row r="6911" spans="1:5" x14ac:dyDescent="0.25">
      <c r="A6911" s="41">
        <v>20179</v>
      </c>
      <c r="B6911" s="42" t="s">
        <v>7283</v>
      </c>
      <c r="C6911" s="43" t="s">
        <v>289</v>
      </c>
      <c r="D6911" s="43" t="s">
        <v>327</v>
      </c>
      <c r="E6911" s="43" t="s">
        <v>230</v>
      </c>
    </row>
    <row r="6912" spans="1:5" x14ac:dyDescent="0.25">
      <c r="A6912" s="41">
        <v>20180</v>
      </c>
      <c r="B6912" s="42" t="s">
        <v>7284</v>
      </c>
      <c r="C6912" s="43" t="s">
        <v>289</v>
      </c>
      <c r="D6912" s="43" t="s">
        <v>438</v>
      </c>
      <c r="E6912" s="43" t="s">
        <v>464</v>
      </c>
    </row>
    <row r="6913" spans="1:5" x14ac:dyDescent="0.25">
      <c r="A6913" s="41">
        <v>20181</v>
      </c>
      <c r="B6913" s="42" t="s">
        <v>7285</v>
      </c>
      <c r="C6913" s="43" t="s">
        <v>289</v>
      </c>
      <c r="D6913" s="43" t="s">
        <v>5570</v>
      </c>
      <c r="E6913" s="43" t="s">
        <v>230</v>
      </c>
    </row>
    <row r="6914" spans="1:5" x14ac:dyDescent="0.25">
      <c r="A6914" s="41">
        <v>20182</v>
      </c>
      <c r="B6914" s="42" t="s">
        <v>7286</v>
      </c>
      <c r="C6914" s="43" t="s">
        <v>289</v>
      </c>
      <c r="D6914" s="43" t="s">
        <v>5570</v>
      </c>
      <c r="E6914" s="43" t="s">
        <v>230</v>
      </c>
    </row>
    <row r="6915" spans="1:5" x14ac:dyDescent="0.25">
      <c r="A6915" s="41">
        <v>20191</v>
      </c>
      <c r="B6915" s="42" t="s">
        <v>7287</v>
      </c>
      <c r="C6915" s="43" t="s">
        <v>289</v>
      </c>
      <c r="D6915" s="43" t="s">
        <v>1112</v>
      </c>
      <c r="E6915" s="43" t="s">
        <v>464</v>
      </c>
    </row>
    <row r="6916" spans="1:5" x14ac:dyDescent="0.25">
      <c r="A6916" s="41">
        <v>20192</v>
      </c>
      <c r="B6916" s="42" t="s">
        <v>7288</v>
      </c>
      <c r="C6916" s="43" t="s">
        <v>289</v>
      </c>
      <c r="D6916" s="43" t="s">
        <v>6299</v>
      </c>
      <c r="E6916" s="43" t="s">
        <v>230</v>
      </c>
    </row>
    <row r="6917" spans="1:5" x14ac:dyDescent="0.25">
      <c r="A6917" s="41">
        <v>20193</v>
      </c>
      <c r="B6917" s="42" t="s">
        <v>7289</v>
      </c>
      <c r="C6917" s="43" t="s">
        <v>289</v>
      </c>
      <c r="D6917" s="43" t="s">
        <v>3754</v>
      </c>
      <c r="E6917" s="43" t="s">
        <v>4562</v>
      </c>
    </row>
    <row r="6918" spans="1:5" x14ac:dyDescent="0.25">
      <c r="A6918" s="41">
        <v>20194</v>
      </c>
      <c r="B6918" s="42" t="s">
        <v>7290</v>
      </c>
      <c r="C6918" s="43" t="s">
        <v>289</v>
      </c>
      <c r="D6918" s="43" t="s">
        <v>633</v>
      </c>
      <c r="E6918" s="43" t="s">
        <v>464</v>
      </c>
    </row>
    <row r="6919" spans="1:5" x14ac:dyDescent="0.25">
      <c r="A6919" s="41">
        <v>20195</v>
      </c>
      <c r="B6919" s="42" t="s">
        <v>7291</v>
      </c>
      <c r="C6919" s="43" t="s">
        <v>289</v>
      </c>
      <c r="D6919" s="43" t="s">
        <v>316</v>
      </c>
      <c r="E6919" s="43" t="s">
        <v>766</v>
      </c>
    </row>
    <row r="6920" spans="1:5" x14ac:dyDescent="0.25">
      <c r="A6920" s="41">
        <v>20196</v>
      </c>
      <c r="B6920" s="42" t="s">
        <v>7292</v>
      </c>
      <c r="C6920" s="43" t="s">
        <v>289</v>
      </c>
      <c r="D6920" s="43" t="s">
        <v>316</v>
      </c>
      <c r="E6920" s="43" t="s">
        <v>766</v>
      </c>
    </row>
    <row r="6921" spans="1:5" x14ac:dyDescent="0.25">
      <c r="A6921" s="41">
        <v>20197</v>
      </c>
      <c r="B6921" s="42" t="s">
        <v>7293</v>
      </c>
      <c r="C6921" s="43" t="s">
        <v>289</v>
      </c>
      <c r="D6921" s="43" t="s">
        <v>327</v>
      </c>
      <c r="E6921" s="43" t="s">
        <v>230</v>
      </c>
    </row>
    <row r="6922" spans="1:5" x14ac:dyDescent="0.25">
      <c r="A6922" s="41">
        <v>20198</v>
      </c>
      <c r="B6922" s="42" t="s">
        <v>7294</v>
      </c>
      <c r="C6922" s="43" t="s">
        <v>289</v>
      </c>
      <c r="D6922" s="43" t="s">
        <v>327</v>
      </c>
      <c r="E6922" s="43" t="s">
        <v>230</v>
      </c>
    </row>
    <row r="6923" spans="1:5" x14ac:dyDescent="0.25">
      <c r="A6923" s="41">
        <v>20199</v>
      </c>
      <c r="B6923" s="42" t="s">
        <v>7295</v>
      </c>
      <c r="C6923" s="43" t="s">
        <v>289</v>
      </c>
      <c r="D6923" s="43" t="s">
        <v>314</v>
      </c>
      <c r="E6923" s="43" t="s">
        <v>454</v>
      </c>
    </row>
    <row r="6924" spans="1:5" x14ac:dyDescent="0.25">
      <c r="A6924" s="41">
        <v>20201</v>
      </c>
      <c r="B6924" s="42" t="s">
        <v>7296</v>
      </c>
      <c r="C6924" s="43" t="s">
        <v>289</v>
      </c>
      <c r="D6924" s="43" t="s">
        <v>290</v>
      </c>
      <c r="E6924" s="43" t="s">
        <v>230</v>
      </c>
    </row>
    <row r="6925" spans="1:5" x14ac:dyDescent="0.25">
      <c r="A6925" s="41">
        <v>20202</v>
      </c>
      <c r="B6925" s="42" t="s">
        <v>7297</v>
      </c>
      <c r="C6925" s="43" t="s">
        <v>289</v>
      </c>
      <c r="D6925" s="43" t="s">
        <v>290</v>
      </c>
      <c r="E6925" s="43" t="s">
        <v>230</v>
      </c>
    </row>
    <row r="6926" spans="1:5" x14ac:dyDescent="0.25">
      <c r="A6926" s="41">
        <v>20203</v>
      </c>
      <c r="B6926" s="42" t="s">
        <v>7298</v>
      </c>
      <c r="C6926" s="43" t="s">
        <v>289</v>
      </c>
      <c r="D6926" s="43" t="s">
        <v>290</v>
      </c>
      <c r="E6926" s="43" t="s">
        <v>230</v>
      </c>
    </row>
    <row r="6927" spans="1:5" x14ac:dyDescent="0.25">
      <c r="A6927" s="41">
        <v>20204</v>
      </c>
      <c r="B6927" s="42" t="s">
        <v>7299</v>
      </c>
      <c r="C6927" s="43" t="s">
        <v>289</v>
      </c>
      <c r="D6927" s="43" t="s">
        <v>290</v>
      </c>
      <c r="E6927" s="43" t="s">
        <v>230</v>
      </c>
    </row>
    <row r="6928" spans="1:5" x14ac:dyDescent="0.25">
      <c r="A6928" s="41">
        <v>20206</v>
      </c>
      <c r="B6928" s="42" t="s">
        <v>7300</v>
      </c>
      <c r="C6928" s="43" t="s">
        <v>289</v>
      </c>
      <c r="D6928" s="43" t="s">
        <v>3754</v>
      </c>
      <c r="E6928" s="43" t="s">
        <v>230</v>
      </c>
    </row>
    <row r="6929" spans="1:5" x14ac:dyDescent="0.25">
      <c r="A6929" s="41">
        <v>20207</v>
      </c>
      <c r="B6929" s="42" t="s">
        <v>7301</v>
      </c>
      <c r="C6929" s="43" t="s">
        <v>289</v>
      </c>
      <c r="D6929" s="43" t="s">
        <v>1112</v>
      </c>
      <c r="E6929" s="43" t="s">
        <v>769</v>
      </c>
    </row>
    <row r="6930" spans="1:5" x14ac:dyDescent="0.25">
      <c r="A6930" s="41">
        <v>20208</v>
      </c>
      <c r="B6930" s="42" t="s">
        <v>7302</v>
      </c>
      <c r="C6930" s="43" t="s">
        <v>289</v>
      </c>
      <c r="D6930" s="43" t="s">
        <v>1112</v>
      </c>
      <c r="E6930" s="43" t="s">
        <v>769</v>
      </c>
    </row>
    <row r="6931" spans="1:5" x14ac:dyDescent="0.25">
      <c r="A6931" s="41">
        <v>20209</v>
      </c>
      <c r="B6931" s="42" t="s">
        <v>7303</v>
      </c>
      <c r="C6931" s="43" t="s">
        <v>289</v>
      </c>
      <c r="D6931" s="43" t="s">
        <v>633</v>
      </c>
      <c r="E6931" s="43" t="s">
        <v>230</v>
      </c>
    </row>
    <row r="6932" spans="1:5" x14ac:dyDescent="0.25">
      <c r="A6932" s="41">
        <v>20210</v>
      </c>
      <c r="B6932" s="42" t="s">
        <v>7304</v>
      </c>
      <c r="C6932" s="43" t="s">
        <v>289</v>
      </c>
      <c r="D6932" s="43" t="s">
        <v>633</v>
      </c>
      <c r="E6932" s="43" t="s">
        <v>230</v>
      </c>
    </row>
    <row r="6933" spans="1:5" x14ac:dyDescent="0.25">
      <c r="A6933" s="41">
        <v>20211</v>
      </c>
      <c r="B6933" s="42" t="s">
        <v>7305</v>
      </c>
      <c r="C6933" s="43" t="s">
        <v>289</v>
      </c>
      <c r="D6933" s="43" t="s">
        <v>1112</v>
      </c>
      <c r="E6933" s="43" t="s">
        <v>464</v>
      </c>
    </row>
    <row r="6934" spans="1:5" x14ac:dyDescent="0.25">
      <c r="A6934" s="41">
        <v>20221</v>
      </c>
      <c r="B6934" s="42" t="s">
        <v>7306</v>
      </c>
      <c r="C6934" s="43" t="s">
        <v>289</v>
      </c>
      <c r="D6934" s="43" t="s">
        <v>316</v>
      </c>
      <c r="E6934" s="43" t="s">
        <v>230</v>
      </c>
    </row>
    <row r="6935" spans="1:5" x14ac:dyDescent="0.25">
      <c r="A6935" s="41">
        <v>20222</v>
      </c>
      <c r="B6935" s="42" t="s">
        <v>7307</v>
      </c>
      <c r="C6935" s="43" t="s">
        <v>289</v>
      </c>
      <c r="D6935" s="43" t="s">
        <v>316</v>
      </c>
      <c r="E6935" s="43" t="s">
        <v>230</v>
      </c>
    </row>
    <row r="6936" spans="1:5" x14ac:dyDescent="0.25">
      <c r="A6936" s="41">
        <v>20223</v>
      </c>
      <c r="B6936" s="42" t="s">
        <v>7308</v>
      </c>
      <c r="C6936" s="43" t="s">
        <v>289</v>
      </c>
      <c r="D6936" s="43" t="s">
        <v>316</v>
      </c>
      <c r="E6936" s="43" t="s">
        <v>230</v>
      </c>
    </row>
    <row r="6937" spans="1:5" x14ac:dyDescent="0.25">
      <c r="A6937" s="41">
        <v>20224</v>
      </c>
      <c r="B6937" s="42" t="s">
        <v>7309</v>
      </c>
      <c r="C6937" s="43" t="s">
        <v>289</v>
      </c>
      <c r="D6937" s="43" t="s">
        <v>316</v>
      </c>
      <c r="E6937" s="43" t="s">
        <v>230</v>
      </c>
    </row>
    <row r="6938" spans="1:5" x14ac:dyDescent="0.25">
      <c r="A6938" s="41">
        <v>20225</v>
      </c>
      <c r="B6938" s="42" t="s">
        <v>7310</v>
      </c>
      <c r="C6938" s="43" t="s">
        <v>289</v>
      </c>
      <c r="D6938" s="43" t="s">
        <v>316</v>
      </c>
      <c r="E6938" s="43" t="s">
        <v>230</v>
      </c>
    </row>
    <row r="6939" spans="1:5" x14ac:dyDescent="0.25">
      <c r="A6939" s="41">
        <v>20226</v>
      </c>
      <c r="B6939" s="42" t="s">
        <v>7311</v>
      </c>
      <c r="C6939" s="43" t="s">
        <v>289</v>
      </c>
      <c r="D6939" s="43" t="s">
        <v>316</v>
      </c>
      <c r="E6939" s="43" t="s">
        <v>230</v>
      </c>
    </row>
    <row r="6940" spans="1:5" x14ac:dyDescent="0.25">
      <c r="A6940" s="41">
        <v>20231</v>
      </c>
      <c r="B6940" s="42" t="s">
        <v>7312</v>
      </c>
      <c r="C6940" s="43" t="s">
        <v>289</v>
      </c>
      <c r="D6940" s="43" t="s">
        <v>410</v>
      </c>
      <c r="E6940" s="43" t="s">
        <v>230</v>
      </c>
    </row>
    <row r="6941" spans="1:5" x14ac:dyDescent="0.25">
      <c r="A6941" s="41">
        <v>20232</v>
      </c>
      <c r="B6941" s="42" t="s">
        <v>7313</v>
      </c>
      <c r="C6941" s="43" t="s">
        <v>289</v>
      </c>
      <c r="D6941" s="43" t="s">
        <v>633</v>
      </c>
      <c r="E6941" s="43" t="s">
        <v>464</v>
      </c>
    </row>
    <row r="6942" spans="1:5" x14ac:dyDescent="0.25">
      <c r="A6942" s="41">
        <v>20233</v>
      </c>
      <c r="B6942" s="42" t="s">
        <v>7314</v>
      </c>
      <c r="C6942" s="43" t="s">
        <v>289</v>
      </c>
      <c r="D6942" s="43" t="s">
        <v>633</v>
      </c>
      <c r="E6942" s="43" t="s">
        <v>464</v>
      </c>
    </row>
    <row r="6943" spans="1:5" x14ac:dyDescent="0.25">
      <c r="A6943" s="41">
        <v>20234</v>
      </c>
      <c r="B6943" s="42" t="s">
        <v>7315</v>
      </c>
      <c r="C6943" s="43" t="s">
        <v>289</v>
      </c>
      <c r="D6943" s="43" t="s">
        <v>633</v>
      </c>
      <c r="E6943" s="43" t="s">
        <v>464</v>
      </c>
    </row>
    <row r="6944" spans="1:5" x14ac:dyDescent="0.25">
      <c r="A6944" s="41">
        <v>20235</v>
      </c>
      <c r="B6944" s="42" t="s">
        <v>7316</v>
      </c>
      <c r="C6944" s="43" t="s">
        <v>289</v>
      </c>
      <c r="D6944" s="43" t="s">
        <v>633</v>
      </c>
      <c r="E6944" s="43" t="s">
        <v>464</v>
      </c>
    </row>
    <row r="6945" spans="1:5" x14ac:dyDescent="0.25">
      <c r="A6945" s="41">
        <v>20236</v>
      </c>
      <c r="B6945" s="42" t="s">
        <v>7317</v>
      </c>
      <c r="C6945" s="43" t="s">
        <v>289</v>
      </c>
      <c r="D6945" s="43" t="s">
        <v>633</v>
      </c>
      <c r="E6945" s="43" t="s">
        <v>464</v>
      </c>
    </row>
    <row r="6946" spans="1:5" x14ac:dyDescent="0.25">
      <c r="A6946" s="41">
        <v>20237</v>
      </c>
      <c r="B6946" s="42" t="s">
        <v>7318</v>
      </c>
      <c r="C6946" s="43" t="s">
        <v>289</v>
      </c>
      <c r="D6946" s="43" t="s">
        <v>327</v>
      </c>
      <c r="E6946" s="43" t="s">
        <v>230</v>
      </c>
    </row>
    <row r="6947" spans="1:5" x14ac:dyDescent="0.25">
      <c r="A6947" s="41">
        <v>20238</v>
      </c>
      <c r="B6947" s="42" t="s">
        <v>7319</v>
      </c>
      <c r="C6947" s="43" t="s">
        <v>289</v>
      </c>
      <c r="D6947" s="43" t="s">
        <v>327</v>
      </c>
      <c r="E6947" s="43" t="s">
        <v>230</v>
      </c>
    </row>
    <row r="6948" spans="1:5" x14ac:dyDescent="0.25">
      <c r="A6948" s="41">
        <v>20239</v>
      </c>
      <c r="B6948" s="42" t="s">
        <v>7320</v>
      </c>
      <c r="C6948" s="43" t="s">
        <v>289</v>
      </c>
      <c r="D6948" s="43" t="s">
        <v>3754</v>
      </c>
      <c r="E6948" s="43" t="s">
        <v>769</v>
      </c>
    </row>
    <row r="6949" spans="1:5" x14ac:dyDescent="0.25">
      <c r="A6949" s="41">
        <v>20240</v>
      </c>
      <c r="B6949" s="42" t="s">
        <v>7321</v>
      </c>
      <c r="C6949" s="43" t="s">
        <v>289</v>
      </c>
      <c r="D6949" s="43" t="s">
        <v>3754</v>
      </c>
      <c r="E6949" s="43" t="s">
        <v>769</v>
      </c>
    </row>
    <row r="6950" spans="1:5" x14ac:dyDescent="0.25">
      <c r="A6950" s="41">
        <v>20241</v>
      </c>
      <c r="B6950" s="42" t="s">
        <v>7322</v>
      </c>
      <c r="C6950" s="43" t="s">
        <v>289</v>
      </c>
      <c r="D6950" s="43" t="s">
        <v>375</v>
      </c>
      <c r="E6950" s="43" t="s">
        <v>230</v>
      </c>
    </row>
    <row r="6951" spans="1:5" x14ac:dyDescent="0.25">
      <c r="A6951" s="41">
        <v>20242</v>
      </c>
      <c r="B6951" s="42" t="s">
        <v>7323</v>
      </c>
      <c r="C6951" s="43" t="s">
        <v>289</v>
      </c>
      <c r="D6951" s="43" t="s">
        <v>474</v>
      </c>
      <c r="E6951" s="43" t="s">
        <v>230</v>
      </c>
    </row>
    <row r="6952" spans="1:5" x14ac:dyDescent="0.25">
      <c r="A6952" s="41">
        <v>20243</v>
      </c>
      <c r="B6952" s="42" t="s">
        <v>7324</v>
      </c>
      <c r="C6952" s="43" t="s">
        <v>289</v>
      </c>
      <c r="D6952" s="43" t="s">
        <v>474</v>
      </c>
      <c r="E6952" s="43" t="s">
        <v>230</v>
      </c>
    </row>
    <row r="6953" spans="1:5" x14ac:dyDescent="0.25">
      <c r="A6953" s="41">
        <v>20244</v>
      </c>
      <c r="B6953" s="42" t="s">
        <v>7325</v>
      </c>
      <c r="C6953" s="43" t="s">
        <v>289</v>
      </c>
      <c r="D6953" s="43" t="s">
        <v>1112</v>
      </c>
      <c r="E6953" s="43" t="s">
        <v>230</v>
      </c>
    </row>
    <row r="6954" spans="1:5" x14ac:dyDescent="0.25">
      <c r="A6954" s="41">
        <v>20245</v>
      </c>
      <c r="B6954" s="42" t="s">
        <v>7326</v>
      </c>
      <c r="C6954" s="43" t="s">
        <v>289</v>
      </c>
      <c r="D6954" s="43" t="s">
        <v>1112</v>
      </c>
      <c r="E6954" s="43" t="s">
        <v>230</v>
      </c>
    </row>
    <row r="6955" spans="1:5" x14ac:dyDescent="0.25">
      <c r="A6955" s="41">
        <v>20246</v>
      </c>
      <c r="B6955" s="42" t="s">
        <v>7327</v>
      </c>
      <c r="C6955" s="43" t="s">
        <v>289</v>
      </c>
      <c r="D6955" s="43" t="s">
        <v>290</v>
      </c>
      <c r="E6955" s="43" t="s">
        <v>230</v>
      </c>
    </row>
    <row r="6956" spans="1:5" x14ac:dyDescent="0.25">
      <c r="A6956" s="41">
        <v>20247</v>
      </c>
      <c r="B6956" s="42" t="s">
        <v>7328</v>
      </c>
      <c r="C6956" s="43" t="s">
        <v>289</v>
      </c>
      <c r="D6956" s="43" t="s">
        <v>290</v>
      </c>
      <c r="E6956" s="43" t="s">
        <v>230</v>
      </c>
    </row>
    <row r="6957" spans="1:5" x14ac:dyDescent="0.25">
      <c r="A6957" s="41">
        <v>20248</v>
      </c>
      <c r="B6957" s="42" t="s">
        <v>7329</v>
      </c>
      <c r="C6957" s="43" t="s">
        <v>289</v>
      </c>
      <c r="D6957" s="43" t="s">
        <v>290</v>
      </c>
      <c r="E6957" s="43" t="s">
        <v>230</v>
      </c>
    </row>
    <row r="6958" spans="1:5" x14ac:dyDescent="0.25">
      <c r="A6958" s="41">
        <v>20249</v>
      </c>
      <c r="B6958" s="42" t="s">
        <v>7330</v>
      </c>
      <c r="C6958" s="43" t="s">
        <v>289</v>
      </c>
      <c r="D6958" s="43" t="s">
        <v>290</v>
      </c>
      <c r="E6958" s="43" t="s">
        <v>230</v>
      </c>
    </row>
    <row r="6959" spans="1:5" x14ac:dyDescent="0.25">
      <c r="A6959" s="41">
        <v>20250</v>
      </c>
      <c r="B6959" s="42" t="s">
        <v>7331</v>
      </c>
      <c r="C6959" s="43" t="s">
        <v>289</v>
      </c>
      <c r="D6959" s="43" t="s">
        <v>327</v>
      </c>
      <c r="E6959" s="43" t="s">
        <v>454</v>
      </c>
    </row>
    <row r="6960" spans="1:5" x14ac:dyDescent="0.25">
      <c r="A6960" s="41">
        <v>20251</v>
      </c>
      <c r="B6960" s="42" t="s">
        <v>7332</v>
      </c>
      <c r="C6960" s="43" t="s">
        <v>289</v>
      </c>
      <c r="D6960" s="43" t="s">
        <v>1112</v>
      </c>
      <c r="E6960" s="43" t="s">
        <v>464</v>
      </c>
    </row>
    <row r="6961" spans="1:5" x14ac:dyDescent="0.25">
      <c r="A6961" s="41">
        <v>20252</v>
      </c>
      <c r="B6961" s="42" t="s">
        <v>7333</v>
      </c>
      <c r="C6961" s="43" t="s">
        <v>289</v>
      </c>
      <c r="D6961" s="43" t="s">
        <v>1112</v>
      </c>
      <c r="E6961" s="43" t="s">
        <v>464</v>
      </c>
    </row>
    <row r="6962" spans="1:5" x14ac:dyDescent="0.25">
      <c r="A6962" s="41">
        <v>20253</v>
      </c>
      <c r="B6962" s="42" t="s">
        <v>7334</v>
      </c>
      <c r="C6962" s="43" t="s">
        <v>289</v>
      </c>
      <c r="D6962" s="43" t="s">
        <v>1112</v>
      </c>
      <c r="E6962" s="43" t="s">
        <v>464</v>
      </c>
    </row>
    <row r="6963" spans="1:5" x14ac:dyDescent="0.25">
      <c r="A6963" s="41">
        <v>20254</v>
      </c>
      <c r="B6963" s="42" t="s">
        <v>7335</v>
      </c>
      <c r="C6963" s="43" t="s">
        <v>289</v>
      </c>
      <c r="D6963" s="43" t="s">
        <v>1112</v>
      </c>
      <c r="E6963" s="43" t="s">
        <v>464</v>
      </c>
    </row>
    <row r="6964" spans="1:5" x14ac:dyDescent="0.25">
      <c r="A6964" s="41">
        <v>20255</v>
      </c>
      <c r="B6964" s="42" t="s">
        <v>7336</v>
      </c>
      <c r="C6964" s="43" t="s">
        <v>289</v>
      </c>
      <c r="D6964" s="43" t="s">
        <v>1112</v>
      </c>
      <c r="E6964" s="43" t="s">
        <v>464</v>
      </c>
    </row>
    <row r="6965" spans="1:5" x14ac:dyDescent="0.25">
      <c r="A6965" s="41">
        <v>20256</v>
      </c>
      <c r="B6965" s="42" t="s">
        <v>7337</v>
      </c>
      <c r="C6965" s="43" t="s">
        <v>289</v>
      </c>
      <c r="D6965" s="43" t="s">
        <v>1112</v>
      </c>
      <c r="E6965" s="43" t="s">
        <v>336</v>
      </c>
    </row>
    <row r="6966" spans="1:5" x14ac:dyDescent="0.25">
      <c r="A6966" s="41">
        <v>20258</v>
      </c>
      <c r="B6966" s="42" t="s">
        <v>7338</v>
      </c>
      <c r="C6966" s="43" t="s">
        <v>289</v>
      </c>
      <c r="D6966" s="43" t="s">
        <v>1112</v>
      </c>
      <c r="E6966" s="43" t="s">
        <v>464</v>
      </c>
    </row>
    <row r="6967" spans="1:5" x14ac:dyDescent="0.25">
      <c r="A6967" s="41">
        <v>20259</v>
      </c>
      <c r="B6967" s="42" t="s">
        <v>7339</v>
      </c>
      <c r="C6967" s="43" t="s">
        <v>289</v>
      </c>
      <c r="D6967" s="43" t="s">
        <v>1138</v>
      </c>
      <c r="E6967" s="43" t="s">
        <v>483</v>
      </c>
    </row>
    <row r="6968" spans="1:5" x14ac:dyDescent="0.25">
      <c r="A6968" s="41">
        <v>20260</v>
      </c>
      <c r="B6968" s="42" t="s">
        <v>7340</v>
      </c>
      <c r="C6968" s="43" t="s">
        <v>289</v>
      </c>
      <c r="D6968" s="43" t="s">
        <v>316</v>
      </c>
      <c r="E6968" s="43" t="s">
        <v>230</v>
      </c>
    </row>
    <row r="6969" spans="1:5" x14ac:dyDescent="0.25">
      <c r="A6969" s="41">
        <v>20261</v>
      </c>
      <c r="B6969" s="42" t="s">
        <v>7341</v>
      </c>
      <c r="C6969" s="43" t="s">
        <v>289</v>
      </c>
      <c r="D6969" s="43" t="s">
        <v>474</v>
      </c>
      <c r="E6969" s="43" t="s">
        <v>230</v>
      </c>
    </row>
    <row r="6970" spans="1:5" x14ac:dyDescent="0.25">
      <c r="A6970" s="41">
        <v>20262</v>
      </c>
      <c r="B6970" s="42" t="s">
        <v>7342</v>
      </c>
      <c r="C6970" s="43" t="s">
        <v>289</v>
      </c>
      <c r="D6970" s="43" t="s">
        <v>316</v>
      </c>
      <c r="E6970" s="43" t="s">
        <v>230</v>
      </c>
    </row>
    <row r="6971" spans="1:5" x14ac:dyDescent="0.25">
      <c r="A6971" s="41">
        <v>20263</v>
      </c>
      <c r="B6971" s="42" t="s">
        <v>7343</v>
      </c>
      <c r="C6971" s="43" t="s">
        <v>289</v>
      </c>
      <c r="D6971" s="43" t="s">
        <v>633</v>
      </c>
      <c r="E6971" s="43" t="s">
        <v>230</v>
      </c>
    </row>
    <row r="6972" spans="1:5" x14ac:dyDescent="0.25">
      <c r="A6972" s="41">
        <v>20264</v>
      </c>
      <c r="B6972" s="42" t="s">
        <v>7344</v>
      </c>
      <c r="C6972" s="43" t="s">
        <v>289</v>
      </c>
      <c r="D6972" s="43" t="s">
        <v>633</v>
      </c>
      <c r="E6972" s="43" t="s">
        <v>230</v>
      </c>
    </row>
    <row r="6973" spans="1:5" x14ac:dyDescent="0.25">
      <c r="A6973" s="41">
        <v>20265</v>
      </c>
      <c r="B6973" s="42" t="s">
        <v>7345</v>
      </c>
      <c r="C6973" s="43" t="s">
        <v>289</v>
      </c>
      <c r="D6973" s="43" t="s">
        <v>633</v>
      </c>
      <c r="E6973" s="43" t="s">
        <v>230</v>
      </c>
    </row>
    <row r="6974" spans="1:5" x14ac:dyDescent="0.25">
      <c r="A6974" s="41">
        <v>20266</v>
      </c>
      <c r="B6974" s="42" t="s">
        <v>7346</v>
      </c>
      <c r="C6974" s="43" t="s">
        <v>289</v>
      </c>
      <c r="D6974" s="43" t="s">
        <v>633</v>
      </c>
      <c r="E6974" s="43" t="s">
        <v>230</v>
      </c>
    </row>
    <row r="6975" spans="1:5" x14ac:dyDescent="0.25">
      <c r="A6975" s="41">
        <v>20267</v>
      </c>
      <c r="B6975" s="42" t="s">
        <v>7347</v>
      </c>
      <c r="C6975" s="43" t="s">
        <v>289</v>
      </c>
      <c r="D6975" s="43" t="s">
        <v>633</v>
      </c>
      <c r="E6975" s="43" t="s">
        <v>230</v>
      </c>
    </row>
    <row r="6976" spans="1:5" x14ac:dyDescent="0.25">
      <c r="A6976" s="41">
        <v>20268</v>
      </c>
      <c r="B6976" s="42" t="s">
        <v>7348</v>
      </c>
      <c r="C6976" s="43" t="s">
        <v>289</v>
      </c>
      <c r="D6976" s="43" t="s">
        <v>633</v>
      </c>
      <c r="E6976" s="43" t="s">
        <v>230</v>
      </c>
    </row>
    <row r="6977" spans="1:5" x14ac:dyDescent="0.25">
      <c r="A6977" s="41">
        <v>20269</v>
      </c>
      <c r="B6977" s="42" t="s">
        <v>7349</v>
      </c>
      <c r="C6977" s="43" t="s">
        <v>289</v>
      </c>
      <c r="D6977" s="43" t="s">
        <v>633</v>
      </c>
      <c r="E6977" s="43" t="s">
        <v>230</v>
      </c>
    </row>
    <row r="6978" spans="1:5" x14ac:dyDescent="0.25">
      <c r="A6978" s="41">
        <v>20270</v>
      </c>
      <c r="B6978" s="42" t="s">
        <v>7350</v>
      </c>
      <c r="C6978" s="43" t="s">
        <v>289</v>
      </c>
      <c r="D6978" s="43" t="s">
        <v>633</v>
      </c>
      <c r="E6978" s="43" t="s">
        <v>230</v>
      </c>
    </row>
    <row r="6979" spans="1:5" x14ac:dyDescent="0.25">
      <c r="A6979" s="41">
        <v>20271</v>
      </c>
      <c r="B6979" s="42" t="s">
        <v>7351</v>
      </c>
      <c r="C6979" s="43" t="s">
        <v>289</v>
      </c>
      <c r="D6979" s="43" t="s">
        <v>327</v>
      </c>
      <c r="E6979" s="43" t="s">
        <v>230</v>
      </c>
    </row>
    <row r="6980" spans="1:5" x14ac:dyDescent="0.25">
      <c r="A6980" s="41">
        <v>20272</v>
      </c>
      <c r="B6980" s="42" t="s">
        <v>7352</v>
      </c>
      <c r="C6980" s="43" t="s">
        <v>289</v>
      </c>
      <c r="D6980" s="43" t="s">
        <v>1112</v>
      </c>
      <c r="E6980" s="43" t="s">
        <v>230</v>
      </c>
    </row>
    <row r="6981" spans="1:5" x14ac:dyDescent="0.25">
      <c r="A6981" s="41">
        <v>20273</v>
      </c>
      <c r="B6981" s="42" t="s">
        <v>7353</v>
      </c>
      <c r="C6981" s="43" t="s">
        <v>289</v>
      </c>
      <c r="D6981" s="43" t="s">
        <v>941</v>
      </c>
      <c r="E6981" s="43" t="s">
        <v>230</v>
      </c>
    </row>
    <row r="6982" spans="1:5" x14ac:dyDescent="0.25">
      <c r="A6982" s="41">
        <v>20274</v>
      </c>
      <c r="B6982" s="42" t="s">
        <v>7354</v>
      </c>
      <c r="C6982" s="43" t="s">
        <v>289</v>
      </c>
      <c r="D6982" s="43" t="s">
        <v>1138</v>
      </c>
      <c r="E6982" s="43" t="s">
        <v>336</v>
      </c>
    </row>
    <row r="6983" spans="1:5" x14ac:dyDescent="0.25">
      <c r="A6983" s="41">
        <v>20275</v>
      </c>
      <c r="B6983" s="42" t="s">
        <v>7355</v>
      </c>
      <c r="C6983" s="43" t="s">
        <v>289</v>
      </c>
      <c r="D6983" s="43" t="s">
        <v>1138</v>
      </c>
      <c r="E6983" s="43" t="s">
        <v>336</v>
      </c>
    </row>
    <row r="6984" spans="1:5" x14ac:dyDescent="0.25">
      <c r="A6984" s="41">
        <v>20276</v>
      </c>
      <c r="B6984" s="42" t="s">
        <v>7356</v>
      </c>
      <c r="C6984" s="43" t="s">
        <v>289</v>
      </c>
      <c r="D6984" s="43" t="s">
        <v>327</v>
      </c>
      <c r="E6984" s="43" t="s">
        <v>454</v>
      </c>
    </row>
    <row r="6985" spans="1:5" x14ac:dyDescent="0.25">
      <c r="A6985" s="41">
        <v>20277</v>
      </c>
      <c r="B6985" s="42" t="s">
        <v>7357</v>
      </c>
      <c r="C6985" s="43" t="s">
        <v>289</v>
      </c>
      <c r="D6985" s="43" t="s">
        <v>327</v>
      </c>
      <c r="E6985" s="43" t="s">
        <v>454</v>
      </c>
    </row>
    <row r="6986" spans="1:5" x14ac:dyDescent="0.25">
      <c r="A6986" s="41">
        <v>20278</v>
      </c>
      <c r="B6986" s="42" t="s">
        <v>7358</v>
      </c>
      <c r="C6986" s="43" t="s">
        <v>289</v>
      </c>
      <c r="D6986" s="43" t="s">
        <v>633</v>
      </c>
      <c r="E6986" s="43" t="s">
        <v>230</v>
      </c>
    </row>
    <row r="6987" spans="1:5" x14ac:dyDescent="0.25">
      <c r="A6987" s="41">
        <v>20279</v>
      </c>
      <c r="B6987" s="42" t="s">
        <v>7359</v>
      </c>
      <c r="C6987" s="43" t="s">
        <v>289</v>
      </c>
      <c r="D6987" s="43" t="s">
        <v>3733</v>
      </c>
      <c r="E6987" s="43" t="s">
        <v>454</v>
      </c>
    </row>
    <row r="6988" spans="1:5" x14ac:dyDescent="0.25">
      <c r="A6988" s="41">
        <v>20280</v>
      </c>
      <c r="B6988" s="42" t="s">
        <v>7360</v>
      </c>
      <c r="C6988" s="43" t="s">
        <v>289</v>
      </c>
      <c r="D6988" s="43" t="s">
        <v>474</v>
      </c>
      <c r="E6988" s="43" t="s">
        <v>230</v>
      </c>
    </row>
    <row r="6989" spans="1:5" x14ac:dyDescent="0.25">
      <c r="A6989" s="41">
        <v>20281</v>
      </c>
      <c r="B6989" s="42" t="s">
        <v>7361</v>
      </c>
      <c r="C6989" s="43" t="s">
        <v>289</v>
      </c>
      <c r="D6989" s="43" t="s">
        <v>1112</v>
      </c>
      <c r="E6989" s="43" t="s">
        <v>230</v>
      </c>
    </row>
    <row r="6990" spans="1:5" x14ac:dyDescent="0.25">
      <c r="A6990" s="41">
        <v>20282</v>
      </c>
      <c r="B6990" s="42" t="s">
        <v>7362</v>
      </c>
      <c r="C6990" s="43" t="s">
        <v>289</v>
      </c>
      <c r="D6990" s="43" t="s">
        <v>1112</v>
      </c>
      <c r="E6990" s="43" t="s">
        <v>336</v>
      </c>
    </row>
    <row r="6991" spans="1:5" x14ac:dyDescent="0.25">
      <c r="A6991" s="41">
        <v>20283</v>
      </c>
      <c r="B6991" s="42" t="s">
        <v>7363</v>
      </c>
      <c r="C6991" s="43" t="s">
        <v>289</v>
      </c>
      <c r="D6991" s="43" t="s">
        <v>1112</v>
      </c>
      <c r="E6991" s="43" t="s">
        <v>230</v>
      </c>
    </row>
    <row r="6992" spans="1:5" x14ac:dyDescent="0.25">
      <c r="A6992" s="41">
        <v>20291</v>
      </c>
      <c r="B6992" s="42" t="s">
        <v>7364</v>
      </c>
      <c r="C6992" s="43" t="s">
        <v>289</v>
      </c>
      <c r="D6992" s="43" t="s">
        <v>474</v>
      </c>
      <c r="E6992" s="43" t="s">
        <v>230</v>
      </c>
    </row>
    <row r="6993" spans="1:5" x14ac:dyDescent="0.25">
      <c r="A6993" s="41">
        <v>20292</v>
      </c>
      <c r="B6993" s="42" t="s">
        <v>7365</v>
      </c>
      <c r="C6993" s="43" t="s">
        <v>289</v>
      </c>
      <c r="D6993" s="43" t="s">
        <v>996</v>
      </c>
      <c r="E6993" s="43" t="s">
        <v>230</v>
      </c>
    </row>
    <row r="6994" spans="1:5" x14ac:dyDescent="0.25">
      <c r="A6994" s="41">
        <v>20293</v>
      </c>
      <c r="B6994" s="42" t="s">
        <v>7366</v>
      </c>
      <c r="C6994" s="43" t="s">
        <v>289</v>
      </c>
      <c r="D6994" s="43" t="s">
        <v>996</v>
      </c>
      <c r="E6994" s="43" t="s">
        <v>230</v>
      </c>
    </row>
    <row r="6995" spans="1:5" x14ac:dyDescent="0.25">
      <c r="A6995" s="41">
        <v>20294</v>
      </c>
      <c r="B6995" s="42" t="s">
        <v>7367</v>
      </c>
      <c r="C6995" s="43" t="s">
        <v>289</v>
      </c>
      <c r="D6995" s="43" t="s">
        <v>996</v>
      </c>
      <c r="E6995" s="43" t="s">
        <v>230</v>
      </c>
    </row>
    <row r="6996" spans="1:5" x14ac:dyDescent="0.25">
      <c r="A6996" s="41">
        <v>20295</v>
      </c>
      <c r="B6996" s="42" t="s">
        <v>7368</v>
      </c>
      <c r="C6996" s="43" t="s">
        <v>289</v>
      </c>
      <c r="D6996" s="43" t="s">
        <v>327</v>
      </c>
      <c r="E6996" s="43" t="s">
        <v>230</v>
      </c>
    </row>
    <row r="6997" spans="1:5" x14ac:dyDescent="0.25">
      <c r="A6997" s="41">
        <v>20296</v>
      </c>
      <c r="B6997" s="42" t="s">
        <v>7369</v>
      </c>
      <c r="C6997" s="43" t="s">
        <v>289</v>
      </c>
      <c r="D6997" s="43" t="s">
        <v>327</v>
      </c>
      <c r="E6997" s="43" t="s">
        <v>230</v>
      </c>
    </row>
    <row r="6998" spans="1:5" x14ac:dyDescent="0.25">
      <c r="A6998" s="41">
        <v>20297</v>
      </c>
      <c r="B6998" s="42" t="s">
        <v>7370</v>
      </c>
      <c r="C6998" s="43" t="s">
        <v>289</v>
      </c>
      <c r="D6998" s="43" t="s">
        <v>327</v>
      </c>
      <c r="E6998" s="43" t="s">
        <v>230</v>
      </c>
    </row>
    <row r="6999" spans="1:5" x14ac:dyDescent="0.25">
      <c r="A6999" s="41">
        <v>20298</v>
      </c>
      <c r="B6999" s="42" t="s">
        <v>7371</v>
      </c>
      <c r="C6999" s="43" t="s">
        <v>289</v>
      </c>
      <c r="D6999" s="43" t="s">
        <v>327</v>
      </c>
      <c r="E6999" s="43" t="s">
        <v>230</v>
      </c>
    </row>
    <row r="7000" spans="1:5" x14ac:dyDescent="0.25">
      <c r="A7000" s="41">
        <v>20299</v>
      </c>
      <c r="B7000" s="42" t="s">
        <v>7372</v>
      </c>
      <c r="C7000" s="43" t="s">
        <v>289</v>
      </c>
      <c r="D7000" s="43" t="s">
        <v>327</v>
      </c>
      <c r="E7000" s="43" t="s">
        <v>230</v>
      </c>
    </row>
    <row r="7001" spans="1:5" x14ac:dyDescent="0.25">
      <c r="A7001" s="41">
        <v>20300</v>
      </c>
      <c r="B7001" s="42" t="s">
        <v>7373</v>
      </c>
      <c r="C7001" s="43" t="s">
        <v>289</v>
      </c>
      <c r="D7001" s="43" t="s">
        <v>327</v>
      </c>
      <c r="E7001" s="43" t="s">
        <v>230</v>
      </c>
    </row>
    <row r="7002" spans="1:5" x14ac:dyDescent="0.25">
      <c r="A7002" s="41">
        <v>20301</v>
      </c>
      <c r="B7002" s="42" t="s">
        <v>7374</v>
      </c>
      <c r="C7002" s="43" t="s">
        <v>289</v>
      </c>
      <c r="D7002" s="43" t="s">
        <v>327</v>
      </c>
      <c r="E7002" s="43" t="s">
        <v>230</v>
      </c>
    </row>
    <row r="7003" spans="1:5" x14ac:dyDescent="0.25">
      <c r="A7003" s="41">
        <v>20302</v>
      </c>
      <c r="B7003" s="42" t="s">
        <v>7375</v>
      </c>
      <c r="C7003" s="43" t="s">
        <v>289</v>
      </c>
      <c r="D7003" s="43" t="s">
        <v>327</v>
      </c>
      <c r="E7003" s="43" t="s">
        <v>230</v>
      </c>
    </row>
    <row r="7004" spans="1:5" x14ac:dyDescent="0.25">
      <c r="A7004" s="41">
        <v>20303</v>
      </c>
      <c r="B7004" s="42" t="s">
        <v>7376</v>
      </c>
      <c r="C7004" s="43" t="s">
        <v>289</v>
      </c>
      <c r="D7004" s="43" t="s">
        <v>327</v>
      </c>
      <c r="E7004" s="43" t="s">
        <v>230</v>
      </c>
    </row>
    <row r="7005" spans="1:5" x14ac:dyDescent="0.25">
      <c r="A7005" s="41">
        <v>20304</v>
      </c>
      <c r="B7005" s="42" t="s">
        <v>7377</v>
      </c>
      <c r="C7005" s="43" t="s">
        <v>289</v>
      </c>
      <c r="D7005" s="43" t="s">
        <v>327</v>
      </c>
      <c r="E7005" s="43" t="s">
        <v>230</v>
      </c>
    </row>
    <row r="7006" spans="1:5" x14ac:dyDescent="0.25">
      <c r="A7006" s="41">
        <v>20305</v>
      </c>
      <c r="B7006" s="42" t="s">
        <v>7378</v>
      </c>
      <c r="C7006" s="43" t="s">
        <v>289</v>
      </c>
      <c r="D7006" s="43" t="s">
        <v>327</v>
      </c>
      <c r="E7006" s="43" t="s">
        <v>230</v>
      </c>
    </row>
    <row r="7007" spans="1:5" x14ac:dyDescent="0.25">
      <c r="A7007" s="41">
        <v>20306</v>
      </c>
      <c r="B7007" s="42" t="s">
        <v>7379</v>
      </c>
      <c r="C7007" s="43" t="s">
        <v>289</v>
      </c>
      <c r="D7007" s="43" t="s">
        <v>327</v>
      </c>
      <c r="E7007" s="43" t="s">
        <v>230</v>
      </c>
    </row>
    <row r="7008" spans="1:5" x14ac:dyDescent="0.25">
      <c r="A7008" s="41">
        <v>20307</v>
      </c>
      <c r="B7008" s="42" t="s">
        <v>7380</v>
      </c>
      <c r="C7008" s="43" t="s">
        <v>289</v>
      </c>
      <c r="D7008" s="43" t="s">
        <v>327</v>
      </c>
      <c r="E7008" s="43" t="s">
        <v>230</v>
      </c>
    </row>
    <row r="7009" spans="1:5" x14ac:dyDescent="0.25">
      <c r="A7009" s="41">
        <v>20308</v>
      </c>
      <c r="B7009" s="42" t="s">
        <v>7381</v>
      </c>
      <c r="C7009" s="43" t="s">
        <v>289</v>
      </c>
      <c r="D7009" s="43" t="s">
        <v>327</v>
      </c>
      <c r="E7009" s="43" t="s">
        <v>230</v>
      </c>
    </row>
    <row r="7010" spans="1:5" x14ac:dyDescent="0.25">
      <c r="A7010" s="41">
        <v>20309</v>
      </c>
      <c r="B7010" s="42" t="s">
        <v>7382</v>
      </c>
      <c r="C7010" s="43" t="s">
        <v>289</v>
      </c>
      <c r="D7010" s="43" t="s">
        <v>327</v>
      </c>
      <c r="E7010" s="43" t="s">
        <v>230</v>
      </c>
    </row>
    <row r="7011" spans="1:5" x14ac:dyDescent="0.25">
      <c r="A7011" s="41">
        <v>20310</v>
      </c>
      <c r="B7011" s="42" t="s">
        <v>7383</v>
      </c>
      <c r="C7011" s="43" t="s">
        <v>289</v>
      </c>
      <c r="D7011" s="43" t="s">
        <v>327</v>
      </c>
      <c r="E7011" s="43" t="s">
        <v>230</v>
      </c>
    </row>
    <row r="7012" spans="1:5" x14ac:dyDescent="0.25">
      <c r="A7012" s="41">
        <v>20311</v>
      </c>
      <c r="B7012" s="42" t="s">
        <v>7384</v>
      </c>
      <c r="C7012" s="43" t="s">
        <v>289</v>
      </c>
      <c r="D7012" s="43" t="s">
        <v>327</v>
      </c>
      <c r="E7012" s="43" t="s">
        <v>230</v>
      </c>
    </row>
    <row r="7013" spans="1:5" x14ac:dyDescent="0.25">
      <c r="A7013" s="41">
        <v>20312</v>
      </c>
      <c r="B7013" s="42" t="s">
        <v>7385</v>
      </c>
      <c r="C7013" s="43" t="s">
        <v>289</v>
      </c>
      <c r="D7013" s="43" t="s">
        <v>327</v>
      </c>
      <c r="E7013" s="43" t="s">
        <v>230</v>
      </c>
    </row>
    <row r="7014" spans="1:5" x14ac:dyDescent="0.25">
      <c r="A7014" s="41">
        <v>20313</v>
      </c>
      <c r="B7014" s="42" t="s">
        <v>7386</v>
      </c>
      <c r="C7014" s="43" t="s">
        <v>289</v>
      </c>
      <c r="D7014" s="43" t="s">
        <v>327</v>
      </c>
      <c r="E7014" s="43" t="s">
        <v>230</v>
      </c>
    </row>
    <row r="7015" spans="1:5" x14ac:dyDescent="0.25">
      <c r="A7015" s="41">
        <v>20314</v>
      </c>
      <c r="B7015" s="42" t="s">
        <v>7387</v>
      </c>
      <c r="C7015" s="43" t="s">
        <v>289</v>
      </c>
      <c r="D7015" s="43" t="s">
        <v>327</v>
      </c>
      <c r="E7015" s="43" t="s">
        <v>230</v>
      </c>
    </row>
    <row r="7016" spans="1:5" x14ac:dyDescent="0.25">
      <c r="A7016" s="41">
        <v>20316</v>
      </c>
      <c r="B7016" s="42" t="s">
        <v>7388</v>
      </c>
      <c r="C7016" s="43" t="s">
        <v>289</v>
      </c>
      <c r="D7016" s="43" t="s">
        <v>327</v>
      </c>
      <c r="E7016" s="43" t="s">
        <v>230</v>
      </c>
    </row>
    <row r="7017" spans="1:5" x14ac:dyDescent="0.25">
      <c r="A7017" s="41">
        <v>20317</v>
      </c>
      <c r="B7017" s="42" t="s">
        <v>7389</v>
      </c>
      <c r="C7017" s="43" t="s">
        <v>289</v>
      </c>
      <c r="D7017" s="43" t="s">
        <v>327</v>
      </c>
      <c r="E7017" s="43" t="s">
        <v>230</v>
      </c>
    </row>
    <row r="7018" spans="1:5" x14ac:dyDescent="0.25">
      <c r="A7018" s="41">
        <v>20318</v>
      </c>
      <c r="B7018" s="42" t="s">
        <v>7390</v>
      </c>
      <c r="C7018" s="43" t="s">
        <v>289</v>
      </c>
      <c r="D7018" s="43" t="s">
        <v>327</v>
      </c>
      <c r="E7018" s="43" t="s">
        <v>230</v>
      </c>
    </row>
    <row r="7019" spans="1:5" x14ac:dyDescent="0.25">
      <c r="A7019" s="41">
        <v>20319</v>
      </c>
      <c r="B7019" s="42" t="s">
        <v>7391</v>
      </c>
      <c r="C7019" s="43" t="s">
        <v>289</v>
      </c>
      <c r="D7019" s="43" t="s">
        <v>327</v>
      </c>
      <c r="E7019" s="43" t="s">
        <v>230</v>
      </c>
    </row>
    <row r="7020" spans="1:5" x14ac:dyDescent="0.25">
      <c r="A7020" s="41">
        <v>20320</v>
      </c>
      <c r="B7020" s="42" t="s">
        <v>7392</v>
      </c>
      <c r="C7020" s="43" t="s">
        <v>289</v>
      </c>
      <c r="D7020" s="43" t="s">
        <v>327</v>
      </c>
      <c r="E7020" s="43" t="s">
        <v>230</v>
      </c>
    </row>
    <row r="7021" spans="1:5" x14ac:dyDescent="0.25">
      <c r="A7021" s="41">
        <v>20321</v>
      </c>
      <c r="B7021" s="42" t="s">
        <v>7393</v>
      </c>
      <c r="C7021" s="43" t="s">
        <v>289</v>
      </c>
      <c r="D7021" s="43" t="s">
        <v>327</v>
      </c>
      <c r="E7021" s="43" t="s">
        <v>230</v>
      </c>
    </row>
    <row r="7022" spans="1:5" x14ac:dyDescent="0.25">
      <c r="A7022" s="41">
        <v>20322</v>
      </c>
      <c r="B7022" s="42" t="s">
        <v>7394</v>
      </c>
      <c r="C7022" s="43" t="s">
        <v>289</v>
      </c>
      <c r="D7022" s="43" t="s">
        <v>327</v>
      </c>
      <c r="E7022" s="43" t="s">
        <v>230</v>
      </c>
    </row>
    <row r="7023" spans="1:5" x14ac:dyDescent="0.25">
      <c r="A7023" s="41">
        <v>20323</v>
      </c>
      <c r="B7023" s="42" t="s">
        <v>7395</v>
      </c>
      <c r="C7023" s="43" t="s">
        <v>289</v>
      </c>
      <c r="D7023" s="43" t="s">
        <v>327</v>
      </c>
      <c r="E7023" s="43" t="s">
        <v>230</v>
      </c>
    </row>
    <row r="7024" spans="1:5" x14ac:dyDescent="0.25">
      <c r="A7024" s="41">
        <v>20324</v>
      </c>
      <c r="B7024" s="42" t="s">
        <v>7396</v>
      </c>
      <c r="C7024" s="43" t="s">
        <v>289</v>
      </c>
      <c r="D7024" s="43" t="s">
        <v>327</v>
      </c>
      <c r="E7024" s="43" t="s">
        <v>230</v>
      </c>
    </row>
    <row r="7025" spans="1:5" x14ac:dyDescent="0.25">
      <c r="A7025" s="41">
        <v>20325</v>
      </c>
      <c r="B7025" s="42" t="s">
        <v>7397</v>
      </c>
      <c r="C7025" s="43" t="s">
        <v>289</v>
      </c>
      <c r="D7025" s="43" t="s">
        <v>327</v>
      </c>
      <c r="E7025" s="43" t="s">
        <v>230</v>
      </c>
    </row>
    <row r="7026" spans="1:5" x14ac:dyDescent="0.25">
      <c r="A7026" s="41">
        <v>20326</v>
      </c>
      <c r="B7026" s="42" t="s">
        <v>7398</v>
      </c>
      <c r="C7026" s="43" t="s">
        <v>289</v>
      </c>
      <c r="D7026" s="43" t="s">
        <v>327</v>
      </c>
      <c r="E7026" s="43" t="s">
        <v>230</v>
      </c>
    </row>
    <row r="7027" spans="1:5" x14ac:dyDescent="0.25">
      <c r="A7027" s="41">
        <v>20327</v>
      </c>
      <c r="B7027" s="42" t="s">
        <v>7399</v>
      </c>
      <c r="C7027" s="43" t="s">
        <v>289</v>
      </c>
      <c r="D7027" s="43" t="s">
        <v>327</v>
      </c>
      <c r="E7027" s="43" t="s">
        <v>230</v>
      </c>
    </row>
    <row r="7028" spans="1:5" x14ac:dyDescent="0.25">
      <c r="A7028" s="41">
        <v>20328</v>
      </c>
      <c r="B7028" s="42" t="s">
        <v>7400</v>
      </c>
      <c r="C7028" s="43" t="s">
        <v>289</v>
      </c>
      <c r="D7028" s="43" t="s">
        <v>327</v>
      </c>
      <c r="E7028" s="43" t="s">
        <v>230</v>
      </c>
    </row>
    <row r="7029" spans="1:5" x14ac:dyDescent="0.25">
      <c r="A7029" s="41">
        <v>20329</v>
      </c>
      <c r="B7029" s="42" t="s">
        <v>7401</v>
      </c>
      <c r="C7029" s="43" t="s">
        <v>289</v>
      </c>
      <c r="D7029" s="43" t="s">
        <v>327</v>
      </c>
      <c r="E7029" s="43" t="s">
        <v>230</v>
      </c>
    </row>
    <row r="7030" spans="1:5" x14ac:dyDescent="0.25">
      <c r="A7030" s="41">
        <v>20330</v>
      </c>
      <c r="B7030" s="42" t="s">
        <v>7402</v>
      </c>
      <c r="C7030" s="43" t="s">
        <v>289</v>
      </c>
      <c r="D7030" s="43" t="s">
        <v>327</v>
      </c>
      <c r="E7030" s="43" t="s">
        <v>230</v>
      </c>
    </row>
    <row r="7031" spans="1:5" x14ac:dyDescent="0.25">
      <c r="A7031" s="41">
        <v>20331</v>
      </c>
      <c r="B7031" s="42" t="s">
        <v>7403</v>
      </c>
      <c r="C7031" s="43" t="s">
        <v>289</v>
      </c>
      <c r="D7031" s="43" t="s">
        <v>327</v>
      </c>
      <c r="E7031" s="43" t="s">
        <v>230</v>
      </c>
    </row>
    <row r="7032" spans="1:5" x14ac:dyDescent="0.25">
      <c r="A7032" s="41">
        <v>20332</v>
      </c>
      <c r="B7032" s="42" t="s">
        <v>7404</v>
      </c>
      <c r="C7032" s="43" t="s">
        <v>289</v>
      </c>
      <c r="D7032" s="43" t="s">
        <v>6035</v>
      </c>
      <c r="E7032" s="43" t="s">
        <v>336</v>
      </c>
    </row>
    <row r="7033" spans="1:5" x14ac:dyDescent="0.25">
      <c r="A7033" s="41">
        <v>20333</v>
      </c>
      <c r="B7033" s="42" t="s">
        <v>7405</v>
      </c>
      <c r="C7033" s="43" t="s">
        <v>289</v>
      </c>
      <c r="D7033" s="43" t="s">
        <v>1112</v>
      </c>
      <c r="E7033" s="43" t="s">
        <v>230</v>
      </c>
    </row>
    <row r="7034" spans="1:5" x14ac:dyDescent="0.25">
      <c r="A7034" s="41">
        <v>20334</v>
      </c>
      <c r="B7034" s="42" t="s">
        <v>7406</v>
      </c>
      <c r="C7034" s="43" t="s">
        <v>289</v>
      </c>
      <c r="D7034" s="43" t="s">
        <v>1112</v>
      </c>
      <c r="E7034" s="43" t="s">
        <v>230</v>
      </c>
    </row>
    <row r="7035" spans="1:5" x14ac:dyDescent="0.25">
      <c r="A7035" s="41">
        <v>20335</v>
      </c>
      <c r="B7035" s="42" t="s">
        <v>7407</v>
      </c>
      <c r="C7035" s="43" t="s">
        <v>289</v>
      </c>
      <c r="D7035" s="43" t="s">
        <v>1112</v>
      </c>
      <c r="E7035" s="43" t="s">
        <v>230</v>
      </c>
    </row>
    <row r="7036" spans="1:5" x14ac:dyDescent="0.25">
      <c r="A7036" s="41">
        <v>20336</v>
      </c>
      <c r="B7036" s="42" t="s">
        <v>7408</v>
      </c>
      <c r="C7036" s="43" t="s">
        <v>289</v>
      </c>
      <c r="D7036" s="43" t="s">
        <v>1112</v>
      </c>
      <c r="E7036" s="43" t="s">
        <v>230</v>
      </c>
    </row>
    <row r="7037" spans="1:5" x14ac:dyDescent="0.25">
      <c r="A7037" s="41">
        <v>20337</v>
      </c>
      <c r="B7037" s="42" t="s">
        <v>7409</v>
      </c>
      <c r="C7037" s="43" t="s">
        <v>289</v>
      </c>
      <c r="D7037" s="43" t="s">
        <v>1112</v>
      </c>
      <c r="E7037" s="43" t="s">
        <v>230</v>
      </c>
    </row>
    <row r="7038" spans="1:5" x14ac:dyDescent="0.25">
      <c r="A7038" s="41">
        <v>20338</v>
      </c>
      <c r="B7038" s="42" t="s">
        <v>7410</v>
      </c>
      <c r="C7038" s="43" t="s">
        <v>289</v>
      </c>
      <c r="D7038" s="43" t="s">
        <v>1112</v>
      </c>
      <c r="E7038" s="43" t="s">
        <v>230</v>
      </c>
    </row>
    <row r="7039" spans="1:5" x14ac:dyDescent="0.25">
      <c r="A7039" s="41">
        <v>20339</v>
      </c>
      <c r="B7039" s="42" t="s">
        <v>7411</v>
      </c>
      <c r="C7039" s="43" t="s">
        <v>289</v>
      </c>
      <c r="D7039" s="43" t="s">
        <v>1112</v>
      </c>
      <c r="E7039" s="43" t="s">
        <v>230</v>
      </c>
    </row>
    <row r="7040" spans="1:5" x14ac:dyDescent="0.25">
      <c r="A7040" s="41">
        <v>20340</v>
      </c>
      <c r="B7040" s="42" t="s">
        <v>7412</v>
      </c>
      <c r="C7040" s="43" t="s">
        <v>289</v>
      </c>
      <c r="D7040" s="43" t="s">
        <v>1112</v>
      </c>
      <c r="E7040" s="43" t="s">
        <v>230</v>
      </c>
    </row>
    <row r="7041" spans="1:5" x14ac:dyDescent="0.25">
      <c r="A7041" s="41">
        <v>20341</v>
      </c>
      <c r="B7041" s="42" t="s">
        <v>7413</v>
      </c>
      <c r="C7041" s="43" t="s">
        <v>289</v>
      </c>
      <c r="D7041" s="43" t="s">
        <v>1112</v>
      </c>
      <c r="E7041" s="43" t="s">
        <v>230</v>
      </c>
    </row>
    <row r="7042" spans="1:5" x14ac:dyDescent="0.25">
      <c r="A7042" s="41">
        <v>20342</v>
      </c>
      <c r="B7042" s="42" t="s">
        <v>7414</v>
      </c>
      <c r="C7042" s="43" t="s">
        <v>289</v>
      </c>
      <c r="D7042" s="43" t="s">
        <v>1112</v>
      </c>
      <c r="E7042" s="43" t="s">
        <v>230</v>
      </c>
    </row>
    <row r="7043" spans="1:5" x14ac:dyDescent="0.25">
      <c r="A7043" s="41">
        <v>20343</v>
      </c>
      <c r="B7043" s="42" t="s">
        <v>7415</v>
      </c>
      <c r="C7043" s="43" t="s">
        <v>289</v>
      </c>
      <c r="D7043" s="43" t="s">
        <v>1112</v>
      </c>
      <c r="E7043" s="43" t="s">
        <v>230</v>
      </c>
    </row>
    <row r="7044" spans="1:5" x14ac:dyDescent="0.25">
      <c r="A7044" s="41">
        <v>20344</v>
      </c>
      <c r="B7044" s="42" t="s">
        <v>7416</v>
      </c>
      <c r="C7044" s="43" t="s">
        <v>289</v>
      </c>
      <c r="D7044" s="43" t="s">
        <v>1112</v>
      </c>
      <c r="E7044" s="43" t="s">
        <v>230</v>
      </c>
    </row>
    <row r="7045" spans="1:5" x14ac:dyDescent="0.25">
      <c r="A7045" s="41">
        <v>20345</v>
      </c>
      <c r="B7045" s="42" t="s">
        <v>7417</v>
      </c>
      <c r="C7045" s="43" t="s">
        <v>289</v>
      </c>
      <c r="D7045" s="43" t="s">
        <v>1112</v>
      </c>
      <c r="E7045" s="43" t="s">
        <v>230</v>
      </c>
    </row>
    <row r="7046" spans="1:5" x14ac:dyDescent="0.25">
      <c r="A7046" s="41">
        <v>20346</v>
      </c>
      <c r="B7046" s="42" t="s">
        <v>7418</v>
      </c>
      <c r="C7046" s="43" t="s">
        <v>289</v>
      </c>
      <c r="D7046" s="43" t="s">
        <v>1112</v>
      </c>
      <c r="E7046" s="43" t="s">
        <v>230</v>
      </c>
    </row>
    <row r="7047" spans="1:5" x14ac:dyDescent="0.25">
      <c r="A7047" s="41">
        <v>20347</v>
      </c>
      <c r="B7047" s="42" t="s">
        <v>7419</v>
      </c>
      <c r="C7047" s="43" t="s">
        <v>289</v>
      </c>
      <c r="D7047" s="43" t="s">
        <v>1112</v>
      </c>
      <c r="E7047" s="43" t="s">
        <v>230</v>
      </c>
    </row>
    <row r="7048" spans="1:5" x14ac:dyDescent="0.25">
      <c r="A7048" s="41">
        <v>20348</v>
      </c>
      <c r="B7048" s="42" t="s">
        <v>7420</v>
      </c>
      <c r="C7048" s="43" t="s">
        <v>289</v>
      </c>
      <c r="D7048" s="43" t="s">
        <v>1112</v>
      </c>
      <c r="E7048" s="43" t="s">
        <v>230</v>
      </c>
    </row>
    <row r="7049" spans="1:5" x14ac:dyDescent="0.25">
      <c r="A7049" s="41">
        <v>20349</v>
      </c>
      <c r="B7049" s="42" t="s">
        <v>7421</v>
      </c>
      <c r="C7049" s="43" t="s">
        <v>289</v>
      </c>
      <c r="D7049" s="43" t="s">
        <v>1112</v>
      </c>
      <c r="E7049" s="43" t="s">
        <v>230</v>
      </c>
    </row>
    <row r="7050" spans="1:5" x14ac:dyDescent="0.25">
      <c r="A7050" s="41">
        <v>20350</v>
      </c>
      <c r="B7050" s="42" t="s">
        <v>7422</v>
      </c>
      <c r="C7050" s="43" t="s">
        <v>289</v>
      </c>
      <c r="D7050" s="43" t="s">
        <v>1112</v>
      </c>
      <c r="E7050" s="43" t="s">
        <v>230</v>
      </c>
    </row>
    <row r="7051" spans="1:5" x14ac:dyDescent="0.25">
      <c r="A7051" s="41">
        <v>20351</v>
      </c>
      <c r="B7051" s="42" t="s">
        <v>6464</v>
      </c>
      <c r="C7051" s="43" t="s">
        <v>289</v>
      </c>
      <c r="D7051" s="43" t="s">
        <v>1112</v>
      </c>
      <c r="E7051" s="43" t="s">
        <v>230</v>
      </c>
    </row>
    <row r="7052" spans="1:5" x14ac:dyDescent="0.25">
      <c r="A7052" s="41">
        <v>20352</v>
      </c>
      <c r="B7052" s="42" t="s">
        <v>7423</v>
      </c>
      <c r="C7052" s="43" t="s">
        <v>289</v>
      </c>
      <c r="D7052" s="43" t="s">
        <v>1112</v>
      </c>
      <c r="E7052" s="43" t="s">
        <v>230</v>
      </c>
    </row>
    <row r="7053" spans="1:5" x14ac:dyDescent="0.25">
      <c r="A7053" s="41">
        <v>20353</v>
      </c>
      <c r="B7053" s="42" t="s">
        <v>7424</v>
      </c>
      <c r="C7053" s="43" t="s">
        <v>289</v>
      </c>
      <c r="D7053" s="43" t="s">
        <v>1112</v>
      </c>
      <c r="E7053" s="43" t="s">
        <v>230</v>
      </c>
    </row>
    <row r="7054" spans="1:5" x14ac:dyDescent="0.25">
      <c r="A7054" s="41">
        <v>20354</v>
      </c>
      <c r="B7054" s="42" t="s">
        <v>7425</v>
      </c>
      <c r="C7054" s="43" t="s">
        <v>289</v>
      </c>
      <c r="D7054" s="43" t="s">
        <v>1112</v>
      </c>
      <c r="E7054" s="43" t="s">
        <v>230</v>
      </c>
    </row>
    <row r="7055" spans="1:5" x14ac:dyDescent="0.25">
      <c r="A7055" s="41">
        <v>20355</v>
      </c>
      <c r="B7055" s="42" t="s">
        <v>7426</v>
      </c>
      <c r="C7055" s="43" t="s">
        <v>289</v>
      </c>
      <c r="D7055" s="43" t="s">
        <v>1112</v>
      </c>
      <c r="E7055" s="43" t="s">
        <v>230</v>
      </c>
    </row>
    <row r="7056" spans="1:5" x14ac:dyDescent="0.25">
      <c r="A7056" s="41">
        <v>20356</v>
      </c>
      <c r="B7056" s="42" t="s">
        <v>7427</v>
      </c>
      <c r="C7056" s="43" t="s">
        <v>289</v>
      </c>
      <c r="D7056" s="43" t="s">
        <v>1112</v>
      </c>
      <c r="E7056" s="43" t="s">
        <v>230</v>
      </c>
    </row>
    <row r="7057" spans="1:5" x14ac:dyDescent="0.25">
      <c r="A7057" s="41">
        <v>20357</v>
      </c>
      <c r="B7057" s="42" t="s">
        <v>7428</v>
      </c>
      <c r="C7057" s="43" t="s">
        <v>289</v>
      </c>
      <c r="D7057" s="43" t="s">
        <v>3754</v>
      </c>
      <c r="E7057" s="43" t="s">
        <v>230</v>
      </c>
    </row>
    <row r="7058" spans="1:5" x14ac:dyDescent="0.25">
      <c r="A7058" s="41">
        <v>20358</v>
      </c>
      <c r="B7058" s="42" t="s">
        <v>7429</v>
      </c>
      <c r="C7058" s="43" t="s">
        <v>289</v>
      </c>
      <c r="D7058" s="43" t="s">
        <v>3754</v>
      </c>
      <c r="E7058" s="43" t="s">
        <v>230</v>
      </c>
    </row>
    <row r="7059" spans="1:5" x14ac:dyDescent="0.25">
      <c r="A7059" s="41">
        <v>20359</v>
      </c>
      <c r="B7059" s="42" t="s">
        <v>7430</v>
      </c>
      <c r="C7059" s="43" t="s">
        <v>289</v>
      </c>
      <c r="D7059" s="43" t="s">
        <v>3754</v>
      </c>
      <c r="E7059" s="43" t="s">
        <v>230</v>
      </c>
    </row>
    <row r="7060" spans="1:5" x14ac:dyDescent="0.25">
      <c r="A7060" s="41">
        <v>20360</v>
      </c>
      <c r="B7060" s="42" t="s">
        <v>7431</v>
      </c>
      <c r="C7060" s="43" t="s">
        <v>289</v>
      </c>
      <c r="D7060" s="43" t="s">
        <v>6141</v>
      </c>
      <c r="E7060" s="43" t="s">
        <v>5892</v>
      </c>
    </row>
    <row r="7061" spans="1:5" x14ac:dyDescent="0.25">
      <c r="A7061" s="41">
        <v>20361</v>
      </c>
      <c r="B7061" s="42" t="s">
        <v>7432</v>
      </c>
      <c r="C7061" s="43" t="s">
        <v>289</v>
      </c>
      <c r="D7061" s="43" t="s">
        <v>327</v>
      </c>
      <c r="E7061" s="43" t="s">
        <v>454</v>
      </c>
    </row>
    <row r="7062" spans="1:5" x14ac:dyDescent="0.25">
      <c r="A7062" s="41">
        <v>20362</v>
      </c>
      <c r="B7062" s="42" t="s">
        <v>7433</v>
      </c>
      <c r="C7062" s="43" t="s">
        <v>289</v>
      </c>
      <c r="D7062" s="43" t="s">
        <v>327</v>
      </c>
      <c r="E7062" s="43" t="s">
        <v>454</v>
      </c>
    </row>
    <row r="7063" spans="1:5" x14ac:dyDescent="0.25">
      <c r="A7063" s="41">
        <v>20363</v>
      </c>
      <c r="B7063" s="42" t="s">
        <v>7434</v>
      </c>
      <c r="C7063" s="43" t="s">
        <v>289</v>
      </c>
      <c r="D7063" s="43" t="s">
        <v>327</v>
      </c>
      <c r="E7063" s="43" t="s">
        <v>454</v>
      </c>
    </row>
    <row r="7064" spans="1:5" x14ac:dyDescent="0.25">
      <c r="A7064" s="41">
        <v>20364</v>
      </c>
      <c r="B7064" s="42" t="s">
        <v>7435</v>
      </c>
      <c r="C7064" s="43" t="s">
        <v>289</v>
      </c>
      <c r="D7064" s="43" t="s">
        <v>327</v>
      </c>
      <c r="E7064" s="43" t="s">
        <v>454</v>
      </c>
    </row>
    <row r="7065" spans="1:5" x14ac:dyDescent="0.25">
      <c r="A7065" s="41">
        <v>20365</v>
      </c>
      <c r="B7065" s="42" t="s">
        <v>7436</v>
      </c>
      <c r="C7065" s="43" t="s">
        <v>289</v>
      </c>
      <c r="D7065" s="43" t="s">
        <v>333</v>
      </c>
      <c r="E7065" s="43" t="s">
        <v>230</v>
      </c>
    </row>
    <row r="7066" spans="1:5" x14ac:dyDescent="0.25">
      <c r="A7066" s="41">
        <v>20366</v>
      </c>
      <c r="B7066" s="42" t="s">
        <v>7437</v>
      </c>
      <c r="C7066" s="43" t="s">
        <v>289</v>
      </c>
      <c r="D7066" s="43" t="s">
        <v>333</v>
      </c>
      <c r="E7066" s="43" t="s">
        <v>230</v>
      </c>
    </row>
    <row r="7067" spans="1:5" x14ac:dyDescent="0.25">
      <c r="A7067" s="41">
        <v>20367</v>
      </c>
      <c r="B7067" s="42" t="s">
        <v>7438</v>
      </c>
      <c r="C7067" s="43" t="s">
        <v>289</v>
      </c>
      <c r="D7067" s="43" t="s">
        <v>333</v>
      </c>
      <c r="E7067" s="43" t="s">
        <v>230</v>
      </c>
    </row>
    <row r="7068" spans="1:5" x14ac:dyDescent="0.25">
      <c r="A7068" s="41">
        <v>20368</v>
      </c>
      <c r="B7068" s="42" t="s">
        <v>7439</v>
      </c>
      <c r="C7068" s="43" t="s">
        <v>289</v>
      </c>
      <c r="D7068" s="43" t="s">
        <v>333</v>
      </c>
      <c r="E7068" s="43" t="s">
        <v>230</v>
      </c>
    </row>
    <row r="7069" spans="1:5" x14ac:dyDescent="0.25">
      <c r="A7069" s="41">
        <v>20369</v>
      </c>
      <c r="B7069" s="42" t="s">
        <v>7440</v>
      </c>
      <c r="C7069" s="43" t="s">
        <v>289</v>
      </c>
      <c r="D7069" s="43" t="s">
        <v>333</v>
      </c>
      <c r="E7069" s="43" t="s">
        <v>230</v>
      </c>
    </row>
    <row r="7070" spans="1:5" x14ac:dyDescent="0.25">
      <c r="A7070" s="41">
        <v>20370</v>
      </c>
      <c r="B7070" s="42" t="s">
        <v>7441</v>
      </c>
      <c r="C7070" s="43" t="s">
        <v>289</v>
      </c>
      <c r="D7070" s="43" t="s">
        <v>433</v>
      </c>
      <c r="E7070" s="43" t="s">
        <v>230</v>
      </c>
    </row>
    <row r="7071" spans="1:5" x14ac:dyDescent="0.25">
      <c r="A7071" s="41">
        <v>20371</v>
      </c>
      <c r="B7071" s="42" t="s">
        <v>7442</v>
      </c>
      <c r="C7071" s="43" t="s">
        <v>289</v>
      </c>
      <c r="D7071" s="43" t="s">
        <v>327</v>
      </c>
      <c r="E7071" s="43" t="s">
        <v>230</v>
      </c>
    </row>
    <row r="7072" spans="1:5" x14ac:dyDescent="0.25">
      <c r="A7072" s="41">
        <v>20372</v>
      </c>
      <c r="B7072" s="42" t="s">
        <v>7443</v>
      </c>
      <c r="C7072" s="43" t="s">
        <v>289</v>
      </c>
      <c r="D7072" s="43" t="s">
        <v>327</v>
      </c>
      <c r="E7072" s="43" t="s">
        <v>230</v>
      </c>
    </row>
    <row r="7073" spans="1:5" x14ac:dyDescent="0.25">
      <c r="A7073" s="41">
        <v>20373</v>
      </c>
      <c r="B7073" s="42" t="s">
        <v>7444</v>
      </c>
      <c r="C7073" s="43" t="s">
        <v>289</v>
      </c>
      <c r="D7073" s="43" t="s">
        <v>333</v>
      </c>
      <c r="E7073" s="43" t="s">
        <v>230</v>
      </c>
    </row>
    <row r="7074" spans="1:5" x14ac:dyDescent="0.25">
      <c r="A7074" s="41">
        <v>20374</v>
      </c>
      <c r="B7074" s="42" t="s">
        <v>7445</v>
      </c>
      <c r="C7074" s="43" t="s">
        <v>289</v>
      </c>
      <c r="D7074" s="43" t="s">
        <v>996</v>
      </c>
      <c r="E7074" s="43" t="s">
        <v>230</v>
      </c>
    </row>
    <row r="7075" spans="1:5" x14ac:dyDescent="0.25">
      <c r="A7075" s="41">
        <v>20375</v>
      </c>
      <c r="B7075" s="42" t="s">
        <v>7446</v>
      </c>
      <c r="C7075" s="43" t="s">
        <v>289</v>
      </c>
      <c r="D7075" s="43" t="s">
        <v>6693</v>
      </c>
      <c r="E7075" s="43" t="s">
        <v>454</v>
      </c>
    </row>
    <row r="7076" spans="1:5" x14ac:dyDescent="0.25">
      <c r="A7076" s="41">
        <v>20376</v>
      </c>
      <c r="B7076" s="42" t="s">
        <v>7447</v>
      </c>
      <c r="C7076" s="43" t="s">
        <v>289</v>
      </c>
      <c r="D7076" s="43" t="s">
        <v>6693</v>
      </c>
      <c r="E7076" s="43" t="s">
        <v>769</v>
      </c>
    </row>
    <row r="7077" spans="1:5" x14ac:dyDescent="0.25">
      <c r="A7077" s="41">
        <v>20377</v>
      </c>
      <c r="B7077" s="42" t="s">
        <v>7448</v>
      </c>
      <c r="C7077" s="43" t="s">
        <v>289</v>
      </c>
      <c r="D7077" s="43" t="s">
        <v>1112</v>
      </c>
      <c r="E7077" s="43" t="s">
        <v>769</v>
      </c>
    </row>
    <row r="7078" spans="1:5" x14ac:dyDescent="0.25">
      <c r="A7078" s="41">
        <v>20378</v>
      </c>
      <c r="B7078" s="42" t="s">
        <v>7449</v>
      </c>
      <c r="C7078" s="43" t="s">
        <v>289</v>
      </c>
      <c r="D7078" s="43" t="s">
        <v>1112</v>
      </c>
      <c r="E7078" s="43" t="s">
        <v>769</v>
      </c>
    </row>
    <row r="7079" spans="1:5" x14ac:dyDescent="0.25">
      <c r="A7079" s="41">
        <v>20380</v>
      </c>
      <c r="B7079" s="42" t="s">
        <v>7450</v>
      </c>
      <c r="C7079" s="43" t="s">
        <v>289</v>
      </c>
      <c r="D7079" s="43" t="s">
        <v>1112</v>
      </c>
      <c r="E7079" s="43" t="s">
        <v>769</v>
      </c>
    </row>
    <row r="7080" spans="1:5" x14ac:dyDescent="0.25">
      <c r="A7080" s="41">
        <v>20381</v>
      </c>
      <c r="B7080" s="42" t="s">
        <v>7451</v>
      </c>
      <c r="C7080" s="43" t="s">
        <v>289</v>
      </c>
      <c r="D7080" s="43" t="s">
        <v>1112</v>
      </c>
      <c r="E7080" s="43" t="s">
        <v>769</v>
      </c>
    </row>
    <row r="7081" spans="1:5" x14ac:dyDescent="0.25">
      <c r="A7081" s="41">
        <v>20382</v>
      </c>
      <c r="B7081" s="42" t="s">
        <v>7452</v>
      </c>
      <c r="C7081" s="43" t="s">
        <v>289</v>
      </c>
      <c r="D7081" s="43" t="s">
        <v>1112</v>
      </c>
      <c r="E7081" s="43" t="s">
        <v>769</v>
      </c>
    </row>
    <row r="7082" spans="1:5" x14ac:dyDescent="0.25">
      <c r="A7082" s="41">
        <v>20383</v>
      </c>
      <c r="B7082" s="42" t="s">
        <v>7453</v>
      </c>
      <c r="C7082" s="43" t="s">
        <v>289</v>
      </c>
      <c r="D7082" s="43" t="s">
        <v>327</v>
      </c>
      <c r="E7082" s="43" t="s">
        <v>454</v>
      </c>
    </row>
    <row r="7083" spans="1:5" x14ac:dyDescent="0.25">
      <c r="A7083" s="41">
        <v>20384</v>
      </c>
      <c r="B7083" s="42" t="s">
        <v>7454</v>
      </c>
      <c r="C7083" s="43" t="s">
        <v>289</v>
      </c>
      <c r="D7083" s="43" t="s">
        <v>327</v>
      </c>
      <c r="E7083" s="43" t="s">
        <v>454</v>
      </c>
    </row>
    <row r="7084" spans="1:5" x14ac:dyDescent="0.25">
      <c r="A7084" s="41">
        <v>20385</v>
      </c>
      <c r="B7084" s="42" t="s">
        <v>7455</v>
      </c>
      <c r="C7084" s="43" t="s">
        <v>289</v>
      </c>
      <c r="D7084" s="43" t="s">
        <v>327</v>
      </c>
      <c r="E7084" s="43" t="s">
        <v>454</v>
      </c>
    </row>
    <row r="7085" spans="1:5" x14ac:dyDescent="0.25">
      <c r="A7085" s="41">
        <v>20386</v>
      </c>
      <c r="B7085" s="42" t="s">
        <v>7456</v>
      </c>
      <c r="C7085" s="43" t="s">
        <v>289</v>
      </c>
      <c r="D7085" s="43" t="s">
        <v>327</v>
      </c>
      <c r="E7085" s="43" t="s">
        <v>454</v>
      </c>
    </row>
    <row r="7086" spans="1:5" x14ac:dyDescent="0.25">
      <c r="A7086" s="41">
        <v>20387</v>
      </c>
      <c r="B7086" s="42" t="s">
        <v>7457</v>
      </c>
      <c r="C7086" s="43" t="s">
        <v>289</v>
      </c>
      <c r="D7086" s="43" t="s">
        <v>327</v>
      </c>
      <c r="E7086" s="43" t="s">
        <v>454</v>
      </c>
    </row>
    <row r="7087" spans="1:5" x14ac:dyDescent="0.25">
      <c r="A7087" s="41">
        <v>20388</v>
      </c>
      <c r="B7087" s="42" t="s">
        <v>7458</v>
      </c>
      <c r="C7087" s="43" t="s">
        <v>289</v>
      </c>
      <c r="D7087" s="43" t="s">
        <v>327</v>
      </c>
      <c r="E7087" s="43" t="s">
        <v>454</v>
      </c>
    </row>
    <row r="7088" spans="1:5" x14ac:dyDescent="0.25">
      <c r="A7088" s="41">
        <v>20389</v>
      </c>
      <c r="B7088" s="42" t="s">
        <v>7459</v>
      </c>
      <c r="C7088" s="43" t="s">
        <v>289</v>
      </c>
      <c r="D7088" s="43" t="s">
        <v>996</v>
      </c>
      <c r="E7088" s="43" t="s">
        <v>230</v>
      </c>
    </row>
    <row r="7089" spans="1:5" x14ac:dyDescent="0.25">
      <c r="A7089" s="41">
        <v>20390</v>
      </c>
      <c r="B7089" s="42" t="s">
        <v>7460</v>
      </c>
      <c r="C7089" s="43" t="s">
        <v>289</v>
      </c>
      <c r="D7089" s="43" t="s">
        <v>763</v>
      </c>
      <c r="E7089" s="43" t="s">
        <v>230</v>
      </c>
    </row>
    <row r="7090" spans="1:5" x14ac:dyDescent="0.25">
      <c r="A7090" s="41">
        <v>20391</v>
      </c>
      <c r="B7090" s="42" t="s">
        <v>7461</v>
      </c>
      <c r="C7090" s="43" t="s">
        <v>289</v>
      </c>
      <c r="D7090" s="43" t="s">
        <v>845</v>
      </c>
      <c r="E7090" s="43" t="s">
        <v>230</v>
      </c>
    </row>
    <row r="7091" spans="1:5" x14ac:dyDescent="0.25">
      <c r="A7091" s="41">
        <v>20392</v>
      </c>
      <c r="B7091" s="42" t="s">
        <v>7462</v>
      </c>
      <c r="C7091" s="43" t="s">
        <v>289</v>
      </c>
      <c r="D7091" s="43" t="s">
        <v>845</v>
      </c>
      <c r="E7091" s="43" t="s">
        <v>230</v>
      </c>
    </row>
    <row r="7092" spans="1:5" x14ac:dyDescent="0.25">
      <c r="A7092" s="41">
        <v>20393</v>
      </c>
      <c r="B7092" s="42" t="s">
        <v>7463</v>
      </c>
      <c r="C7092" s="43" t="s">
        <v>289</v>
      </c>
      <c r="D7092" s="43" t="s">
        <v>845</v>
      </c>
      <c r="E7092" s="43" t="s">
        <v>230</v>
      </c>
    </row>
    <row r="7093" spans="1:5" x14ac:dyDescent="0.25">
      <c r="A7093" s="41">
        <v>20394</v>
      </c>
      <c r="B7093" s="42" t="s">
        <v>7464</v>
      </c>
      <c r="C7093" s="43" t="s">
        <v>289</v>
      </c>
      <c r="D7093" s="43" t="s">
        <v>5324</v>
      </c>
      <c r="E7093" s="43" t="s">
        <v>454</v>
      </c>
    </row>
    <row r="7094" spans="1:5" x14ac:dyDescent="0.25">
      <c r="A7094" s="41">
        <v>20395</v>
      </c>
      <c r="B7094" s="42" t="s">
        <v>7465</v>
      </c>
      <c r="C7094" s="43" t="s">
        <v>289</v>
      </c>
      <c r="D7094" s="43" t="s">
        <v>316</v>
      </c>
      <c r="E7094" s="43" t="s">
        <v>454</v>
      </c>
    </row>
    <row r="7095" spans="1:5" x14ac:dyDescent="0.25">
      <c r="A7095" s="41">
        <v>20396</v>
      </c>
      <c r="B7095" s="42" t="s">
        <v>7466</v>
      </c>
      <c r="C7095" s="43" t="s">
        <v>289</v>
      </c>
      <c r="D7095" s="43" t="s">
        <v>996</v>
      </c>
      <c r="E7095" s="43" t="s">
        <v>230</v>
      </c>
    </row>
    <row r="7096" spans="1:5" x14ac:dyDescent="0.25">
      <c r="A7096" s="41">
        <v>20397</v>
      </c>
      <c r="B7096" s="42" t="s">
        <v>7467</v>
      </c>
      <c r="C7096" s="43" t="s">
        <v>289</v>
      </c>
      <c r="D7096" s="43" t="s">
        <v>996</v>
      </c>
      <c r="E7096" s="43" t="s">
        <v>230</v>
      </c>
    </row>
    <row r="7097" spans="1:5" x14ac:dyDescent="0.25">
      <c r="A7097" s="41">
        <v>20398</v>
      </c>
      <c r="B7097" s="42" t="s">
        <v>7468</v>
      </c>
      <c r="C7097" s="43" t="s">
        <v>289</v>
      </c>
      <c r="D7097" s="43" t="s">
        <v>996</v>
      </c>
      <c r="E7097" s="43" t="s">
        <v>230</v>
      </c>
    </row>
    <row r="7098" spans="1:5" x14ac:dyDescent="0.25">
      <c r="A7098" s="41">
        <v>20399</v>
      </c>
      <c r="B7098" s="42" t="s">
        <v>7469</v>
      </c>
      <c r="C7098" s="43" t="s">
        <v>289</v>
      </c>
      <c r="D7098" s="43" t="s">
        <v>996</v>
      </c>
      <c r="E7098" s="43" t="s">
        <v>230</v>
      </c>
    </row>
    <row r="7099" spans="1:5" x14ac:dyDescent="0.25">
      <c r="A7099" s="41">
        <v>20400</v>
      </c>
      <c r="B7099" s="42" t="s">
        <v>7470</v>
      </c>
      <c r="C7099" s="43" t="s">
        <v>289</v>
      </c>
      <c r="D7099" s="43" t="s">
        <v>996</v>
      </c>
      <c r="E7099" s="43" t="s">
        <v>230</v>
      </c>
    </row>
    <row r="7100" spans="1:5" x14ac:dyDescent="0.25">
      <c r="A7100" s="41">
        <v>20401</v>
      </c>
      <c r="B7100" s="42" t="s">
        <v>7471</v>
      </c>
      <c r="C7100" s="43" t="s">
        <v>289</v>
      </c>
      <c r="D7100" s="43" t="s">
        <v>996</v>
      </c>
      <c r="E7100" s="43" t="s">
        <v>230</v>
      </c>
    </row>
    <row r="7101" spans="1:5" x14ac:dyDescent="0.25">
      <c r="A7101" s="41">
        <v>20402</v>
      </c>
      <c r="B7101" s="42" t="s">
        <v>7472</v>
      </c>
      <c r="C7101" s="43" t="s">
        <v>289</v>
      </c>
      <c r="D7101" s="43" t="s">
        <v>996</v>
      </c>
      <c r="E7101" s="43" t="s">
        <v>230</v>
      </c>
    </row>
    <row r="7102" spans="1:5" x14ac:dyDescent="0.25">
      <c r="A7102" s="41">
        <v>20403</v>
      </c>
      <c r="B7102" s="42" t="s">
        <v>7473</v>
      </c>
      <c r="C7102" s="43" t="s">
        <v>289</v>
      </c>
      <c r="D7102" s="43" t="s">
        <v>316</v>
      </c>
      <c r="E7102" s="43" t="s">
        <v>230</v>
      </c>
    </row>
    <row r="7103" spans="1:5" x14ac:dyDescent="0.25">
      <c r="A7103" s="41">
        <v>20404</v>
      </c>
      <c r="B7103" s="42" t="s">
        <v>7474</v>
      </c>
      <c r="C7103" s="43" t="s">
        <v>289</v>
      </c>
      <c r="D7103" s="43" t="s">
        <v>316</v>
      </c>
      <c r="E7103" s="43" t="s">
        <v>230</v>
      </c>
    </row>
    <row r="7104" spans="1:5" x14ac:dyDescent="0.25">
      <c r="A7104" s="41">
        <v>20405</v>
      </c>
      <c r="B7104" s="42" t="s">
        <v>7475</v>
      </c>
      <c r="C7104" s="43" t="s">
        <v>289</v>
      </c>
      <c r="D7104" s="43" t="s">
        <v>316</v>
      </c>
      <c r="E7104" s="43" t="s">
        <v>230</v>
      </c>
    </row>
    <row r="7105" spans="1:5" x14ac:dyDescent="0.25">
      <c r="A7105" s="41">
        <v>20406</v>
      </c>
      <c r="B7105" s="42" t="s">
        <v>7476</v>
      </c>
      <c r="C7105" s="43" t="s">
        <v>289</v>
      </c>
      <c r="D7105" s="43" t="s">
        <v>316</v>
      </c>
      <c r="E7105" s="43" t="s">
        <v>230</v>
      </c>
    </row>
    <row r="7106" spans="1:5" x14ac:dyDescent="0.25">
      <c r="A7106" s="41">
        <v>20407</v>
      </c>
      <c r="B7106" s="42" t="s">
        <v>7477</v>
      </c>
      <c r="C7106" s="43" t="s">
        <v>289</v>
      </c>
      <c r="D7106" s="43" t="s">
        <v>316</v>
      </c>
      <c r="E7106" s="43" t="s">
        <v>230</v>
      </c>
    </row>
    <row r="7107" spans="1:5" x14ac:dyDescent="0.25">
      <c r="A7107" s="41">
        <v>20408</v>
      </c>
      <c r="B7107" s="42" t="s">
        <v>7478</v>
      </c>
      <c r="C7107" s="43" t="s">
        <v>289</v>
      </c>
      <c r="D7107" s="43" t="s">
        <v>316</v>
      </c>
      <c r="E7107" s="43" t="s">
        <v>230</v>
      </c>
    </row>
    <row r="7108" spans="1:5" x14ac:dyDescent="0.25">
      <c r="A7108" s="41">
        <v>20409</v>
      </c>
      <c r="B7108" s="42" t="s">
        <v>7479</v>
      </c>
      <c r="C7108" s="43" t="s">
        <v>289</v>
      </c>
      <c r="D7108" s="43" t="s">
        <v>316</v>
      </c>
      <c r="E7108" s="43" t="s">
        <v>230</v>
      </c>
    </row>
    <row r="7109" spans="1:5" x14ac:dyDescent="0.25">
      <c r="A7109" s="41">
        <v>20410</v>
      </c>
      <c r="B7109" s="42" t="s">
        <v>7480</v>
      </c>
      <c r="C7109" s="43" t="s">
        <v>289</v>
      </c>
      <c r="D7109" s="43" t="s">
        <v>316</v>
      </c>
      <c r="E7109" s="43" t="s">
        <v>230</v>
      </c>
    </row>
    <row r="7110" spans="1:5" x14ac:dyDescent="0.25">
      <c r="A7110" s="41">
        <v>20421</v>
      </c>
      <c r="B7110" s="42" t="s">
        <v>7481</v>
      </c>
      <c r="C7110" s="43" t="s">
        <v>289</v>
      </c>
      <c r="D7110" s="43" t="s">
        <v>316</v>
      </c>
      <c r="E7110" s="43" t="s">
        <v>230</v>
      </c>
    </row>
    <row r="7111" spans="1:5" x14ac:dyDescent="0.25">
      <c r="A7111" s="41">
        <v>20422</v>
      </c>
      <c r="B7111" s="42" t="s">
        <v>7482</v>
      </c>
      <c r="C7111" s="43" t="s">
        <v>289</v>
      </c>
      <c r="D7111" s="43" t="s">
        <v>316</v>
      </c>
      <c r="E7111" s="43" t="s">
        <v>230</v>
      </c>
    </row>
    <row r="7112" spans="1:5" x14ac:dyDescent="0.25">
      <c r="A7112" s="41">
        <v>20423</v>
      </c>
      <c r="B7112" s="42" t="s">
        <v>7483</v>
      </c>
      <c r="C7112" s="43" t="s">
        <v>289</v>
      </c>
      <c r="D7112" s="43" t="s">
        <v>316</v>
      </c>
      <c r="E7112" s="43" t="s">
        <v>230</v>
      </c>
    </row>
    <row r="7113" spans="1:5" x14ac:dyDescent="0.25">
      <c r="A7113" s="41">
        <v>20424</v>
      </c>
      <c r="B7113" s="42" t="s">
        <v>7484</v>
      </c>
      <c r="C7113" s="43" t="s">
        <v>289</v>
      </c>
      <c r="D7113" s="43" t="s">
        <v>316</v>
      </c>
      <c r="E7113" s="43" t="s">
        <v>230</v>
      </c>
    </row>
    <row r="7114" spans="1:5" x14ac:dyDescent="0.25">
      <c r="A7114" s="41">
        <v>20425</v>
      </c>
      <c r="B7114" s="42" t="s">
        <v>7485</v>
      </c>
      <c r="C7114" s="43" t="s">
        <v>289</v>
      </c>
      <c r="D7114" s="43" t="s">
        <v>316</v>
      </c>
      <c r="E7114" s="43" t="s">
        <v>230</v>
      </c>
    </row>
    <row r="7115" spans="1:5" x14ac:dyDescent="0.25">
      <c r="A7115" s="41">
        <v>20426</v>
      </c>
      <c r="B7115" s="42" t="s">
        <v>7486</v>
      </c>
      <c r="C7115" s="43" t="s">
        <v>289</v>
      </c>
      <c r="D7115" s="43" t="s">
        <v>316</v>
      </c>
      <c r="E7115" s="43" t="s">
        <v>230</v>
      </c>
    </row>
    <row r="7116" spans="1:5" x14ac:dyDescent="0.25">
      <c r="A7116" s="41">
        <v>20427</v>
      </c>
      <c r="B7116" s="42" t="s">
        <v>7487</v>
      </c>
      <c r="C7116" s="43" t="s">
        <v>289</v>
      </c>
      <c r="D7116" s="43" t="s">
        <v>316</v>
      </c>
      <c r="E7116" s="43" t="s">
        <v>230</v>
      </c>
    </row>
    <row r="7117" spans="1:5" x14ac:dyDescent="0.25">
      <c r="A7117" s="41">
        <v>20428</v>
      </c>
      <c r="B7117" s="42" t="s">
        <v>7488</v>
      </c>
      <c r="C7117" s="43" t="s">
        <v>289</v>
      </c>
      <c r="D7117" s="43" t="s">
        <v>316</v>
      </c>
      <c r="E7117" s="43" t="s">
        <v>230</v>
      </c>
    </row>
    <row r="7118" spans="1:5" x14ac:dyDescent="0.25">
      <c r="A7118" s="41">
        <v>20429</v>
      </c>
      <c r="B7118" s="42" t="s">
        <v>7489</v>
      </c>
      <c r="C7118" s="43" t="s">
        <v>289</v>
      </c>
      <c r="D7118" s="43" t="s">
        <v>316</v>
      </c>
      <c r="E7118" s="43" t="s">
        <v>230</v>
      </c>
    </row>
    <row r="7119" spans="1:5" x14ac:dyDescent="0.25">
      <c r="A7119" s="41">
        <v>20430</v>
      </c>
      <c r="B7119" s="42" t="s">
        <v>7490</v>
      </c>
      <c r="C7119" s="43" t="s">
        <v>289</v>
      </c>
      <c r="D7119" s="43" t="s">
        <v>316</v>
      </c>
      <c r="E7119" s="43" t="s">
        <v>230</v>
      </c>
    </row>
    <row r="7120" spans="1:5" x14ac:dyDescent="0.25">
      <c r="A7120" s="41">
        <v>20431</v>
      </c>
      <c r="B7120" s="42" t="s">
        <v>7491</v>
      </c>
      <c r="C7120" s="43" t="s">
        <v>289</v>
      </c>
      <c r="D7120" s="43" t="s">
        <v>316</v>
      </c>
      <c r="E7120" s="43" t="s">
        <v>230</v>
      </c>
    </row>
    <row r="7121" spans="1:5" x14ac:dyDescent="0.25">
      <c r="A7121" s="41">
        <v>20432</v>
      </c>
      <c r="B7121" s="42" t="s">
        <v>7492</v>
      </c>
      <c r="C7121" s="43" t="s">
        <v>289</v>
      </c>
      <c r="D7121" s="43" t="s">
        <v>316</v>
      </c>
      <c r="E7121" s="43" t="s">
        <v>230</v>
      </c>
    </row>
    <row r="7122" spans="1:5" x14ac:dyDescent="0.25">
      <c r="A7122" s="41">
        <v>20433</v>
      </c>
      <c r="B7122" s="42" t="s">
        <v>7493</v>
      </c>
      <c r="C7122" s="43" t="s">
        <v>289</v>
      </c>
      <c r="D7122" s="43" t="s">
        <v>316</v>
      </c>
      <c r="E7122" s="43" t="s">
        <v>230</v>
      </c>
    </row>
    <row r="7123" spans="1:5" x14ac:dyDescent="0.25">
      <c r="A7123" s="41">
        <v>20434</v>
      </c>
      <c r="B7123" s="42" t="s">
        <v>7494</v>
      </c>
      <c r="C7123" s="43" t="s">
        <v>289</v>
      </c>
      <c r="D7123" s="43" t="s">
        <v>316</v>
      </c>
      <c r="E7123" s="43" t="s">
        <v>230</v>
      </c>
    </row>
    <row r="7124" spans="1:5" x14ac:dyDescent="0.25">
      <c r="A7124" s="41">
        <v>20435</v>
      </c>
      <c r="B7124" s="42" t="s">
        <v>7495</v>
      </c>
      <c r="C7124" s="43" t="s">
        <v>289</v>
      </c>
      <c r="D7124" s="43" t="s">
        <v>316</v>
      </c>
      <c r="E7124" s="43" t="s">
        <v>230</v>
      </c>
    </row>
    <row r="7125" spans="1:5" x14ac:dyDescent="0.25">
      <c r="A7125" s="41">
        <v>20436</v>
      </c>
      <c r="B7125" s="42" t="s">
        <v>7496</v>
      </c>
      <c r="C7125" s="43" t="s">
        <v>289</v>
      </c>
      <c r="D7125" s="43" t="s">
        <v>316</v>
      </c>
      <c r="E7125" s="43" t="s">
        <v>230</v>
      </c>
    </row>
    <row r="7126" spans="1:5" x14ac:dyDescent="0.25">
      <c r="A7126" s="41">
        <v>20441</v>
      </c>
      <c r="B7126" s="42" t="s">
        <v>7497</v>
      </c>
      <c r="C7126" s="43" t="s">
        <v>289</v>
      </c>
      <c r="D7126" s="43" t="s">
        <v>4329</v>
      </c>
      <c r="E7126" s="43" t="s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ATK 2025</vt:lpstr>
      <vt:lpstr>Pantry Supplies</vt:lpstr>
      <vt:lpstr>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Cici Suryani</dc:creator>
  <cp:lastModifiedBy>Facility Maintenance HO</cp:lastModifiedBy>
  <cp:lastPrinted>2024-11-18T02:14:49Z</cp:lastPrinted>
  <dcterms:created xsi:type="dcterms:W3CDTF">2020-07-24T04:22:20Z</dcterms:created>
  <dcterms:modified xsi:type="dcterms:W3CDTF">2025-07-10T02:48:02Z</dcterms:modified>
</cp:coreProperties>
</file>